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3D70D038-E052-45F6-9379-5E180C02824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O12" i="20" s="1"/>
  <c r="G12" i="20"/>
  <c r="F12" i="20"/>
  <c r="E12" i="20"/>
  <c r="N12" i="20" s="1"/>
  <c r="D12" i="20"/>
  <c r="C12" i="20"/>
  <c r="B12" i="20"/>
  <c r="J11" i="20"/>
  <c r="I11" i="20"/>
  <c r="H11" i="20"/>
  <c r="O11" i="20" s="1"/>
  <c r="G11" i="20"/>
  <c r="F11" i="20"/>
  <c r="E11" i="20"/>
  <c r="D11" i="20"/>
  <c r="C11" i="20"/>
  <c r="B11" i="20"/>
  <c r="J10" i="20"/>
  <c r="I10" i="20"/>
  <c r="H10" i="20"/>
  <c r="K10" i="20" s="1"/>
  <c r="G10" i="20"/>
  <c r="F10" i="20"/>
  <c r="E10" i="20"/>
  <c r="D10" i="20"/>
  <c r="C10" i="20"/>
  <c r="B10" i="20"/>
  <c r="J9" i="20"/>
  <c r="I9" i="20"/>
  <c r="H9" i="20"/>
  <c r="K9" i="20" s="1"/>
  <c r="G9" i="20"/>
  <c r="F9" i="20"/>
  <c r="P9" i="20" s="1"/>
  <c r="E9" i="20"/>
  <c r="D9" i="20"/>
  <c r="C9" i="20"/>
  <c r="B9" i="20"/>
  <c r="K8" i="20"/>
  <c r="J8" i="20"/>
  <c r="I8" i="20"/>
  <c r="H8" i="20"/>
  <c r="O8" i="20" s="1"/>
  <c r="G8" i="20"/>
  <c r="F8" i="20"/>
  <c r="E8" i="20"/>
  <c r="D8" i="20"/>
  <c r="C8" i="20"/>
  <c r="B8" i="20"/>
  <c r="J7" i="20"/>
  <c r="I7" i="20"/>
  <c r="H7" i="20"/>
  <c r="K7" i="20" s="1"/>
  <c r="G7" i="20"/>
  <c r="F7" i="20"/>
  <c r="E7" i="20"/>
  <c r="D7" i="20"/>
  <c r="C7" i="20"/>
  <c r="B7" i="20"/>
  <c r="J6" i="20"/>
  <c r="I6" i="20"/>
  <c r="H6" i="20"/>
  <c r="O6" i="20" s="1"/>
  <c r="G6" i="20"/>
  <c r="F6" i="20"/>
  <c r="E6" i="20"/>
  <c r="D6" i="20"/>
  <c r="C6" i="20"/>
  <c r="B6" i="20"/>
  <c r="J5" i="20"/>
  <c r="I5" i="20"/>
  <c r="H5" i="20"/>
  <c r="G5" i="20"/>
  <c r="F5" i="20"/>
  <c r="N5" i="20" s="1"/>
  <c r="E5" i="20"/>
  <c r="D5" i="20"/>
  <c r="C5" i="20"/>
  <c r="B5" i="20"/>
  <c r="J4" i="20"/>
  <c r="I4" i="20"/>
  <c r="H4" i="20"/>
  <c r="G4" i="20"/>
  <c r="F4" i="20"/>
  <c r="E4" i="20"/>
  <c r="D4" i="20"/>
  <c r="C4" i="20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A4" i="17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M4" i="17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C4" i="17"/>
  <c r="C16" i="17" s="1"/>
  <c r="B4" i="17"/>
  <c r="B16" i="17" s="1"/>
  <c r="B189" i="16"/>
  <c r="J188" i="16"/>
  <c r="I188" i="16"/>
  <c r="H188" i="16"/>
  <c r="K188" i="16" s="1"/>
  <c r="G188" i="16"/>
  <c r="F188" i="16"/>
  <c r="E188" i="16"/>
  <c r="D188" i="16"/>
  <c r="C188" i="16"/>
  <c r="O188" i="16" s="1"/>
  <c r="B188" i="16"/>
  <c r="J187" i="16"/>
  <c r="I187" i="16"/>
  <c r="I191" i="16" s="1"/>
  <c r="H187" i="16"/>
  <c r="H191" i="16" s="1"/>
  <c r="K191" i="16" s="1"/>
  <c r="G187" i="16"/>
  <c r="F187" i="16"/>
  <c r="E187" i="16"/>
  <c r="D187" i="16"/>
  <c r="C187" i="16"/>
  <c r="B187" i="16"/>
  <c r="K186" i="16"/>
  <c r="J186" i="16"/>
  <c r="I186" i="16"/>
  <c r="H186" i="16"/>
  <c r="G186" i="16"/>
  <c r="F186" i="16"/>
  <c r="E186" i="16"/>
  <c r="D186" i="16"/>
  <c r="C186" i="16"/>
  <c r="B186" i="16"/>
  <c r="O185" i="16"/>
  <c r="K185" i="16"/>
  <c r="J185" i="16"/>
  <c r="I185" i="16"/>
  <c r="H185" i="16"/>
  <c r="G185" i="16"/>
  <c r="F185" i="16"/>
  <c r="E185" i="16"/>
  <c r="L185" i="16" s="1"/>
  <c r="D185" i="16"/>
  <c r="C185" i="16"/>
  <c r="B185" i="16"/>
  <c r="P184" i="16"/>
  <c r="J184" i="16"/>
  <c r="I184" i="16"/>
  <c r="H184" i="16"/>
  <c r="G184" i="16"/>
  <c r="F184" i="16"/>
  <c r="E184" i="16"/>
  <c r="D184" i="16"/>
  <c r="C184" i="16"/>
  <c r="B184" i="16"/>
  <c r="J183" i="16"/>
  <c r="I183" i="16"/>
  <c r="H183" i="16"/>
  <c r="G183" i="16"/>
  <c r="F183" i="16"/>
  <c r="E183" i="16"/>
  <c r="N183" i="16" s="1"/>
  <c r="D183" i="16"/>
  <c r="C183" i="16"/>
  <c r="B183" i="16"/>
  <c r="J182" i="16"/>
  <c r="I182" i="16"/>
  <c r="H182" i="16"/>
  <c r="K182" i="16" s="1"/>
  <c r="G182" i="16"/>
  <c r="F182" i="16"/>
  <c r="E182" i="16"/>
  <c r="D182" i="16"/>
  <c r="C182" i="16"/>
  <c r="B182" i="16"/>
  <c r="J181" i="16"/>
  <c r="I181" i="16"/>
  <c r="H181" i="16"/>
  <c r="K181" i="16" s="1"/>
  <c r="G181" i="16"/>
  <c r="F181" i="16"/>
  <c r="P181" i="16" s="1"/>
  <c r="E181" i="16"/>
  <c r="D181" i="16"/>
  <c r="C181" i="16"/>
  <c r="B181" i="16"/>
  <c r="J180" i="16"/>
  <c r="I180" i="16"/>
  <c r="H180" i="16"/>
  <c r="K180" i="16" s="1"/>
  <c r="G180" i="16"/>
  <c r="F180" i="16"/>
  <c r="E180" i="16"/>
  <c r="D180" i="16"/>
  <c r="C180" i="16"/>
  <c r="O180" i="16" s="1"/>
  <c r="B180" i="16"/>
  <c r="B173" i="16"/>
  <c r="J172" i="16"/>
  <c r="I172" i="16"/>
  <c r="I175" i="16" s="1"/>
  <c r="H172" i="16"/>
  <c r="K172" i="16" s="1"/>
  <c r="G172" i="16"/>
  <c r="F172" i="16"/>
  <c r="E172" i="16"/>
  <c r="D172" i="16"/>
  <c r="C172" i="16"/>
  <c r="B172" i="16"/>
  <c r="O171" i="16"/>
  <c r="J171" i="16"/>
  <c r="I171" i="16"/>
  <c r="H171" i="16"/>
  <c r="L171" i="16" s="1"/>
  <c r="G171" i="16"/>
  <c r="F171" i="16"/>
  <c r="E171" i="16"/>
  <c r="N171" i="16" s="1"/>
  <c r="D171" i="16"/>
  <c r="D175" i="16" s="1"/>
  <c r="C171" i="16"/>
  <c r="B171" i="16"/>
  <c r="J170" i="16"/>
  <c r="I170" i="16"/>
  <c r="H170" i="16"/>
  <c r="K170" i="16" s="1"/>
  <c r="G170" i="16"/>
  <c r="F170" i="16"/>
  <c r="E170" i="16"/>
  <c r="D170" i="16"/>
  <c r="C170" i="16"/>
  <c r="B170" i="16"/>
  <c r="J169" i="16"/>
  <c r="I169" i="16"/>
  <c r="H169" i="16"/>
  <c r="G169" i="16"/>
  <c r="F169" i="16"/>
  <c r="E169" i="16"/>
  <c r="D169" i="16"/>
  <c r="C169" i="16"/>
  <c r="O169" i="16" s="1"/>
  <c r="B169" i="16"/>
  <c r="J168" i="16"/>
  <c r="I168" i="16"/>
  <c r="H168" i="16"/>
  <c r="G168" i="16"/>
  <c r="F168" i="16"/>
  <c r="E168" i="16"/>
  <c r="D168" i="16"/>
  <c r="C168" i="16"/>
  <c r="B168" i="16"/>
  <c r="J167" i="16"/>
  <c r="I167" i="16"/>
  <c r="H167" i="16"/>
  <c r="O167" i="16" s="1"/>
  <c r="G167" i="16"/>
  <c r="F167" i="16"/>
  <c r="E167" i="16"/>
  <c r="D167" i="16"/>
  <c r="C167" i="16"/>
  <c r="B167" i="16"/>
  <c r="J166" i="16"/>
  <c r="I166" i="16"/>
  <c r="H166" i="16"/>
  <c r="K166" i="16" s="1"/>
  <c r="G166" i="16"/>
  <c r="F166" i="16"/>
  <c r="E166" i="16"/>
  <c r="D166" i="16"/>
  <c r="C166" i="16"/>
  <c r="B166" i="16"/>
  <c r="J165" i="16"/>
  <c r="I165" i="16"/>
  <c r="H165" i="16"/>
  <c r="G165" i="16"/>
  <c r="F165" i="16"/>
  <c r="E165" i="16"/>
  <c r="D165" i="16"/>
  <c r="C165" i="16"/>
  <c r="B165" i="16"/>
  <c r="J164" i="16"/>
  <c r="I164" i="16"/>
  <c r="H164" i="16"/>
  <c r="G164" i="16"/>
  <c r="G174" i="16" s="1"/>
  <c r="F164" i="16"/>
  <c r="E164" i="16"/>
  <c r="D164" i="16"/>
  <c r="C164" i="16"/>
  <c r="M164" i="16" s="1"/>
  <c r="B164" i="16"/>
  <c r="B157" i="16"/>
  <c r="J156" i="16"/>
  <c r="I156" i="16"/>
  <c r="H156" i="16"/>
  <c r="K156" i="16" s="1"/>
  <c r="G156" i="16"/>
  <c r="F156" i="16"/>
  <c r="E156" i="16"/>
  <c r="D156" i="16"/>
  <c r="D159" i="16" s="1"/>
  <c r="C156" i="16"/>
  <c r="B156" i="16"/>
  <c r="J155" i="16"/>
  <c r="I155" i="16"/>
  <c r="I159" i="16" s="1"/>
  <c r="H155" i="16"/>
  <c r="O155" i="16" s="1"/>
  <c r="G155" i="16"/>
  <c r="G159" i="16" s="1"/>
  <c r="F155" i="16"/>
  <c r="E155" i="16"/>
  <c r="D155" i="16"/>
  <c r="C155" i="16"/>
  <c r="M155" i="16" s="1"/>
  <c r="B155" i="16"/>
  <c r="J154" i="16"/>
  <c r="I154" i="16"/>
  <c r="H154" i="16"/>
  <c r="K154" i="16" s="1"/>
  <c r="G154" i="16"/>
  <c r="F154" i="16"/>
  <c r="E154" i="16"/>
  <c r="D154" i="16"/>
  <c r="C154" i="16"/>
  <c r="B154" i="16"/>
  <c r="J153" i="16"/>
  <c r="I153" i="16"/>
  <c r="H153" i="16"/>
  <c r="K153" i="16" s="1"/>
  <c r="G153" i="16"/>
  <c r="F153" i="16"/>
  <c r="E153" i="16"/>
  <c r="D153" i="16"/>
  <c r="C153" i="16"/>
  <c r="B153" i="16"/>
  <c r="J152" i="16"/>
  <c r="I152" i="16"/>
  <c r="H152" i="16"/>
  <c r="K152" i="16" s="1"/>
  <c r="G152" i="16"/>
  <c r="F152" i="16"/>
  <c r="E152" i="16"/>
  <c r="D152" i="16"/>
  <c r="C152" i="16"/>
  <c r="B152" i="16"/>
  <c r="J151" i="16"/>
  <c r="I151" i="16"/>
  <c r="H151" i="16"/>
  <c r="K151" i="16" s="1"/>
  <c r="G151" i="16"/>
  <c r="F151" i="16"/>
  <c r="E151" i="16"/>
  <c r="D151" i="16"/>
  <c r="C151" i="16"/>
  <c r="B151" i="16"/>
  <c r="J150" i="16"/>
  <c r="I150" i="16"/>
  <c r="H150" i="16"/>
  <c r="L150" i="16" s="1"/>
  <c r="G150" i="16"/>
  <c r="F150" i="16"/>
  <c r="E150" i="16"/>
  <c r="D150" i="16"/>
  <c r="C150" i="16"/>
  <c r="B150" i="16"/>
  <c r="J149" i="16"/>
  <c r="I149" i="16"/>
  <c r="H149" i="16"/>
  <c r="K149" i="16" s="1"/>
  <c r="G149" i="16"/>
  <c r="F149" i="16"/>
  <c r="E149" i="16"/>
  <c r="D149" i="16"/>
  <c r="C149" i="16"/>
  <c r="B149" i="16"/>
  <c r="J148" i="16"/>
  <c r="I148" i="16"/>
  <c r="H148" i="16"/>
  <c r="K148" i="16" s="1"/>
  <c r="G148" i="16"/>
  <c r="F148" i="16"/>
  <c r="E148" i="16"/>
  <c r="D148" i="16"/>
  <c r="C148" i="16"/>
  <c r="B148" i="16"/>
  <c r="C143" i="16"/>
  <c r="B141" i="16"/>
  <c r="J140" i="16"/>
  <c r="I140" i="16"/>
  <c r="H140" i="16"/>
  <c r="G140" i="16"/>
  <c r="F140" i="16"/>
  <c r="E140" i="16"/>
  <c r="N140" i="16" s="1"/>
  <c r="D140" i="16"/>
  <c r="C140" i="16"/>
  <c r="B140" i="16"/>
  <c r="J139" i="16"/>
  <c r="I139" i="16"/>
  <c r="H139" i="16"/>
  <c r="G139" i="16"/>
  <c r="F139" i="16"/>
  <c r="N139" i="16" s="1"/>
  <c r="E139" i="16"/>
  <c r="D139" i="16"/>
  <c r="C139" i="16"/>
  <c r="B139" i="16"/>
  <c r="B143" i="16" s="1"/>
  <c r="J138" i="16"/>
  <c r="I138" i="16"/>
  <c r="H138" i="16"/>
  <c r="G138" i="16"/>
  <c r="F138" i="16"/>
  <c r="E138" i="16"/>
  <c r="N138" i="16" s="1"/>
  <c r="D138" i="16"/>
  <c r="C138" i="16"/>
  <c r="B138" i="16"/>
  <c r="J137" i="16"/>
  <c r="I137" i="16"/>
  <c r="H137" i="16"/>
  <c r="M137" i="16" s="1"/>
  <c r="G137" i="16"/>
  <c r="F137" i="16"/>
  <c r="E137" i="16"/>
  <c r="D137" i="16"/>
  <c r="C137" i="16"/>
  <c r="B137" i="16"/>
  <c r="J136" i="16"/>
  <c r="I136" i="16"/>
  <c r="H136" i="16"/>
  <c r="K136" i="16" s="1"/>
  <c r="G136" i="16"/>
  <c r="F136" i="16"/>
  <c r="E136" i="16"/>
  <c r="D136" i="16"/>
  <c r="C136" i="16"/>
  <c r="B136" i="16"/>
  <c r="J135" i="16"/>
  <c r="I135" i="16"/>
  <c r="H135" i="16"/>
  <c r="K135" i="16" s="1"/>
  <c r="G135" i="16"/>
  <c r="F135" i="16"/>
  <c r="E135" i="16"/>
  <c r="D135" i="16"/>
  <c r="C135" i="16"/>
  <c r="B135" i="16"/>
  <c r="J134" i="16"/>
  <c r="I134" i="16"/>
  <c r="H134" i="16"/>
  <c r="L134" i="16" s="1"/>
  <c r="G134" i="16"/>
  <c r="F134" i="16"/>
  <c r="E134" i="16"/>
  <c r="D134" i="16"/>
  <c r="C134" i="16"/>
  <c r="B134" i="16"/>
  <c r="J133" i="16"/>
  <c r="I133" i="16"/>
  <c r="H133" i="16"/>
  <c r="K133" i="16" s="1"/>
  <c r="G133" i="16"/>
  <c r="F133" i="16"/>
  <c r="E133" i="16"/>
  <c r="D133" i="16"/>
  <c r="C133" i="16"/>
  <c r="B133" i="16"/>
  <c r="J132" i="16"/>
  <c r="I132" i="16"/>
  <c r="H132" i="16"/>
  <c r="G132" i="16"/>
  <c r="F132" i="16"/>
  <c r="E132" i="16"/>
  <c r="D132" i="16"/>
  <c r="C132" i="16"/>
  <c r="B132" i="16"/>
  <c r="B125" i="16"/>
  <c r="J124" i="16"/>
  <c r="I124" i="16"/>
  <c r="H124" i="16"/>
  <c r="G124" i="16"/>
  <c r="F124" i="16"/>
  <c r="E124" i="16"/>
  <c r="D124" i="16"/>
  <c r="C124" i="16"/>
  <c r="C127" i="16" s="1"/>
  <c r="B124" i="16"/>
  <c r="J123" i="16"/>
  <c r="J127" i="16" s="1"/>
  <c r="I123" i="16"/>
  <c r="I127" i="16" s="1"/>
  <c r="H123" i="16"/>
  <c r="K123" i="16" s="1"/>
  <c r="G123" i="16"/>
  <c r="G127" i="16" s="1"/>
  <c r="F123" i="16"/>
  <c r="E123" i="16"/>
  <c r="D123" i="16"/>
  <c r="C123" i="16"/>
  <c r="B123" i="16"/>
  <c r="B127" i="16" s="1"/>
  <c r="J122" i="16"/>
  <c r="I122" i="16"/>
  <c r="H122" i="16"/>
  <c r="G122" i="16"/>
  <c r="F122" i="16"/>
  <c r="E122" i="16"/>
  <c r="D122" i="16"/>
  <c r="C122" i="16"/>
  <c r="B122" i="16"/>
  <c r="J121" i="16"/>
  <c r="I121" i="16"/>
  <c r="H121" i="16"/>
  <c r="O121" i="16" s="1"/>
  <c r="G121" i="16"/>
  <c r="F121" i="16"/>
  <c r="E121" i="16"/>
  <c r="D121" i="16"/>
  <c r="C121" i="16"/>
  <c r="B121" i="16"/>
  <c r="J120" i="16"/>
  <c r="I120" i="16"/>
  <c r="H120" i="16"/>
  <c r="G120" i="16"/>
  <c r="F120" i="16"/>
  <c r="E120" i="16"/>
  <c r="D120" i="16"/>
  <c r="C120" i="16"/>
  <c r="B120" i="16"/>
  <c r="J119" i="16"/>
  <c r="I119" i="16"/>
  <c r="H119" i="16"/>
  <c r="K119" i="16" s="1"/>
  <c r="G119" i="16"/>
  <c r="F119" i="16"/>
  <c r="P119" i="16" s="1"/>
  <c r="E119" i="16"/>
  <c r="D119" i="16"/>
  <c r="C119" i="16"/>
  <c r="B119" i="16"/>
  <c r="J118" i="16"/>
  <c r="I118" i="16"/>
  <c r="H118" i="16"/>
  <c r="G118" i="16"/>
  <c r="F118" i="16"/>
  <c r="E118" i="16"/>
  <c r="N118" i="16" s="1"/>
  <c r="D118" i="16"/>
  <c r="C118" i="16"/>
  <c r="B118" i="16"/>
  <c r="J117" i="16"/>
  <c r="I117" i="16"/>
  <c r="H117" i="16"/>
  <c r="G117" i="16"/>
  <c r="F117" i="16"/>
  <c r="E117" i="16"/>
  <c r="D117" i="16"/>
  <c r="C117" i="16"/>
  <c r="B117" i="16"/>
  <c r="J116" i="16"/>
  <c r="I116" i="16"/>
  <c r="H116" i="16"/>
  <c r="G116" i="16"/>
  <c r="F116" i="16"/>
  <c r="E116" i="16"/>
  <c r="D116" i="16"/>
  <c r="C116" i="16"/>
  <c r="O116" i="16" s="1"/>
  <c r="B116" i="16"/>
  <c r="B109" i="16"/>
  <c r="J108" i="16"/>
  <c r="I108" i="16"/>
  <c r="H108" i="16"/>
  <c r="G108" i="16"/>
  <c r="F108" i="16"/>
  <c r="E108" i="16"/>
  <c r="D108" i="16"/>
  <c r="C108" i="16"/>
  <c r="M108" i="16" s="1"/>
  <c r="B108" i="16"/>
  <c r="K107" i="16"/>
  <c r="J107" i="16"/>
  <c r="I107" i="16"/>
  <c r="I111" i="16" s="1"/>
  <c r="H107" i="16"/>
  <c r="G107" i="16"/>
  <c r="F107" i="16"/>
  <c r="E107" i="16"/>
  <c r="N107" i="16" s="1"/>
  <c r="D107" i="16"/>
  <c r="C107" i="16"/>
  <c r="O107" i="16" s="1"/>
  <c r="B107" i="16"/>
  <c r="J106" i="16"/>
  <c r="I106" i="16"/>
  <c r="H106" i="16"/>
  <c r="G106" i="16"/>
  <c r="F106" i="16"/>
  <c r="E106" i="16"/>
  <c r="D106" i="16"/>
  <c r="C106" i="16"/>
  <c r="B106" i="16"/>
  <c r="K105" i="16"/>
  <c r="J105" i="16"/>
  <c r="I105" i="16"/>
  <c r="H105" i="16"/>
  <c r="O105" i="16" s="1"/>
  <c r="G105" i="16"/>
  <c r="F105" i="16"/>
  <c r="E105" i="16"/>
  <c r="D105" i="16"/>
  <c r="C105" i="16"/>
  <c r="B105" i="16"/>
  <c r="P105" i="16" s="1"/>
  <c r="J104" i="16"/>
  <c r="I104" i="16"/>
  <c r="H104" i="16"/>
  <c r="G104" i="16"/>
  <c r="F104" i="16"/>
  <c r="N104" i="16" s="1"/>
  <c r="E104" i="16"/>
  <c r="D104" i="16"/>
  <c r="C104" i="16"/>
  <c r="B104" i="16"/>
  <c r="J103" i="16"/>
  <c r="I103" i="16"/>
  <c r="H103" i="16"/>
  <c r="G103" i="16"/>
  <c r="F103" i="16"/>
  <c r="E103" i="16"/>
  <c r="D103" i="16"/>
  <c r="C103" i="16"/>
  <c r="O103" i="16" s="1"/>
  <c r="B103" i="16"/>
  <c r="J102" i="16"/>
  <c r="I102" i="16"/>
  <c r="H102" i="16"/>
  <c r="G102" i="16"/>
  <c r="F102" i="16"/>
  <c r="E102" i="16"/>
  <c r="D102" i="16"/>
  <c r="C102" i="16"/>
  <c r="C110" i="16" s="1"/>
  <c r="B102" i="16"/>
  <c r="J101" i="16"/>
  <c r="I101" i="16"/>
  <c r="H101" i="16"/>
  <c r="K101" i="16" s="1"/>
  <c r="G101" i="16"/>
  <c r="F101" i="16"/>
  <c r="E101" i="16"/>
  <c r="D101" i="16"/>
  <c r="C101" i="16"/>
  <c r="B101" i="16"/>
  <c r="J100" i="16"/>
  <c r="I100" i="16"/>
  <c r="H100" i="16"/>
  <c r="K100" i="16" s="1"/>
  <c r="G100" i="16"/>
  <c r="F100" i="16"/>
  <c r="E100" i="16"/>
  <c r="D100" i="16"/>
  <c r="C100" i="16"/>
  <c r="B100" i="16"/>
  <c r="B93" i="16"/>
  <c r="J92" i="16"/>
  <c r="I92" i="16"/>
  <c r="H92" i="16"/>
  <c r="G92" i="16"/>
  <c r="F92" i="16"/>
  <c r="E92" i="16"/>
  <c r="D92" i="16"/>
  <c r="C92" i="16"/>
  <c r="B92" i="16"/>
  <c r="J91" i="16"/>
  <c r="I91" i="16"/>
  <c r="H91" i="16"/>
  <c r="G91" i="16"/>
  <c r="F91" i="16"/>
  <c r="E91" i="16"/>
  <c r="D91" i="16"/>
  <c r="C91" i="16"/>
  <c r="C95" i="16" s="1"/>
  <c r="B91" i="16"/>
  <c r="J90" i="16"/>
  <c r="I90" i="16"/>
  <c r="H90" i="16"/>
  <c r="O90" i="16" s="1"/>
  <c r="G90" i="16"/>
  <c r="F90" i="16"/>
  <c r="E90" i="16"/>
  <c r="N90" i="16" s="1"/>
  <c r="D90" i="16"/>
  <c r="C90" i="16"/>
  <c r="B90" i="16"/>
  <c r="J89" i="16"/>
  <c r="I89" i="16"/>
  <c r="H89" i="16"/>
  <c r="K89" i="16" s="1"/>
  <c r="G89" i="16"/>
  <c r="F89" i="16"/>
  <c r="E89" i="16"/>
  <c r="D89" i="16"/>
  <c r="C89" i="16"/>
  <c r="B89" i="16"/>
  <c r="J88" i="16"/>
  <c r="I88" i="16"/>
  <c r="H88" i="16"/>
  <c r="K88" i="16" s="1"/>
  <c r="G88" i="16"/>
  <c r="F88" i="16"/>
  <c r="P88" i="16" s="1"/>
  <c r="E88" i="16"/>
  <c r="D88" i="16"/>
  <c r="C88" i="16"/>
  <c r="B88" i="16"/>
  <c r="J87" i="16"/>
  <c r="I87" i="16"/>
  <c r="H87" i="16"/>
  <c r="G87" i="16"/>
  <c r="F87" i="16"/>
  <c r="E87" i="16"/>
  <c r="D87" i="16"/>
  <c r="C87" i="16"/>
  <c r="B87" i="16"/>
  <c r="J86" i="16"/>
  <c r="I86" i="16"/>
  <c r="H86" i="16"/>
  <c r="K86" i="16" s="1"/>
  <c r="G86" i="16"/>
  <c r="F86" i="16"/>
  <c r="N86" i="16" s="1"/>
  <c r="E86" i="16"/>
  <c r="D86" i="16"/>
  <c r="C86" i="16"/>
  <c r="B86" i="16"/>
  <c r="J85" i="16"/>
  <c r="I85" i="16"/>
  <c r="I94" i="16" s="1"/>
  <c r="H85" i="16"/>
  <c r="G85" i="16"/>
  <c r="F85" i="16"/>
  <c r="E85" i="16"/>
  <c r="D85" i="16"/>
  <c r="C85" i="16"/>
  <c r="B85" i="16"/>
  <c r="O84" i="16"/>
  <c r="J84" i="16"/>
  <c r="I84" i="16"/>
  <c r="H84" i="16"/>
  <c r="K84" i="16" s="1"/>
  <c r="G84" i="16"/>
  <c r="F84" i="16"/>
  <c r="E84" i="16"/>
  <c r="D84" i="16"/>
  <c r="C84" i="16"/>
  <c r="B84" i="16"/>
  <c r="B77" i="16"/>
  <c r="J76" i="16"/>
  <c r="I76" i="16"/>
  <c r="H76" i="16"/>
  <c r="K76" i="16" s="1"/>
  <c r="G76" i="16"/>
  <c r="F76" i="16"/>
  <c r="E76" i="16"/>
  <c r="D76" i="16"/>
  <c r="C76" i="16"/>
  <c r="B76" i="16"/>
  <c r="J75" i="16"/>
  <c r="I75" i="16"/>
  <c r="H75" i="16"/>
  <c r="K75" i="16" s="1"/>
  <c r="G75" i="16"/>
  <c r="F75" i="16"/>
  <c r="E75" i="16"/>
  <c r="D75" i="16"/>
  <c r="C75" i="16"/>
  <c r="O75" i="16" s="1"/>
  <c r="B75" i="16"/>
  <c r="J74" i="16"/>
  <c r="I74" i="16"/>
  <c r="H74" i="16"/>
  <c r="G74" i="16"/>
  <c r="F74" i="16"/>
  <c r="E74" i="16"/>
  <c r="D74" i="16"/>
  <c r="C74" i="16"/>
  <c r="B74" i="16"/>
  <c r="J73" i="16"/>
  <c r="I73" i="16"/>
  <c r="H73" i="16"/>
  <c r="K73" i="16" s="1"/>
  <c r="G73" i="16"/>
  <c r="F73" i="16"/>
  <c r="E73" i="16"/>
  <c r="D73" i="16"/>
  <c r="C73" i="16"/>
  <c r="B73" i="16"/>
  <c r="K72" i="16"/>
  <c r="J72" i="16"/>
  <c r="I72" i="16"/>
  <c r="H72" i="16"/>
  <c r="O72" i="16" s="1"/>
  <c r="G72" i="16"/>
  <c r="F72" i="16"/>
  <c r="E72" i="16"/>
  <c r="D72" i="16"/>
  <c r="C72" i="16"/>
  <c r="B72" i="16"/>
  <c r="J71" i="16"/>
  <c r="I71" i="16"/>
  <c r="H71" i="16"/>
  <c r="O71" i="16" s="1"/>
  <c r="G71" i="16"/>
  <c r="F71" i="16"/>
  <c r="E71" i="16"/>
  <c r="D71" i="16"/>
  <c r="C71" i="16"/>
  <c r="B71" i="16"/>
  <c r="J70" i="16"/>
  <c r="I70" i="16"/>
  <c r="H70" i="16"/>
  <c r="O70" i="16" s="1"/>
  <c r="G70" i="16"/>
  <c r="F70" i="16"/>
  <c r="E70" i="16"/>
  <c r="D70" i="16"/>
  <c r="C70" i="16"/>
  <c r="B70" i="16"/>
  <c r="J69" i="16"/>
  <c r="I69" i="16"/>
  <c r="H69" i="16"/>
  <c r="G69" i="16"/>
  <c r="F69" i="16"/>
  <c r="E69" i="16"/>
  <c r="D69" i="16"/>
  <c r="C69" i="16"/>
  <c r="B69" i="16"/>
  <c r="J68" i="16"/>
  <c r="I68" i="16"/>
  <c r="H68" i="16"/>
  <c r="O68" i="16" s="1"/>
  <c r="G68" i="16"/>
  <c r="F68" i="16"/>
  <c r="E68" i="16"/>
  <c r="D68" i="16"/>
  <c r="C68" i="16"/>
  <c r="B68" i="16"/>
  <c r="B61" i="16"/>
  <c r="J60" i="16"/>
  <c r="I60" i="16"/>
  <c r="H60" i="16"/>
  <c r="G60" i="16"/>
  <c r="F60" i="16"/>
  <c r="E60" i="16"/>
  <c r="D60" i="16"/>
  <c r="C60" i="16"/>
  <c r="B60" i="16"/>
  <c r="J59" i="16"/>
  <c r="I59" i="16"/>
  <c r="I63" i="16" s="1"/>
  <c r="H59" i="16"/>
  <c r="K59" i="16" s="1"/>
  <c r="G59" i="16"/>
  <c r="G63" i="16" s="1"/>
  <c r="F59" i="16"/>
  <c r="E59" i="16"/>
  <c r="E63" i="16" s="1"/>
  <c r="D59" i="16"/>
  <c r="D63" i="16" s="1"/>
  <c r="C59" i="16"/>
  <c r="B59" i="16"/>
  <c r="J58" i="16"/>
  <c r="I58" i="16"/>
  <c r="H58" i="16"/>
  <c r="G58" i="16"/>
  <c r="F58" i="16"/>
  <c r="E58" i="16"/>
  <c r="D58" i="16"/>
  <c r="C58" i="16"/>
  <c r="B58" i="16"/>
  <c r="J57" i="16"/>
  <c r="I57" i="16"/>
  <c r="H57" i="16"/>
  <c r="K57" i="16" s="1"/>
  <c r="G57" i="16"/>
  <c r="F57" i="16"/>
  <c r="E57" i="16"/>
  <c r="D57" i="16"/>
  <c r="C57" i="16"/>
  <c r="B57" i="16"/>
  <c r="J56" i="16"/>
  <c r="I56" i="16"/>
  <c r="H56" i="16"/>
  <c r="K56" i="16" s="1"/>
  <c r="G56" i="16"/>
  <c r="F56" i="16"/>
  <c r="E56" i="16"/>
  <c r="D56" i="16"/>
  <c r="P56" i="16" s="1"/>
  <c r="C56" i="16"/>
  <c r="N56" i="16" s="1"/>
  <c r="B56" i="16"/>
  <c r="O55" i="16"/>
  <c r="J55" i="16"/>
  <c r="I55" i="16"/>
  <c r="H55" i="16"/>
  <c r="K55" i="16" s="1"/>
  <c r="G55" i="16"/>
  <c r="F55" i="16"/>
  <c r="E55" i="16"/>
  <c r="D55" i="16"/>
  <c r="C55" i="16"/>
  <c r="B55" i="16"/>
  <c r="J54" i="16"/>
  <c r="I54" i="16"/>
  <c r="H54" i="16"/>
  <c r="K54" i="16" s="1"/>
  <c r="G54" i="16"/>
  <c r="F54" i="16"/>
  <c r="E54" i="16"/>
  <c r="D54" i="16"/>
  <c r="C54" i="16"/>
  <c r="B54" i="16"/>
  <c r="K53" i="16"/>
  <c r="J53" i="16"/>
  <c r="I53" i="16"/>
  <c r="H53" i="16"/>
  <c r="G53" i="16"/>
  <c r="F53" i="16"/>
  <c r="E53" i="16"/>
  <c r="D53" i="16"/>
  <c r="C53" i="16"/>
  <c r="B53" i="16"/>
  <c r="L52" i="16"/>
  <c r="J52" i="16"/>
  <c r="I52" i="16"/>
  <c r="H52" i="16"/>
  <c r="G52" i="16"/>
  <c r="F52" i="16"/>
  <c r="E52" i="16"/>
  <c r="D52" i="16"/>
  <c r="C52" i="16"/>
  <c r="B52" i="16"/>
  <c r="B45" i="16"/>
  <c r="J44" i="16"/>
  <c r="J47" i="16" s="1"/>
  <c r="I44" i="16"/>
  <c r="H44" i="16"/>
  <c r="G44" i="16"/>
  <c r="F44" i="16"/>
  <c r="E44" i="16"/>
  <c r="D44" i="16"/>
  <c r="C44" i="16"/>
  <c r="C47" i="16" s="1"/>
  <c r="B44" i="16"/>
  <c r="B47" i="16" s="1"/>
  <c r="J43" i="16"/>
  <c r="I43" i="16"/>
  <c r="I47" i="16" s="1"/>
  <c r="H43" i="16"/>
  <c r="K43" i="16" s="1"/>
  <c r="G43" i="16"/>
  <c r="F43" i="16"/>
  <c r="E43" i="16"/>
  <c r="D43" i="16"/>
  <c r="D47" i="16" s="1"/>
  <c r="C43" i="16"/>
  <c r="B43" i="16"/>
  <c r="J42" i="16"/>
  <c r="I42" i="16"/>
  <c r="H42" i="16"/>
  <c r="K42" i="16" s="1"/>
  <c r="G42" i="16"/>
  <c r="F42" i="16"/>
  <c r="E42" i="16"/>
  <c r="D42" i="16"/>
  <c r="C42" i="16"/>
  <c r="B42" i="16"/>
  <c r="K41" i="16"/>
  <c r="J41" i="16"/>
  <c r="I41" i="16"/>
  <c r="H41" i="16"/>
  <c r="G41" i="16"/>
  <c r="F41" i="16"/>
  <c r="E41" i="16"/>
  <c r="L41" i="16" s="1"/>
  <c r="D41" i="16"/>
  <c r="C41" i="16"/>
  <c r="M41" i="16" s="1"/>
  <c r="B41" i="16"/>
  <c r="K40" i="16"/>
  <c r="J40" i="16"/>
  <c r="I40" i="16"/>
  <c r="H40" i="16"/>
  <c r="G40" i="16"/>
  <c r="F40" i="16"/>
  <c r="E40" i="16"/>
  <c r="N40" i="16" s="1"/>
  <c r="D40" i="16"/>
  <c r="C40" i="16"/>
  <c r="O40" i="16" s="1"/>
  <c r="B40" i="16"/>
  <c r="J39" i="16"/>
  <c r="I39" i="16"/>
  <c r="H39" i="16"/>
  <c r="K39" i="16" s="1"/>
  <c r="G39" i="16"/>
  <c r="F39" i="16"/>
  <c r="E39" i="16"/>
  <c r="D39" i="16"/>
  <c r="C39" i="16"/>
  <c r="B39" i="16"/>
  <c r="J38" i="16"/>
  <c r="I38" i="16"/>
  <c r="H38" i="16"/>
  <c r="K38" i="16" s="1"/>
  <c r="G38" i="16"/>
  <c r="F38" i="16"/>
  <c r="E38" i="16"/>
  <c r="D38" i="16"/>
  <c r="C38" i="16"/>
  <c r="B38" i="16"/>
  <c r="N37" i="16"/>
  <c r="K37" i="16"/>
  <c r="J37" i="16"/>
  <c r="I37" i="16"/>
  <c r="H37" i="16"/>
  <c r="G37" i="16"/>
  <c r="F37" i="16"/>
  <c r="E37" i="16"/>
  <c r="D37" i="16"/>
  <c r="C37" i="16"/>
  <c r="B37" i="16"/>
  <c r="J36" i="16"/>
  <c r="I36" i="16"/>
  <c r="H36" i="16"/>
  <c r="K36" i="16" s="1"/>
  <c r="G36" i="16"/>
  <c r="F36" i="16"/>
  <c r="E36" i="16"/>
  <c r="D36" i="16"/>
  <c r="C36" i="16"/>
  <c r="B36" i="16"/>
  <c r="B29" i="16"/>
  <c r="J28" i="16"/>
  <c r="I28" i="16"/>
  <c r="H28" i="16"/>
  <c r="O28" i="16" s="1"/>
  <c r="G28" i="16"/>
  <c r="F28" i="16"/>
  <c r="P28" i="16" s="1"/>
  <c r="E28" i="16"/>
  <c r="D28" i="16"/>
  <c r="D31" i="16" s="1"/>
  <c r="C28" i="16"/>
  <c r="B28" i="16"/>
  <c r="J27" i="16"/>
  <c r="I27" i="16"/>
  <c r="H27" i="16"/>
  <c r="G27" i="16"/>
  <c r="F27" i="16"/>
  <c r="E27" i="16"/>
  <c r="D27" i="16"/>
  <c r="C27" i="16"/>
  <c r="C31" i="16" s="1"/>
  <c r="B27" i="16"/>
  <c r="J26" i="16"/>
  <c r="I26" i="16"/>
  <c r="H26" i="16"/>
  <c r="O26" i="16" s="1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K24" i="16" s="1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K22" i="16" s="1"/>
  <c r="G22" i="16"/>
  <c r="F22" i="16"/>
  <c r="E22" i="16"/>
  <c r="D22" i="16"/>
  <c r="C22" i="16"/>
  <c r="B22" i="16"/>
  <c r="J21" i="16"/>
  <c r="I21" i="16"/>
  <c r="H21" i="16"/>
  <c r="O21" i="16" s="1"/>
  <c r="G21" i="16"/>
  <c r="F21" i="16"/>
  <c r="P21" i="16" s="1"/>
  <c r="E21" i="16"/>
  <c r="D21" i="16"/>
  <c r="C21" i="16"/>
  <c r="B21" i="16"/>
  <c r="J20" i="16"/>
  <c r="I20" i="16"/>
  <c r="H20" i="16"/>
  <c r="G20" i="16"/>
  <c r="F20" i="16"/>
  <c r="P20" i="16" s="1"/>
  <c r="E20" i="16"/>
  <c r="D20" i="16"/>
  <c r="C20" i="16"/>
  <c r="B20" i="16"/>
  <c r="B13" i="16"/>
  <c r="J12" i="16"/>
  <c r="I12" i="16"/>
  <c r="H12" i="16"/>
  <c r="G12" i="16"/>
  <c r="F12" i="16"/>
  <c r="E12" i="16"/>
  <c r="N12" i="16" s="1"/>
  <c r="D12" i="16"/>
  <c r="C12" i="16"/>
  <c r="B12" i="16"/>
  <c r="J11" i="16"/>
  <c r="J15" i="16" s="1"/>
  <c r="I11" i="16"/>
  <c r="H11" i="16"/>
  <c r="H15" i="16" s="1"/>
  <c r="G11" i="16"/>
  <c r="F11" i="16"/>
  <c r="F15" i="16" s="1"/>
  <c r="E11" i="16"/>
  <c r="D11" i="16"/>
  <c r="C11" i="16"/>
  <c r="B11" i="16"/>
  <c r="B15" i="16" s="1"/>
  <c r="K10" i="16"/>
  <c r="J10" i="16"/>
  <c r="I10" i="16"/>
  <c r="H10" i="16"/>
  <c r="O10" i="16" s="1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K8" i="16" s="1"/>
  <c r="G8" i="16"/>
  <c r="F8" i="16"/>
  <c r="P8" i="16" s="1"/>
  <c r="E8" i="16"/>
  <c r="N8" i="16" s="1"/>
  <c r="D8" i="16"/>
  <c r="C8" i="16"/>
  <c r="B8" i="16"/>
  <c r="K7" i="16"/>
  <c r="J7" i="16"/>
  <c r="I7" i="16"/>
  <c r="H7" i="16"/>
  <c r="G7" i="16"/>
  <c r="F7" i="16"/>
  <c r="E7" i="16"/>
  <c r="D7" i="16"/>
  <c r="C7" i="16"/>
  <c r="B7" i="16"/>
  <c r="K6" i="16"/>
  <c r="J6" i="16"/>
  <c r="I6" i="16"/>
  <c r="H6" i="16"/>
  <c r="G6" i="16"/>
  <c r="F6" i="16"/>
  <c r="E6" i="16"/>
  <c r="D6" i="16"/>
  <c r="C6" i="16"/>
  <c r="O6" i="16" s="1"/>
  <c r="B6" i="16"/>
  <c r="J5" i="16"/>
  <c r="I5" i="16"/>
  <c r="H5" i="16"/>
  <c r="O5" i="16" s="1"/>
  <c r="G5" i="16"/>
  <c r="F5" i="16"/>
  <c r="E5" i="16"/>
  <c r="D5" i="16"/>
  <c r="C5" i="16"/>
  <c r="B5" i="16"/>
  <c r="J4" i="16"/>
  <c r="I4" i="16"/>
  <c r="H4" i="16"/>
  <c r="O4" i="16" s="1"/>
  <c r="G4" i="16"/>
  <c r="F4" i="16"/>
  <c r="E4" i="16"/>
  <c r="D4" i="16"/>
  <c r="C4" i="16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I445" i="15"/>
  <c r="O445" i="15" s="1"/>
  <c r="B445" i="15"/>
  <c r="I444" i="15"/>
  <c r="B444" i="15"/>
  <c r="O439" i="15"/>
  <c r="N439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I365" i="15"/>
  <c r="O365" i="15" s="1"/>
  <c r="B365" i="15"/>
  <c r="I364" i="15"/>
  <c r="B364" i="15"/>
  <c r="O359" i="15"/>
  <c r="N359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I285" i="15"/>
  <c r="O285" i="15" s="1"/>
  <c r="B285" i="15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I205" i="15"/>
  <c r="O205" i="15" s="1"/>
  <c r="B205" i="15"/>
  <c r="I204" i="15"/>
  <c r="B204" i="15"/>
  <c r="O199" i="15"/>
  <c r="N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G168" i="15"/>
  <c r="F168" i="15"/>
  <c r="E168" i="15"/>
  <c r="D168" i="15"/>
  <c r="C168" i="15"/>
  <c r="B168" i="15"/>
  <c r="O165" i="15"/>
  <c r="I165" i="15"/>
  <c r="B165" i="15"/>
  <c r="I164" i="15"/>
  <c r="B164" i="15"/>
  <c r="O159" i="15"/>
  <c r="N159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O5" i="15"/>
  <c r="I5" i="15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AO16" i="17" l="1"/>
  <c r="BH16" i="17"/>
  <c r="CA16" i="17"/>
  <c r="CB16" i="17"/>
  <c r="N16" i="17"/>
  <c r="D16" i="17"/>
  <c r="M16" i="17"/>
  <c r="P43" i="16"/>
  <c r="M72" i="16"/>
  <c r="P74" i="16"/>
  <c r="P76" i="16"/>
  <c r="G126" i="16"/>
  <c r="P117" i="16"/>
  <c r="P149" i="16"/>
  <c r="P154" i="16"/>
  <c r="L165" i="16"/>
  <c r="P168" i="16"/>
  <c r="P183" i="16"/>
  <c r="L7" i="16"/>
  <c r="M9" i="16"/>
  <c r="N39" i="16"/>
  <c r="G47" i="16"/>
  <c r="L53" i="16"/>
  <c r="I95" i="16"/>
  <c r="K121" i="16"/>
  <c r="P169" i="16"/>
  <c r="B175" i="16"/>
  <c r="J175" i="16"/>
  <c r="P182" i="16"/>
  <c r="N186" i="16"/>
  <c r="K187" i="16"/>
  <c r="N4" i="20"/>
  <c r="P10" i="20"/>
  <c r="M11" i="16"/>
  <c r="L27" i="16"/>
  <c r="E46" i="16"/>
  <c r="M73" i="16"/>
  <c r="L87" i="16"/>
  <c r="L151" i="16"/>
  <c r="M7" i="16"/>
  <c r="L20" i="16"/>
  <c r="P22" i="16"/>
  <c r="P38" i="16"/>
  <c r="E62" i="16"/>
  <c r="M53" i="16"/>
  <c r="L60" i="16"/>
  <c r="P73" i="16"/>
  <c r="G111" i="16"/>
  <c r="L132" i="16"/>
  <c r="N170" i="16"/>
  <c r="L186" i="16"/>
  <c r="P187" i="16"/>
  <c r="O9" i="20"/>
  <c r="D15" i="16"/>
  <c r="P23" i="16"/>
  <c r="B31" i="16"/>
  <c r="J31" i="16"/>
  <c r="G46" i="16"/>
  <c r="M38" i="16"/>
  <c r="O43" i="16"/>
  <c r="N57" i="16"/>
  <c r="O59" i="16"/>
  <c r="N68" i="16"/>
  <c r="M70" i="16"/>
  <c r="E95" i="16"/>
  <c r="D95" i="16"/>
  <c r="B110" i="16"/>
  <c r="J110" i="16"/>
  <c r="L107" i="16"/>
  <c r="F111" i="16"/>
  <c r="I143" i="16"/>
  <c r="G143" i="16"/>
  <c r="N154" i="16"/>
  <c r="N165" i="16"/>
  <c r="F175" i="16"/>
  <c r="G191" i="16"/>
  <c r="P57" i="16"/>
  <c r="P68" i="16"/>
  <c r="B142" i="16"/>
  <c r="G175" i="16"/>
  <c r="P186" i="16"/>
  <c r="J14" i="16"/>
  <c r="L23" i="16"/>
  <c r="P25" i="16"/>
  <c r="I46" i="16"/>
  <c r="P42" i="16"/>
  <c r="D79" i="16"/>
  <c r="O88" i="16"/>
  <c r="G95" i="16"/>
  <c r="M101" i="16"/>
  <c r="N106" i="16"/>
  <c r="P116" i="16"/>
  <c r="N123" i="16"/>
  <c r="L137" i="16"/>
  <c r="M139" i="16"/>
  <c r="N167" i="16"/>
  <c r="P11" i="16"/>
  <c r="P5" i="16"/>
  <c r="B14" i="16"/>
  <c r="P15" i="16"/>
  <c r="G14" i="16"/>
  <c r="N5" i="16"/>
  <c r="M21" i="16"/>
  <c r="K21" i="16"/>
  <c r="M23" i="16"/>
  <c r="O24" i="16"/>
  <c r="E31" i="16"/>
  <c r="M28" i="16"/>
  <c r="K28" i="16"/>
  <c r="O36" i="16"/>
  <c r="P39" i="16"/>
  <c r="N42" i="16"/>
  <c r="L43" i="16"/>
  <c r="H47" i="16"/>
  <c r="O52" i="16"/>
  <c r="O54" i="16"/>
  <c r="N60" i="16"/>
  <c r="O60" i="16"/>
  <c r="C78" i="16"/>
  <c r="O69" i="16"/>
  <c r="I79" i="16"/>
  <c r="H79" i="16"/>
  <c r="F94" i="16"/>
  <c r="P91" i="16"/>
  <c r="J95" i="16"/>
  <c r="O101" i="16"/>
  <c r="M103" i="16"/>
  <c r="P104" i="16"/>
  <c r="O123" i="16"/>
  <c r="O137" i="16"/>
  <c r="K137" i="16"/>
  <c r="P148" i="16"/>
  <c r="M152" i="16"/>
  <c r="I158" i="16"/>
  <c r="F159" i="16"/>
  <c r="N164" i="16"/>
  <c r="C174" i="16"/>
  <c r="K165" i="16"/>
  <c r="M171" i="16"/>
  <c r="K171" i="16"/>
  <c r="O182" i="16"/>
  <c r="N184" i="16"/>
  <c r="J191" i="16"/>
  <c r="P4" i="20"/>
  <c r="L8" i="20"/>
  <c r="M12" i="20"/>
  <c r="G15" i="16"/>
  <c r="D30" i="16"/>
  <c r="L21" i="16"/>
  <c r="F31" i="16"/>
  <c r="P31" i="16" s="1"/>
  <c r="L28" i="16"/>
  <c r="I62" i="16"/>
  <c r="P58" i="16"/>
  <c r="P71" i="16"/>
  <c r="B79" i="16"/>
  <c r="J79" i="16"/>
  <c r="P84" i="16"/>
  <c r="J94" i="16"/>
  <c r="P87" i="16"/>
  <c r="P90" i="16"/>
  <c r="P132" i="16"/>
  <c r="P136" i="16"/>
  <c r="P167" i="16"/>
  <c r="N185" i="16"/>
  <c r="M187" i="16"/>
  <c r="I14" i="16"/>
  <c r="M10" i="16"/>
  <c r="E15" i="16"/>
  <c r="I30" i="16"/>
  <c r="L24" i="16"/>
  <c r="M25" i="16"/>
  <c r="F46" i="16"/>
  <c r="M37" i="16"/>
  <c r="O38" i="16"/>
  <c r="M54" i="16"/>
  <c r="B63" i="16"/>
  <c r="E78" i="16"/>
  <c r="O73" i="16"/>
  <c r="N74" i="16"/>
  <c r="N87" i="16"/>
  <c r="G110" i="16"/>
  <c r="L108" i="16"/>
  <c r="F126" i="16"/>
  <c r="P5" i="20"/>
  <c r="O44" i="16"/>
  <c r="P101" i="16"/>
  <c r="N102" i="16"/>
  <c r="P108" i="16"/>
  <c r="M118" i="16"/>
  <c r="L118" i="16"/>
  <c r="P137" i="16"/>
  <c r="N150" i="16"/>
  <c r="N153" i="16"/>
  <c r="O154" i="16"/>
  <c r="N156" i="16"/>
  <c r="M167" i="16"/>
  <c r="P171" i="16"/>
  <c r="P172" i="16"/>
  <c r="M186" i="16"/>
  <c r="F191" i="16"/>
  <c r="P6" i="20"/>
  <c r="P12" i="20"/>
  <c r="M4" i="16"/>
  <c r="L4" i="16"/>
  <c r="P6" i="16"/>
  <c r="P9" i="16"/>
  <c r="O12" i="16"/>
  <c r="G30" i="16"/>
  <c r="N25" i="16"/>
  <c r="M26" i="16"/>
  <c r="L26" i="16"/>
  <c r="G31" i="16"/>
  <c r="P52" i="16"/>
  <c r="L55" i="16"/>
  <c r="N58" i="16"/>
  <c r="P69" i="16"/>
  <c r="K70" i="16"/>
  <c r="P72" i="16"/>
  <c r="C79" i="16"/>
  <c r="L84" i="16"/>
  <c r="M88" i="16"/>
  <c r="O89" i="16"/>
  <c r="H111" i="16"/>
  <c r="K111" i="16" s="1"/>
  <c r="N108" i="16"/>
  <c r="N117" i="16"/>
  <c r="D126" i="16"/>
  <c r="N124" i="16"/>
  <c r="J158" i="16"/>
  <c r="O166" i="16"/>
  <c r="N168" i="16"/>
  <c r="M172" i="16"/>
  <c r="D190" i="16"/>
  <c r="M6" i="20"/>
  <c r="P7" i="20"/>
  <c r="M9" i="20"/>
  <c r="M10" i="20"/>
  <c r="D14" i="16"/>
  <c r="O7" i="16"/>
  <c r="P10" i="16"/>
  <c r="I15" i="16"/>
  <c r="H31" i="16"/>
  <c r="K31" i="16" s="1"/>
  <c r="P37" i="16"/>
  <c r="N41" i="16"/>
  <c r="N44" i="16"/>
  <c r="P70" i="16"/>
  <c r="M148" i="16"/>
  <c r="L152" i="16"/>
  <c r="M181" i="16"/>
  <c r="M7" i="20"/>
  <c r="N4" i="16"/>
  <c r="K5" i="16"/>
  <c r="L6" i="16"/>
  <c r="P7" i="16"/>
  <c r="L9" i="16"/>
  <c r="C30" i="16"/>
  <c r="K20" i="16"/>
  <c r="N22" i="16"/>
  <c r="N26" i="16"/>
  <c r="K27" i="16"/>
  <c r="I31" i="16"/>
  <c r="B46" i="16"/>
  <c r="J46" i="16"/>
  <c r="O42" i="16"/>
  <c r="P44" i="16"/>
  <c r="P53" i="16"/>
  <c r="P59" i="16"/>
  <c r="M60" i="16"/>
  <c r="K60" i="16"/>
  <c r="H63" i="16"/>
  <c r="I78" i="16"/>
  <c r="P85" i="16"/>
  <c r="M86" i="16"/>
  <c r="P103" i="16"/>
  <c r="P106" i="16"/>
  <c r="B111" i="16"/>
  <c r="J111" i="16"/>
  <c r="O120" i="16"/>
  <c r="M132" i="16"/>
  <c r="L135" i="16"/>
  <c r="M136" i="16"/>
  <c r="P138" i="16"/>
  <c r="E143" i="16"/>
  <c r="J143" i="16"/>
  <c r="O152" i="16"/>
  <c r="C175" i="16"/>
  <c r="P180" i="16"/>
  <c r="N6" i="20"/>
  <c r="L10" i="20"/>
  <c r="F14" i="16"/>
  <c r="P14" i="16" s="1"/>
  <c r="L10" i="16"/>
  <c r="N11" i="16"/>
  <c r="M12" i="16"/>
  <c r="L12" i="16"/>
  <c r="M24" i="16"/>
  <c r="L25" i="16"/>
  <c r="O37" i="16"/>
  <c r="F47" i="16"/>
  <c r="P47" i="16" s="1"/>
  <c r="L57" i="16"/>
  <c r="P60" i="16"/>
  <c r="B78" i="16"/>
  <c r="J78" i="16"/>
  <c r="N85" i="16"/>
  <c r="P89" i="16"/>
  <c r="O92" i="16"/>
  <c r="N103" i="16"/>
  <c r="N122" i="16"/>
  <c r="P133" i="16"/>
  <c r="P164" i="16"/>
  <c r="P166" i="16"/>
  <c r="M185" i="16"/>
  <c r="M8" i="20"/>
  <c r="N31" i="16"/>
  <c r="K47" i="16"/>
  <c r="O47" i="16"/>
  <c r="L15" i="16"/>
  <c r="K15" i="16"/>
  <c r="P4" i="16"/>
  <c r="L8" i="16"/>
  <c r="N10" i="16"/>
  <c r="O11" i="16"/>
  <c r="P12" i="16"/>
  <c r="H14" i="16"/>
  <c r="B30" i="16"/>
  <c r="J30" i="16"/>
  <c r="L22" i="16"/>
  <c r="N24" i="16"/>
  <c r="O25" i="16"/>
  <c r="L40" i="16"/>
  <c r="O41" i="16"/>
  <c r="H46" i="16"/>
  <c r="P54" i="16"/>
  <c r="N54" i="16"/>
  <c r="L56" i="16"/>
  <c r="D62" i="16"/>
  <c r="E79" i="16"/>
  <c r="L79" i="16" s="1"/>
  <c r="M75" i="16"/>
  <c r="L75" i="16"/>
  <c r="L92" i="16"/>
  <c r="F110" i="16"/>
  <c r="N100" i="16"/>
  <c r="L100" i="16"/>
  <c r="J142" i="16"/>
  <c r="P134" i="16"/>
  <c r="O149" i="16"/>
  <c r="M149" i="16"/>
  <c r="P188" i="16"/>
  <c r="M8" i="16"/>
  <c r="N9" i="16"/>
  <c r="M22" i="16"/>
  <c r="N23" i="16"/>
  <c r="E30" i="16"/>
  <c r="M40" i="16"/>
  <c r="F79" i="16"/>
  <c r="P75" i="16"/>
  <c r="H95" i="16"/>
  <c r="L91" i="16"/>
  <c r="O91" i="16"/>
  <c r="K102" i="16"/>
  <c r="O102" i="16"/>
  <c r="L102" i="16"/>
  <c r="N120" i="16"/>
  <c r="P120" i="16"/>
  <c r="N121" i="16"/>
  <c r="L121" i="16"/>
  <c r="M121" i="16"/>
  <c r="K140" i="16"/>
  <c r="O140" i="16"/>
  <c r="L140" i="16"/>
  <c r="M153" i="16"/>
  <c r="O153" i="16"/>
  <c r="O9" i="16"/>
  <c r="C15" i="16"/>
  <c r="M15" i="16" s="1"/>
  <c r="O23" i="16"/>
  <c r="P24" i="16"/>
  <c r="F30" i="16"/>
  <c r="P30" i="16" s="1"/>
  <c r="C46" i="16"/>
  <c r="P40" i="16"/>
  <c r="M43" i="16"/>
  <c r="B62" i="16"/>
  <c r="J62" i="16"/>
  <c r="N53" i="16"/>
  <c r="O56" i="16"/>
  <c r="M58" i="16"/>
  <c r="H62" i="16"/>
  <c r="F63" i="16"/>
  <c r="P63" i="16" s="1"/>
  <c r="N70" i="16"/>
  <c r="L70" i="16"/>
  <c r="L72" i="16"/>
  <c r="N72" i="16"/>
  <c r="L74" i="16"/>
  <c r="G79" i="16"/>
  <c r="M76" i="16"/>
  <c r="C94" i="16"/>
  <c r="M84" i="16"/>
  <c r="O87" i="16"/>
  <c r="K87" i="16"/>
  <c r="P92" i="16"/>
  <c r="B94" i="16"/>
  <c r="E110" i="16"/>
  <c r="N110" i="16" s="1"/>
  <c r="L101" i="16"/>
  <c r="N101" i="16"/>
  <c r="B126" i="16"/>
  <c r="J126" i="16"/>
  <c r="P121" i="16"/>
  <c r="D143" i="16"/>
  <c r="G158" i="16"/>
  <c r="P153" i="16"/>
  <c r="M156" i="16"/>
  <c r="C159" i="16"/>
  <c r="O164" i="16"/>
  <c r="H174" i="16"/>
  <c r="L164" i="16"/>
  <c r="K164" i="16"/>
  <c r="N181" i="16"/>
  <c r="K4" i="16"/>
  <c r="L5" i="16"/>
  <c r="M6" i="16"/>
  <c r="N7" i="16"/>
  <c r="O8" i="16"/>
  <c r="K12" i="16"/>
  <c r="C14" i="16"/>
  <c r="M20" i="16"/>
  <c r="N21" i="16"/>
  <c r="O22" i="16"/>
  <c r="K26" i="16"/>
  <c r="M27" i="16"/>
  <c r="N28" i="16"/>
  <c r="D46" i="16"/>
  <c r="P46" i="16" s="1"/>
  <c r="M36" i="16"/>
  <c r="L39" i="16"/>
  <c r="L42" i="16"/>
  <c r="E47" i="16"/>
  <c r="N47" i="16" s="1"/>
  <c r="N43" i="16"/>
  <c r="M52" i="16"/>
  <c r="K52" i="16"/>
  <c r="M55" i="16"/>
  <c r="L59" i="16"/>
  <c r="M74" i="16"/>
  <c r="N76" i="16"/>
  <c r="D94" i="16"/>
  <c r="P94" i="16" s="1"/>
  <c r="O85" i="16"/>
  <c r="K85" i="16"/>
  <c r="O86" i="16"/>
  <c r="L88" i="16"/>
  <c r="N88" i="16"/>
  <c r="H94" i="16"/>
  <c r="L117" i="16"/>
  <c r="M117" i="16"/>
  <c r="K117" i="16"/>
  <c r="P118" i="16"/>
  <c r="O119" i="16"/>
  <c r="M119" i="16"/>
  <c r="M133" i="16"/>
  <c r="O133" i="16"/>
  <c r="P150" i="16"/>
  <c r="I174" i="16"/>
  <c r="M5" i="16"/>
  <c r="N6" i="16"/>
  <c r="K11" i="16"/>
  <c r="N20" i="16"/>
  <c r="K25" i="16"/>
  <c r="N27" i="16"/>
  <c r="H30" i="16"/>
  <c r="L31" i="16"/>
  <c r="N36" i="16"/>
  <c r="M39" i="16"/>
  <c r="M42" i="16"/>
  <c r="L44" i="16"/>
  <c r="K44" i="16"/>
  <c r="N55" i="16"/>
  <c r="K63" i="16"/>
  <c r="M69" i="16"/>
  <c r="N69" i="16"/>
  <c r="K69" i="16"/>
  <c r="M71" i="16"/>
  <c r="K71" i="16"/>
  <c r="P86" i="16"/>
  <c r="L86" i="16"/>
  <c r="K91" i="16"/>
  <c r="M102" i="16"/>
  <c r="H110" i="16"/>
  <c r="K124" i="16"/>
  <c r="L124" i="16"/>
  <c r="H127" i="16"/>
  <c r="M124" i="16"/>
  <c r="K138" i="16"/>
  <c r="M138" i="16"/>
  <c r="L138" i="16"/>
  <c r="O151" i="16"/>
  <c r="M151" i="16"/>
  <c r="C158" i="16"/>
  <c r="N169" i="16"/>
  <c r="M169" i="16"/>
  <c r="N187" i="16"/>
  <c r="L187" i="16"/>
  <c r="E191" i="16"/>
  <c r="L11" i="16"/>
  <c r="E14" i="16"/>
  <c r="O20" i="16"/>
  <c r="O27" i="16"/>
  <c r="L37" i="16"/>
  <c r="N52" i="16"/>
  <c r="O53" i="16"/>
  <c r="P55" i="16"/>
  <c r="J63" i="16"/>
  <c r="L63" i="16"/>
  <c r="G78" i="16"/>
  <c r="L69" i="16"/>
  <c r="L71" i="16"/>
  <c r="O79" i="16"/>
  <c r="K79" i="16"/>
  <c r="L89" i="16"/>
  <c r="M91" i="16"/>
  <c r="M100" i="16"/>
  <c r="D111" i="16"/>
  <c r="P111" i="16" s="1"/>
  <c r="O108" i="16"/>
  <c r="K108" i="16"/>
  <c r="E126" i="16"/>
  <c r="N116" i="16"/>
  <c r="M116" i="16"/>
  <c r="K118" i="16"/>
  <c r="O118" i="16"/>
  <c r="P122" i="16"/>
  <c r="E127" i="16"/>
  <c r="G142" i="16"/>
  <c r="N137" i="16"/>
  <c r="B158" i="16"/>
  <c r="M166" i="16"/>
  <c r="N166" i="16"/>
  <c r="L166" i="16"/>
  <c r="K168" i="16"/>
  <c r="O168" i="16"/>
  <c r="L168" i="16"/>
  <c r="E174" i="16"/>
  <c r="M180" i="16"/>
  <c r="K9" i="16"/>
  <c r="K23" i="16"/>
  <c r="P26" i="16"/>
  <c r="P27" i="16"/>
  <c r="P36" i="16"/>
  <c r="L38" i="16"/>
  <c r="F62" i="16"/>
  <c r="P62" i="16" s="1"/>
  <c r="L54" i="16"/>
  <c r="M57" i="16"/>
  <c r="C63" i="16"/>
  <c r="M63" i="16" s="1"/>
  <c r="M59" i="16"/>
  <c r="L73" i="16"/>
  <c r="N75" i="16"/>
  <c r="L76" i="16"/>
  <c r="O76" i="16"/>
  <c r="F78" i="16"/>
  <c r="N78" i="16" s="1"/>
  <c r="G94" i="16"/>
  <c r="L85" i="16"/>
  <c r="M87" i="16"/>
  <c r="L90" i="16"/>
  <c r="K90" i="16"/>
  <c r="D110" i="16"/>
  <c r="P100" i="16"/>
  <c r="O106" i="16"/>
  <c r="K106" i="16"/>
  <c r="L106" i="16"/>
  <c r="M107" i="16"/>
  <c r="O117" i="16"/>
  <c r="P123" i="16"/>
  <c r="F127" i="16"/>
  <c r="L123" i="16"/>
  <c r="L139" i="16"/>
  <c r="K139" i="16"/>
  <c r="H143" i="16"/>
  <c r="O139" i="16"/>
  <c r="P155" i="16"/>
  <c r="B159" i="16"/>
  <c r="J159" i="16"/>
  <c r="J174" i="16"/>
  <c r="N182" i="16"/>
  <c r="L182" i="16"/>
  <c r="O31" i="16"/>
  <c r="L36" i="16"/>
  <c r="N38" i="16"/>
  <c r="O39" i="16"/>
  <c r="P41" i="16"/>
  <c r="M44" i="16"/>
  <c r="G62" i="16"/>
  <c r="M56" i="16"/>
  <c r="O57" i="16"/>
  <c r="L58" i="16"/>
  <c r="K58" i="16"/>
  <c r="O58" i="16"/>
  <c r="N59" i="16"/>
  <c r="C62" i="16"/>
  <c r="M62" i="16" s="1"/>
  <c r="N71" i="16"/>
  <c r="N73" i="16"/>
  <c r="O74" i="16"/>
  <c r="K74" i="16"/>
  <c r="M85" i="16"/>
  <c r="N89" i="16"/>
  <c r="M92" i="16"/>
  <c r="K92" i="16"/>
  <c r="P102" i="16"/>
  <c r="N105" i="16"/>
  <c r="M105" i="16"/>
  <c r="E111" i="16"/>
  <c r="O124" i="16"/>
  <c r="O135" i="16"/>
  <c r="M135" i="16"/>
  <c r="O138" i="16"/>
  <c r="P140" i="16"/>
  <c r="F142" i="16"/>
  <c r="N180" i="16"/>
  <c r="N188" i="16"/>
  <c r="F190" i="16"/>
  <c r="M89" i="16"/>
  <c r="N92" i="16"/>
  <c r="M123" i="16"/>
  <c r="P124" i="16"/>
  <c r="K132" i="16"/>
  <c r="O132" i="16"/>
  <c r="O134" i="16"/>
  <c r="K134" i="16"/>
  <c r="O136" i="16"/>
  <c r="O148" i="16"/>
  <c r="O150" i="16"/>
  <c r="K150" i="16"/>
  <c r="O156" i="16"/>
  <c r="L156" i="16"/>
  <c r="H158" i="16"/>
  <c r="L181" i="16"/>
  <c r="O181" i="16"/>
  <c r="M182" i="16"/>
  <c r="B191" i="16"/>
  <c r="P11" i="20"/>
  <c r="N11" i="20"/>
  <c r="L68" i="16"/>
  <c r="H78" i="16"/>
  <c r="E94" i="16"/>
  <c r="N94" i="16" s="1"/>
  <c r="N84" i="16"/>
  <c r="K104" i="16"/>
  <c r="O104" i="16"/>
  <c r="N119" i="16"/>
  <c r="O122" i="16"/>
  <c r="K122" i="16"/>
  <c r="D127" i="16"/>
  <c r="I142" i="16"/>
  <c r="N133" i="16"/>
  <c r="N135" i="16"/>
  <c r="N149" i="16"/>
  <c r="L149" i="16"/>
  <c r="N151" i="16"/>
  <c r="O165" i="16"/>
  <c r="M165" i="16"/>
  <c r="D174" i="16"/>
  <c r="P175" i="16"/>
  <c r="L180" i="16"/>
  <c r="L183" i="16"/>
  <c r="K183" i="16"/>
  <c r="M183" i="16"/>
  <c r="O187" i="16"/>
  <c r="C191" i="16"/>
  <c r="E190" i="16"/>
  <c r="N9" i="20"/>
  <c r="L9" i="20"/>
  <c r="M4" i="20"/>
  <c r="L4" i="20"/>
  <c r="K4" i="20"/>
  <c r="O4" i="20"/>
  <c r="K68" i="16"/>
  <c r="N91" i="16"/>
  <c r="B95" i="16"/>
  <c r="O100" i="16"/>
  <c r="L103" i="16"/>
  <c r="K103" i="16"/>
  <c r="M104" i="16"/>
  <c r="L104" i="16"/>
  <c r="L119" i="16"/>
  <c r="M120" i="16"/>
  <c r="K120" i="16"/>
  <c r="L122" i="16"/>
  <c r="D142" i="16"/>
  <c r="N132" i="16"/>
  <c r="N134" i="16"/>
  <c r="L136" i="16"/>
  <c r="D158" i="16"/>
  <c r="L148" i="16"/>
  <c r="M150" i="16"/>
  <c r="M154" i="16"/>
  <c r="L154" i="16"/>
  <c r="P165" i="16"/>
  <c r="B174" i="16"/>
  <c r="O183" i="16"/>
  <c r="O184" i="16"/>
  <c r="L184" i="16"/>
  <c r="K184" i="16"/>
  <c r="P185" i="16"/>
  <c r="L188" i="16"/>
  <c r="D78" i="16"/>
  <c r="M68" i="16"/>
  <c r="M90" i="16"/>
  <c r="I110" i="16"/>
  <c r="C111" i="16"/>
  <c r="K116" i="16"/>
  <c r="L116" i="16"/>
  <c r="L120" i="16"/>
  <c r="M122" i="16"/>
  <c r="H126" i="16"/>
  <c r="N136" i="16"/>
  <c r="F143" i="16"/>
  <c r="P143" i="16" s="1"/>
  <c r="P139" i="16"/>
  <c r="H142" i="16"/>
  <c r="N152" i="16"/>
  <c r="H159" i="16"/>
  <c r="L155" i="16"/>
  <c r="K155" i="16"/>
  <c r="M168" i="16"/>
  <c r="M170" i="16"/>
  <c r="I190" i="16"/>
  <c r="I126" i="16"/>
  <c r="M140" i="16"/>
  <c r="F158" i="16"/>
  <c r="N148" i="16"/>
  <c r="P152" i="16"/>
  <c r="P156" i="16"/>
  <c r="L167" i="16"/>
  <c r="K167" i="16"/>
  <c r="P170" i="16"/>
  <c r="N172" i="16"/>
  <c r="E175" i="16"/>
  <c r="N175" i="16" s="1"/>
  <c r="B190" i="16"/>
  <c r="J190" i="16"/>
  <c r="M188" i="16"/>
  <c r="L11" i="20"/>
  <c r="E142" i="16"/>
  <c r="L133" i="16"/>
  <c r="M134" i="16"/>
  <c r="P135" i="16"/>
  <c r="E158" i="16"/>
  <c r="P151" i="16"/>
  <c r="F174" i="16"/>
  <c r="O170" i="16"/>
  <c r="L170" i="16"/>
  <c r="O172" i="16"/>
  <c r="G190" i="16"/>
  <c r="M184" i="16"/>
  <c r="L191" i="16"/>
  <c r="O5" i="20"/>
  <c r="L5" i="20"/>
  <c r="K5" i="20"/>
  <c r="N7" i="20"/>
  <c r="N10" i="20"/>
  <c r="M5" i="20"/>
  <c r="O7" i="20"/>
  <c r="P8" i="20"/>
  <c r="F95" i="16"/>
  <c r="P95" i="16" s="1"/>
  <c r="L105" i="16"/>
  <c r="M106" i="16"/>
  <c r="P107" i="16"/>
  <c r="C126" i="16"/>
  <c r="L153" i="16"/>
  <c r="N155" i="16"/>
  <c r="E159" i="16"/>
  <c r="L169" i="16"/>
  <c r="K169" i="16"/>
  <c r="H175" i="16"/>
  <c r="L172" i="16"/>
  <c r="C190" i="16"/>
  <c r="O186" i="16"/>
  <c r="D191" i="16"/>
  <c r="P191" i="16" s="1"/>
  <c r="M11" i="20"/>
  <c r="K6" i="20"/>
  <c r="L7" i="20"/>
  <c r="O10" i="20"/>
  <c r="H190" i="16"/>
  <c r="L6" i="20"/>
  <c r="N8" i="20"/>
  <c r="C142" i="16"/>
  <c r="K12" i="20"/>
  <c r="K11" i="20"/>
  <c r="L12" i="20"/>
  <c r="M111" i="16" l="1"/>
  <c r="P159" i="16"/>
  <c r="M175" i="16"/>
  <c r="M78" i="16"/>
  <c r="P126" i="16"/>
  <c r="P79" i="16"/>
  <c r="N158" i="16"/>
  <c r="N174" i="16"/>
  <c r="N126" i="16"/>
  <c r="M95" i="16"/>
  <c r="O63" i="16"/>
  <c r="N190" i="16"/>
  <c r="P190" i="16"/>
  <c r="M127" i="16"/>
  <c r="N14" i="16"/>
  <c r="M31" i="16"/>
  <c r="M142" i="16"/>
  <c r="M159" i="16"/>
  <c r="N111" i="16"/>
  <c r="M158" i="16"/>
  <c r="O94" i="16"/>
  <c r="K94" i="16"/>
  <c r="L94" i="16"/>
  <c r="O62" i="16"/>
  <c r="K62" i="16"/>
  <c r="L62" i="16"/>
  <c r="M46" i="16"/>
  <c r="O95" i="16"/>
  <c r="L95" i="16"/>
  <c r="K95" i="16"/>
  <c r="M79" i="16"/>
  <c r="N159" i="16"/>
  <c r="P158" i="16"/>
  <c r="K159" i="16"/>
  <c r="O159" i="16"/>
  <c r="L159" i="16"/>
  <c r="M174" i="16"/>
  <c r="M14" i="16"/>
  <c r="L111" i="16"/>
  <c r="O15" i="16"/>
  <c r="P142" i="16"/>
  <c r="L143" i="16"/>
  <c r="O143" i="16"/>
  <c r="K143" i="16"/>
  <c r="O110" i="16"/>
  <c r="L110" i="16"/>
  <c r="K110" i="16"/>
  <c r="M143" i="16"/>
  <c r="O111" i="16"/>
  <c r="P110" i="16"/>
  <c r="N46" i="16"/>
  <c r="M190" i="16"/>
  <c r="N191" i="16"/>
  <c r="O174" i="16"/>
  <c r="L174" i="16"/>
  <c r="K174" i="16"/>
  <c r="N95" i="16"/>
  <c r="M126" i="16"/>
  <c r="K142" i="16"/>
  <c r="O142" i="16"/>
  <c r="L142" i="16"/>
  <c r="K190" i="16"/>
  <c r="O190" i="16"/>
  <c r="L190" i="16"/>
  <c r="N142" i="16"/>
  <c r="P78" i="16"/>
  <c r="N63" i="16"/>
  <c r="M47" i="16"/>
  <c r="N62" i="16"/>
  <c r="O175" i="16"/>
  <c r="L175" i="16"/>
  <c r="K175" i="16"/>
  <c r="O14" i="16"/>
  <c r="L14" i="16"/>
  <c r="K14" i="16"/>
  <c r="P174" i="16"/>
  <c r="N143" i="16"/>
  <c r="O191" i="16"/>
  <c r="M191" i="16"/>
  <c r="L78" i="16"/>
  <c r="K78" i="16"/>
  <c r="O78" i="16"/>
  <c r="O158" i="16"/>
  <c r="L158" i="16"/>
  <c r="K158" i="16"/>
  <c r="P127" i="16"/>
  <c r="L30" i="16"/>
  <c r="K30" i="16"/>
  <c r="O30" i="16"/>
  <c r="N30" i="16"/>
  <c r="M30" i="16"/>
  <c r="N15" i="16"/>
  <c r="L47" i="16"/>
  <c r="L46" i="16"/>
  <c r="K46" i="16"/>
  <c r="O46" i="16"/>
  <c r="K126" i="16"/>
  <c r="O126" i="16"/>
  <c r="L126" i="16"/>
  <c r="N127" i="16"/>
  <c r="L127" i="16"/>
  <c r="K127" i="16"/>
  <c r="O127" i="16"/>
  <c r="M94" i="16"/>
  <c r="N79" i="16"/>
  <c r="M110" i="16"/>
</calcChain>
</file>

<file path=xl/sharedStrings.xml><?xml version="1.0" encoding="utf-8"?>
<sst xmlns="http://schemas.openxmlformats.org/spreadsheetml/2006/main" count="3650" uniqueCount="218">
  <si>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</si>
  <si>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</si>
  <si>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</si>
  <si>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</si>
  <si>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</si>
  <si>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</si>
  <si>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</si>
  <si>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</si>
  <si>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</si>
  <si>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</si>
  <si>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</si>
  <si>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</si>
  <si>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</si>
  <si>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</si>
  <si>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</si>
  <si>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</si>
  <si>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</si>
  <si>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</si>
  <si>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</si>
  <si>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</si>
  <si>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</si>
  <si>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</si>
  <si>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</si>
  <si>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</si>
  <si>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</si>
  <si>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</si>
  <si>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</si>
  <si>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</si>
  <si>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</si>
  <si>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</si>
  <si>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</si>
  <si>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</si>
  <si>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</si>
  <si>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</si>
  <si>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</si>
  <si>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</si>
  <si>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</si>
  <si>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</si>
  <si>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</si>
  <si>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</si>
  <si>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</si>
  <si>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</si>
  <si>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</si>
  <si>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</si>
  <si>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</si>
  <si>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</si>
  <si>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</si>
  <si>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</si>
  <si>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</si>
  <si>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</si>
  <si>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</si>
  <si>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</si>
  <si>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</si>
  <si>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</si>
  <si>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</si>
  <si>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</si>
  <si>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</si>
  <si>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</si>
  <si>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</si>
  <si>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</si>
  <si>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</si>
  <si>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</si>
  <si>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</si>
  <si>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</si>
  <si>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</si>
  <si>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</si>
  <si>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</si>
  <si>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</si>
  <si>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</si>
  <si>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</si>
  <si>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</si>
  <si>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</si>
  <si>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</si>
  <si>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</si>
  <si>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</si>
  <si>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</si>
  <si>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</si>
  <si>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</si>
  <si>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</si>
  <si>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</si>
  <si>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</si>
  <si>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</si>
  <si>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</si>
  <si>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</si>
  <si>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</si>
  <si>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</si>
  <si>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</si>
  <si>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</si>
  <si>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</si>
  <si>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</si>
  <si>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</si>
  <si>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</si>
  <si>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</si>
  <si>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</si>
  <si>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</si>
  <si>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</si>
  <si>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</si>
  <si>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</si>
  <si>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</si>
  <si>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</si>
  <si>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</si>
  <si>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</si>
  <si>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</si>
  <si>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</si>
  <si>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</si>
  <si>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</si>
  <si>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</si>
  <si>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</si>
  <si>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</si>
  <si>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</si>
  <si>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</si>
  <si>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</si>
  <si>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</si>
  <si>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</si>
  <si>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</si>
  <si>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</si>
  <si>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</si>
  <si>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</si>
  <si>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</si>
  <si>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</si>
  <si>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</si>
  <si>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</si>
  <si>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</si>
  <si>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</si>
  <si>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</si>
  <si>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</si>
  <si>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</si>
  <si>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</si>
  <si>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</si>
  <si>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</si>
  <si>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</si>
  <si>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</si>
  <si>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</si>
  <si>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</si>
  <si>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</si>
  <si>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</si>
  <si>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</si>
  <si>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</si>
  <si>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</si>
  <si>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</si>
  <si>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</si>
  <si>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</si>
  <si>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</si>
  <si>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</si>
  <si>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</si>
  <si>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</si>
  <si>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</si>
  <si>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</si>
  <si>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</si>
  <si>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</si>
  <si>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</si>
  <si>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</si>
  <si>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</si>
  <si>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</si>
  <si>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</si>
  <si>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</si>
  <si>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</si>
  <si>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</si>
  <si>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</si>
  <si>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</si>
  <si>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</si>
  <si>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</si>
  <si>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</si>
  <si>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</si>
  <si>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</si>
  <si>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</si>
  <si>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</si>
  <si>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</si>
  <si>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</si>
  <si>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</si>
  <si>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</si>
  <si>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</si>
  <si>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</si>
  <si>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</si>
  <si>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</si>
  <si>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</si>
  <si>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</si>
  <si>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</si>
  <si>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</si>
  <si>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</si>
  <si>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</si>
  <si>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</si>
  <si>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</si>
  <si>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</si>
  <si>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</si>
  <si>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</si>
  <si>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</si>
  <si>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</si>
  <si>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</si>
  <si>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</si>
  <si>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</si>
  <si>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</si>
  <si>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</si>
  <si>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</si>
  <si>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</si>
  <si>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</si>
  <si>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</si>
  <si>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</si>
  <si>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</si>
  <si>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</si>
  <si>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</si>
  <si>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</si>
  <si>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</si>
  <si>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</si>
  <si>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</si>
  <si>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</si>
  <si>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</si>
  <si>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</si>
  <si>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</si>
  <si>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</si>
  <si>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</si>
  <si>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</si>
  <si>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</si>
  <si>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</si>
  <si>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2026-00001</t>
  </si>
  <si>
    <t>Years</t>
  </si>
  <si>
    <t>M</t>
  </si>
  <si>
    <t>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</si>
</sst>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6" fillId="5" borderId="0" xfId="0" applyFont="1" applyFill="1" applyAlignment="1">
      <alignment horizontal="center" vertical="center"/>
    </xf>
    <xf numFmtId="0" fontId="0" fillId="0" borderId="0" xfId="0"/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">
    <dxf>
      <numFmt numFmtId="165" formatCode="yyyy\-mm\-dd\ hh:mm"/>
    </dxf>
    <dxf>
      <numFmt numFmtId="164" formatCode="yyyy\-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305074E7-3FED-2EA2-35A7-450B6286DBB6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FD678DA5-FB4B-6D72-4088-E03E16C71E85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7E02422E-7009-C873-A5E3-EE5F20F847AE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1C2D246A-8CD0-C3CD-B1B9-EB363D29A72D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150C25C8-EA88-5EC3-3838-7D1C3E0FEF94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4D87B2A4-1A81-24B4-5F93-7072EAE7BD2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66AB2497-FC7E-7EA9-1131-69928CA33CDB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00A10D80-EF74-0C59-DD64-F56413AA54E0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74BCC741-8162-F969-475A-DDF520238218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B0E6FA27-54AD-271F-1E0E-655B08E85F49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C9925D63-D89B-5413-CD18-828CF7CAC9E7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A598CA0F-C694-8CF1-8B9D-19B0DE60E39C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43DC28E9-A3CB-347E-C171-A2B780D70163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6:F45">
  <autoFilter ref="A36:F45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2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48:C50">
  <autoFilter ref="A48:C50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3:C65">
  <autoFilter ref="A53:C65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304">
  <autoFilter ref="A1:L304" xr:uid="{00000000-0009-0000-0100-000004000000}"/>
  <tableColumns count="12">
    <tableColumn id="1" xr3:uid="{00000000-0010-0000-0300-000001000000}" name="EntryDate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3">
  <autoFilter ref="A1:K3" xr:uid="{00000000-0009-0000-0100-000005000000}"/>
  <tableColumns count="11">
    <tableColumn id="1" xr3:uid="{00000000-0010-0000-0400-000001000000}" name="AdmissionID"/>
    <tableColumn id="2" xr3:uid="{00000000-0010-0000-0400-000002000000}" name="AdmissionDate" dataDxfId="1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5"/>
  <sheetViews>
    <sheetView tabSelected="1" workbookViewId="0">
      <selection activeCell="D37" sqref="D37:D45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1" t="s">
        <v>0</v>
      </c>
      <c r="B1" s="26"/>
      <c r="C1" s="26"/>
      <c r="D1" s="26"/>
      <c r="E1" s="26"/>
      <c r="F1" s="26"/>
      <c r="G1" s="26"/>
      <c r="H1" s="26"/>
    </row>
    <row r="2" spans="1:10" ht="15.75" x14ac:dyDescent="0.25">
      <c r="A2" s="34" t="s">
        <v>1</v>
      </c>
      <c r="B2" s="26"/>
      <c r="C2" s="26"/>
      <c r="D2" s="26"/>
      <c r="E2" s="26"/>
      <c r="F2" s="26"/>
      <c r="G2" s="26"/>
      <c r="H2" s="26"/>
    </row>
    <row r="3" spans="1:10" x14ac:dyDescent="0.25">
      <c r="A3" s="33" t="s">
        <v>2</v>
      </c>
      <c r="B3" s="26"/>
      <c r="C3" s="26"/>
      <c r="D3" s="26"/>
      <c r="E3" s="26"/>
      <c r="F3" s="26"/>
      <c r="G3" s="26"/>
      <c r="H3" s="26"/>
    </row>
    <row r="5" spans="1:10" x14ac:dyDescent="0.25">
      <c r="A5" s="1" t="s">
        <v>3</v>
      </c>
      <c r="B5" s="1">
        <v>2026</v>
      </c>
      <c r="D5" s="1" t="s">
        <v>4</v>
      </c>
      <c r="E5" s="32" t="s">
        <v>2</v>
      </c>
      <c r="F5" s="26"/>
      <c r="G5" s="26"/>
      <c r="H5" s="26"/>
      <c r="J5" t="b">
        <v>1</v>
      </c>
    </row>
    <row r="6" spans="1:10" x14ac:dyDescent="0.25">
      <c r="J6" t="b">
        <v>1</v>
      </c>
    </row>
    <row r="7" spans="1:10" ht="15.75" x14ac:dyDescent="0.25">
      <c r="A7" s="27" t="s">
        <v>5</v>
      </c>
      <c r="B7" s="26"/>
      <c r="C7" s="26"/>
      <c r="D7" s="26"/>
      <c r="E7" s="26"/>
      <c r="F7" s="26"/>
      <c r="G7" s="26"/>
      <c r="H7" s="26"/>
    </row>
    <row r="9" spans="1:10" x14ac:dyDescent="0.25">
      <c r="A9" s="28" t="s">
        <v>203</v>
      </c>
      <c r="B9" s="26"/>
      <c r="C9" s="26"/>
      <c r="D9" s="2" t="s">
        <v>6</v>
      </c>
    </row>
    <row r="11" spans="1:10" x14ac:dyDescent="0.25">
      <c r="A11" s="28" t="s">
        <v>204</v>
      </c>
      <c r="B11" s="26"/>
      <c r="C11" s="26"/>
      <c r="D11" s="2" t="s">
        <v>7</v>
      </c>
    </row>
    <row r="13" spans="1:10" x14ac:dyDescent="0.25">
      <c r="A13" s="28" t="s">
        <v>205</v>
      </c>
      <c r="B13" s="26"/>
      <c r="C13" s="26"/>
      <c r="D13" s="2" t="s">
        <v>8</v>
      </c>
    </row>
    <row r="15" spans="1:10" x14ac:dyDescent="0.25">
      <c r="A15" s="28" t="s">
        <v>206</v>
      </c>
      <c r="B15" s="26"/>
      <c r="C15" s="26"/>
      <c r="D15" s="2" t="s">
        <v>9</v>
      </c>
    </row>
    <row r="17" spans="1:4" x14ac:dyDescent="0.25">
      <c r="A17" s="28" t="s">
        <v>207</v>
      </c>
      <c r="B17" s="26"/>
      <c r="C17" s="26"/>
      <c r="D17" s="2" t="s">
        <v>10</v>
      </c>
    </row>
    <row r="19" spans="1:4" x14ac:dyDescent="0.25">
      <c r="A19" s="28" t="s">
        <v>208</v>
      </c>
      <c r="B19" s="26"/>
      <c r="C19" s="26"/>
      <c r="D19" s="2" t="s">
        <v>11</v>
      </c>
    </row>
    <row r="21" spans="1:4" x14ac:dyDescent="0.25">
      <c r="A21" s="28" t="s">
        <v>209</v>
      </c>
      <c r="B21" s="26"/>
      <c r="C21" s="26"/>
      <c r="D21" s="2" t="s">
        <v>12</v>
      </c>
    </row>
    <row r="23" spans="1:4" x14ac:dyDescent="0.25">
      <c r="A23" s="28" t="s">
        <v>210</v>
      </c>
      <c r="B23" s="26"/>
      <c r="C23" s="26"/>
      <c r="D23" s="2" t="s">
        <v>13</v>
      </c>
    </row>
    <row r="25" spans="1:4" x14ac:dyDescent="0.25">
      <c r="A25" s="28" t="s">
        <v>14</v>
      </c>
      <c r="B25" s="26"/>
      <c r="C25" s="26"/>
      <c r="D25" s="2" t="s">
        <v>15</v>
      </c>
    </row>
    <row r="27" spans="1:4" x14ac:dyDescent="0.25">
      <c r="A27" s="30" t="s">
        <v>16</v>
      </c>
      <c r="B27" s="26"/>
      <c r="C27" s="26"/>
      <c r="D27" s="2" t="s">
        <v>17</v>
      </c>
    </row>
    <row r="29" spans="1:4" x14ac:dyDescent="0.25">
      <c r="A29" s="29" t="s">
        <v>211</v>
      </c>
      <c r="B29" s="26"/>
      <c r="C29" s="26"/>
      <c r="D29" s="2" t="s">
        <v>18</v>
      </c>
    </row>
    <row r="31" spans="1:4" x14ac:dyDescent="0.25">
      <c r="A31" s="29" t="s">
        <v>212</v>
      </c>
      <c r="B31" s="26"/>
      <c r="C31" s="26"/>
      <c r="D31" s="2" t="s">
        <v>19</v>
      </c>
    </row>
    <row r="33" spans="1:6" x14ac:dyDescent="0.25">
      <c r="A33" s="29" t="s">
        <v>213</v>
      </c>
      <c r="B33" s="26"/>
      <c r="C33" s="26"/>
      <c r="D33" s="2" t="s">
        <v>20</v>
      </c>
    </row>
    <row r="35" spans="1:6" ht="15.75" x14ac:dyDescent="0.25">
      <c r="A35" s="25" t="s">
        <v>21</v>
      </c>
      <c r="B35" s="26"/>
      <c r="C35" s="26"/>
      <c r="D35" s="26"/>
      <c r="E35" s="26"/>
      <c r="F35" s="26"/>
    </row>
    <row r="36" spans="1:6" x14ac:dyDescent="0.25">
      <c r="A36" s="3" t="s">
        <v>22</v>
      </c>
      <c r="B36" s="3" t="s">
        <v>23</v>
      </c>
      <c r="C36" s="3" t="s">
        <v>24</v>
      </c>
      <c r="D36" s="3" t="s">
        <v>25</v>
      </c>
      <c r="E36" s="3" t="s">
        <v>26</v>
      </c>
      <c r="F36" s="3" t="s">
        <v>27</v>
      </c>
    </row>
    <row r="37" spans="1:6" x14ac:dyDescent="0.25">
      <c r="A37" s="4" t="s">
        <v>28</v>
      </c>
      <c r="B37" s="4" t="s">
        <v>29</v>
      </c>
      <c r="C37" s="4">
        <v>32</v>
      </c>
      <c r="D37" s="4">
        <v>25</v>
      </c>
      <c r="E37" s="4" t="b">
        <v>0</v>
      </c>
      <c r="F37" s="4">
        <v>1</v>
      </c>
    </row>
    <row r="38" spans="1:6" x14ac:dyDescent="0.25">
      <c r="A38" s="4" t="s">
        <v>30</v>
      </c>
      <c r="B38" s="4" t="s">
        <v>31</v>
      </c>
      <c r="C38" s="4">
        <v>28</v>
      </c>
      <c r="D38" s="4">
        <v>16</v>
      </c>
      <c r="E38" s="4" t="b">
        <v>0</v>
      </c>
      <c r="F38" s="4">
        <v>2</v>
      </c>
    </row>
    <row r="39" spans="1:6" x14ac:dyDescent="0.25">
      <c r="A39" s="4" t="s">
        <v>32</v>
      </c>
      <c r="B39" s="4" t="s">
        <v>33</v>
      </c>
      <c r="C39" s="4">
        <v>27</v>
      </c>
      <c r="D39" s="4">
        <v>7</v>
      </c>
      <c r="E39" s="4" t="b">
        <v>0</v>
      </c>
      <c r="F39" s="4">
        <v>3</v>
      </c>
    </row>
    <row r="40" spans="1:6" x14ac:dyDescent="0.25">
      <c r="A40" s="4" t="s">
        <v>34</v>
      </c>
      <c r="B40" s="4" t="s">
        <v>35</v>
      </c>
      <c r="C40" s="4">
        <v>20</v>
      </c>
      <c r="D40" s="4">
        <v>9</v>
      </c>
      <c r="E40" s="4" t="b">
        <v>0</v>
      </c>
      <c r="F40" s="4">
        <v>4</v>
      </c>
    </row>
    <row r="41" spans="1:6" x14ac:dyDescent="0.25">
      <c r="A41" s="4" t="s">
        <v>36</v>
      </c>
      <c r="B41" s="4" t="s">
        <v>37</v>
      </c>
      <c r="C41" s="4">
        <v>14</v>
      </c>
      <c r="D41" s="4">
        <v>9</v>
      </c>
      <c r="E41" s="4" t="b">
        <v>0</v>
      </c>
      <c r="F41" s="4">
        <v>5</v>
      </c>
    </row>
    <row r="42" spans="1:6" x14ac:dyDescent="0.25">
      <c r="A42" s="4" t="s">
        <v>38</v>
      </c>
      <c r="B42" s="4" t="s">
        <v>39</v>
      </c>
      <c r="C42" s="4">
        <v>22</v>
      </c>
      <c r="D42" s="4">
        <v>12</v>
      </c>
      <c r="E42" s="4" t="b">
        <v>0</v>
      </c>
      <c r="F42" s="4">
        <v>6</v>
      </c>
    </row>
    <row r="43" spans="1:6" x14ac:dyDescent="0.25">
      <c r="A43" s="4" t="s">
        <v>40</v>
      </c>
      <c r="B43" s="4" t="s">
        <v>41</v>
      </c>
      <c r="C43" s="4">
        <v>15</v>
      </c>
      <c r="D43" s="4">
        <v>14</v>
      </c>
      <c r="E43" s="4" t="b">
        <v>0</v>
      </c>
      <c r="F43" s="4">
        <v>7</v>
      </c>
    </row>
    <row r="44" spans="1:6" x14ac:dyDescent="0.25">
      <c r="A44" s="4" t="s">
        <v>42</v>
      </c>
      <c r="B44" s="4" t="s">
        <v>43</v>
      </c>
      <c r="C44" s="4">
        <v>10</v>
      </c>
      <c r="D44" s="4">
        <v>9</v>
      </c>
      <c r="E44" s="4" t="b">
        <v>1</v>
      </c>
      <c r="F44" s="4">
        <v>8</v>
      </c>
    </row>
    <row r="45" spans="1:6" x14ac:dyDescent="0.25">
      <c r="A45" s="4" t="s">
        <v>44</v>
      </c>
      <c r="B45" s="4" t="s">
        <v>45</v>
      </c>
      <c r="C45" s="4">
        <v>10</v>
      </c>
      <c r="D45" s="4">
        <v>1</v>
      </c>
      <c r="E45" s="4" t="b">
        <v>1</v>
      </c>
      <c r="F45" s="4">
        <v>9</v>
      </c>
    </row>
    <row r="47" spans="1:6" ht="15.75" x14ac:dyDescent="0.25">
      <c r="A47" s="25" t="s">
        <v>46</v>
      </c>
      <c r="B47" s="26"/>
      <c r="C47" s="26"/>
      <c r="D47" s="26"/>
      <c r="E47" s="26"/>
      <c r="F47" s="26"/>
    </row>
    <row r="48" spans="1:6" x14ac:dyDescent="0.25">
      <c r="A48" s="3" t="s">
        <v>47</v>
      </c>
      <c r="B48" s="3" t="s">
        <v>48</v>
      </c>
      <c r="C48" s="3" t="s">
        <v>49</v>
      </c>
    </row>
    <row r="49" spans="1:3" x14ac:dyDescent="0.25">
      <c r="A49" s="4" t="s">
        <v>50</v>
      </c>
      <c r="B49" s="4" t="b">
        <v>1</v>
      </c>
      <c r="C49" s="4" t="s">
        <v>51</v>
      </c>
    </row>
    <row r="50" spans="1:3" x14ac:dyDescent="0.25">
      <c r="A50" s="4" t="s">
        <v>52</v>
      </c>
      <c r="B50" s="4" t="b">
        <v>1</v>
      </c>
      <c r="C50" s="4" t="s">
        <v>53</v>
      </c>
    </row>
    <row r="52" spans="1:3" ht="15.75" x14ac:dyDescent="0.25">
      <c r="A52" s="5" t="s">
        <v>54</v>
      </c>
    </row>
    <row r="53" spans="1:3" x14ac:dyDescent="0.25">
      <c r="A53" s="3" t="s">
        <v>55</v>
      </c>
      <c r="B53" s="3" t="s">
        <v>56</v>
      </c>
      <c r="C53" s="3" t="s">
        <v>57</v>
      </c>
    </row>
    <row r="54" spans="1:3" x14ac:dyDescent="0.25">
      <c r="A54" s="4">
        <v>1</v>
      </c>
      <c r="B54" s="4" t="s">
        <v>58</v>
      </c>
      <c r="C54" s="4">
        <v>31</v>
      </c>
    </row>
    <row r="55" spans="1:3" x14ac:dyDescent="0.25">
      <c r="A55" s="4">
        <v>2</v>
      </c>
      <c r="B55" s="4" t="s">
        <v>59</v>
      </c>
      <c r="C55" s="4">
        <v>28</v>
      </c>
    </row>
    <row r="56" spans="1:3" x14ac:dyDescent="0.25">
      <c r="A56" s="4">
        <v>3</v>
      </c>
      <c r="B56" s="4" t="s">
        <v>60</v>
      </c>
      <c r="C56" s="4">
        <v>31</v>
      </c>
    </row>
    <row r="57" spans="1:3" x14ac:dyDescent="0.25">
      <c r="A57" s="4">
        <v>4</v>
      </c>
      <c r="B57" s="4" t="s">
        <v>61</v>
      </c>
      <c r="C57" s="4">
        <v>30</v>
      </c>
    </row>
    <row r="58" spans="1:3" x14ac:dyDescent="0.25">
      <c r="A58" s="4">
        <v>5</v>
      </c>
      <c r="B58" s="4" t="s">
        <v>62</v>
      </c>
      <c r="C58" s="4">
        <v>31</v>
      </c>
    </row>
    <row r="59" spans="1:3" x14ac:dyDescent="0.25">
      <c r="A59" s="4">
        <v>6</v>
      </c>
      <c r="B59" s="4" t="s">
        <v>63</v>
      </c>
      <c r="C59" s="4">
        <v>30</v>
      </c>
    </row>
    <row r="60" spans="1:3" x14ac:dyDescent="0.25">
      <c r="A60" s="4">
        <v>7</v>
      </c>
      <c r="B60" s="4" t="s">
        <v>64</v>
      </c>
      <c r="C60" s="4">
        <v>31</v>
      </c>
    </row>
    <row r="61" spans="1:3" x14ac:dyDescent="0.25">
      <c r="A61" s="4">
        <v>8</v>
      </c>
      <c r="B61" s="4" t="s">
        <v>65</v>
      </c>
      <c r="C61" s="4">
        <v>31</v>
      </c>
    </row>
    <row r="62" spans="1:3" x14ac:dyDescent="0.25">
      <c r="A62" s="4">
        <v>9</v>
      </c>
      <c r="B62" s="4" t="s">
        <v>66</v>
      </c>
      <c r="C62" s="4">
        <v>30</v>
      </c>
    </row>
    <row r="63" spans="1:3" x14ac:dyDescent="0.25">
      <c r="A63" s="4">
        <v>10</v>
      </c>
      <c r="B63" s="4" t="s">
        <v>67</v>
      </c>
      <c r="C63" s="4">
        <v>31</v>
      </c>
    </row>
    <row r="64" spans="1:3" x14ac:dyDescent="0.25">
      <c r="A64" s="4">
        <v>11</v>
      </c>
      <c r="B64" s="4" t="s">
        <v>68</v>
      </c>
      <c r="C64" s="4">
        <v>30</v>
      </c>
    </row>
    <row r="65" spans="1:3" x14ac:dyDescent="0.25">
      <c r="A65" s="4">
        <v>12</v>
      </c>
      <c r="B65" s="4" t="s">
        <v>69</v>
      </c>
      <c r="C65" s="4">
        <v>31</v>
      </c>
    </row>
  </sheetData>
  <mergeCells count="20">
    <mergeCell ref="A1:H1"/>
    <mergeCell ref="A33:C33"/>
    <mergeCell ref="E5:H5"/>
    <mergeCell ref="A3:H3"/>
    <mergeCell ref="A2:H2"/>
    <mergeCell ref="A47:F47"/>
    <mergeCell ref="A7:H7"/>
    <mergeCell ref="A23:C23"/>
    <mergeCell ref="A17:C17"/>
    <mergeCell ref="A35:F35"/>
    <mergeCell ref="A29:C29"/>
    <mergeCell ref="A13:C13"/>
    <mergeCell ref="A19:C19"/>
    <mergeCell ref="A31:C31"/>
    <mergeCell ref="A9:C9"/>
    <mergeCell ref="A15:C15"/>
    <mergeCell ref="A11:C11"/>
    <mergeCell ref="A25:C25"/>
    <mergeCell ref="A27:C27"/>
    <mergeCell ref="A21:C21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70</v>
      </c>
      <c r="B1" t="s">
        <v>71</v>
      </c>
      <c r="C1" t="s">
        <v>22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</row>
    <row r="2" spans="1:12" x14ac:dyDescent="0.25">
      <c r="A2" s="42">
        <v>46023</v>
      </c>
      <c r="B2">
        <v>1</v>
      </c>
      <c r="C2" t="s">
        <v>34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9</v>
      </c>
      <c r="K2">
        <v>9</v>
      </c>
      <c r="L2" s="43">
        <v>46063.792650462965</v>
      </c>
    </row>
    <row r="3" spans="1:12" x14ac:dyDescent="0.25">
      <c r="A3" s="42">
        <v>46024</v>
      </c>
      <c r="B3">
        <v>1</v>
      </c>
      <c r="C3" t="s">
        <v>34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9</v>
      </c>
      <c r="K3">
        <v>10</v>
      </c>
      <c r="L3" s="43">
        <v>46063.792662037034</v>
      </c>
    </row>
    <row r="4" spans="1:12" x14ac:dyDescent="0.25">
      <c r="A4" s="42">
        <v>46025</v>
      </c>
      <c r="B4">
        <v>1</v>
      </c>
      <c r="C4" t="s">
        <v>34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10</v>
      </c>
      <c r="K4">
        <v>11</v>
      </c>
      <c r="L4" s="43">
        <v>46063.792673611111</v>
      </c>
    </row>
    <row r="5" spans="1:12" x14ac:dyDescent="0.25">
      <c r="A5" s="42">
        <v>46026</v>
      </c>
      <c r="B5">
        <v>1</v>
      </c>
      <c r="C5" t="s">
        <v>34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11</v>
      </c>
      <c r="K5">
        <v>13</v>
      </c>
      <c r="L5" s="43">
        <v>46063.792673611111</v>
      </c>
    </row>
    <row r="6" spans="1:12" x14ac:dyDescent="0.25">
      <c r="A6" s="42">
        <v>46027</v>
      </c>
      <c r="B6">
        <v>1</v>
      </c>
      <c r="C6" t="s">
        <v>34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13</v>
      </c>
      <c r="K6">
        <v>8</v>
      </c>
      <c r="L6" s="43">
        <v>46063.792685185188</v>
      </c>
    </row>
    <row r="7" spans="1:12" x14ac:dyDescent="0.25">
      <c r="A7" s="42">
        <v>46028</v>
      </c>
      <c r="B7">
        <v>1</v>
      </c>
      <c r="C7" t="s">
        <v>34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8</v>
      </c>
      <c r="K7">
        <v>6</v>
      </c>
      <c r="L7" s="43">
        <v>46063.792696759258</v>
      </c>
    </row>
    <row r="8" spans="1:12" x14ac:dyDescent="0.25">
      <c r="A8" s="42">
        <v>46029</v>
      </c>
      <c r="B8">
        <v>1</v>
      </c>
      <c r="C8" t="s">
        <v>34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6</v>
      </c>
      <c r="K8">
        <v>5</v>
      </c>
      <c r="L8" s="43">
        <v>46063.792696759258</v>
      </c>
    </row>
    <row r="9" spans="1:12" x14ac:dyDescent="0.25">
      <c r="A9" s="42">
        <v>46030</v>
      </c>
      <c r="B9">
        <v>1</v>
      </c>
      <c r="C9" t="s">
        <v>34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6</v>
      </c>
      <c r="L9" s="43">
        <v>46063.792708333334</v>
      </c>
    </row>
    <row r="10" spans="1:12" x14ac:dyDescent="0.25">
      <c r="A10" s="42">
        <v>46031</v>
      </c>
      <c r="B10">
        <v>1</v>
      </c>
      <c r="C10" t="s">
        <v>34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6</v>
      </c>
      <c r="K10">
        <v>4</v>
      </c>
      <c r="L10" s="43">
        <v>46063.792719907404</v>
      </c>
    </row>
    <row r="11" spans="1:12" x14ac:dyDescent="0.25">
      <c r="A11" s="42">
        <v>46032</v>
      </c>
      <c r="B11">
        <v>1</v>
      </c>
      <c r="C11" t="s">
        <v>34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4</v>
      </c>
      <c r="K11">
        <v>6</v>
      </c>
      <c r="L11" s="43">
        <v>46063.792731481481</v>
      </c>
    </row>
    <row r="12" spans="1:12" x14ac:dyDescent="0.25">
      <c r="A12" s="42">
        <v>46033</v>
      </c>
      <c r="B12">
        <v>1</v>
      </c>
      <c r="C12" t="s">
        <v>34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6</v>
      </c>
      <c r="K12">
        <v>4</v>
      </c>
      <c r="L12" s="43">
        <v>46063.792731481481</v>
      </c>
    </row>
    <row r="13" spans="1:12" x14ac:dyDescent="0.25">
      <c r="A13" s="42">
        <v>46034</v>
      </c>
      <c r="B13">
        <v>1</v>
      </c>
      <c r="C13" t="s">
        <v>34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4</v>
      </c>
      <c r="K13">
        <v>6</v>
      </c>
      <c r="L13" s="43">
        <v>46063.792743055557</v>
      </c>
    </row>
    <row r="14" spans="1:12" x14ac:dyDescent="0.25">
      <c r="A14" s="42">
        <v>46035</v>
      </c>
      <c r="B14">
        <v>1</v>
      </c>
      <c r="C14" t="s">
        <v>34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9</v>
      </c>
      <c r="L14" s="43">
        <v>46063.792754629627</v>
      </c>
    </row>
    <row r="15" spans="1:12" x14ac:dyDescent="0.25">
      <c r="A15" s="42">
        <v>46036</v>
      </c>
      <c r="B15">
        <v>1</v>
      </c>
      <c r="C15" t="s">
        <v>34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9</v>
      </c>
      <c r="K15">
        <v>7</v>
      </c>
      <c r="L15" s="43">
        <v>46063.792766203704</v>
      </c>
    </row>
    <row r="16" spans="1:12" x14ac:dyDescent="0.25">
      <c r="A16" s="42">
        <v>46037</v>
      </c>
      <c r="B16">
        <v>1</v>
      </c>
      <c r="C16" t="s">
        <v>34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7</v>
      </c>
      <c r="K16">
        <v>7</v>
      </c>
      <c r="L16" s="43">
        <v>46063.792766203704</v>
      </c>
    </row>
    <row r="17" spans="1:12" x14ac:dyDescent="0.25">
      <c r="A17" s="42">
        <v>46038</v>
      </c>
      <c r="B17">
        <v>1</v>
      </c>
      <c r="C17" t="s">
        <v>34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7</v>
      </c>
      <c r="K17">
        <v>4</v>
      </c>
      <c r="L17" s="43">
        <v>46063.79277777778</v>
      </c>
    </row>
    <row r="18" spans="1:12" x14ac:dyDescent="0.25">
      <c r="A18" s="42">
        <v>46039</v>
      </c>
      <c r="B18">
        <v>1</v>
      </c>
      <c r="C18" t="s">
        <v>34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4</v>
      </c>
      <c r="K18">
        <v>6</v>
      </c>
      <c r="L18" s="43">
        <v>46063.79278935185</v>
      </c>
    </row>
    <row r="19" spans="1:12" x14ac:dyDescent="0.25">
      <c r="A19" s="42">
        <v>46040</v>
      </c>
      <c r="B19">
        <v>1</v>
      </c>
      <c r="C19" t="s">
        <v>34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6</v>
      </c>
      <c r="K19">
        <v>7</v>
      </c>
      <c r="L19" s="43">
        <v>46063.79278935185</v>
      </c>
    </row>
    <row r="20" spans="1:12" x14ac:dyDescent="0.25">
      <c r="A20" s="42">
        <v>46041</v>
      </c>
      <c r="B20">
        <v>1</v>
      </c>
      <c r="C20" t="s">
        <v>34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7</v>
      </c>
      <c r="K20">
        <v>5</v>
      </c>
      <c r="L20" s="43">
        <v>46063.792800925927</v>
      </c>
    </row>
    <row r="21" spans="1:12" x14ac:dyDescent="0.25">
      <c r="A21" s="42">
        <v>46042</v>
      </c>
      <c r="B21">
        <v>1</v>
      </c>
      <c r="C21" t="s">
        <v>34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5</v>
      </c>
      <c r="K21">
        <v>3</v>
      </c>
      <c r="L21" s="43">
        <v>46063.792812500003</v>
      </c>
    </row>
    <row r="22" spans="1:12" x14ac:dyDescent="0.25">
      <c r="A22" s="42">
        <v>46043</v>
      </c>
      <c r="B22">
        <v>1</v>
      </c>
      <c r="C22" t="s">
        <v>34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3</v>
      </c>
      <c r="K22">
        <v>7</v>
      </c>
      <c r="L22" s="43">
        <v>46063.792824074073</v>
      </c>
    </row>
    <row r="23" spans="1:12" x14ac:dyDescent="0.25">
      <c r="A23" s="42">
        <v>46044</v>
      </c>
      <c r="B23">
        <v>1</v>
      </c>
      <c r="C23" t="s">
        <v>34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7</v>
      </c>
      <c r="K23">
        <v>4</v>
      </c>
      <c r="L23" s="43">
        <v>46063.792824074073</v>
      </c>
    </row>
    <row r="24" spans="1:12" x14ac:dyDescent="0.25">
      <c r="A24" s="42">
        <v>46045</v>
      </c>
      <c r="B24">
        <v>1</v>
      </c>
      <c r="C24" t="s">
        <v>34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4</v>
      </c>
      <c r="K24">
        <v>2</v>
      </c>
      <c r="L24" s="43">
        <v>46063.79283564815</v>
      </c>
    </row>
    <row r="25" spans="1:12" x14ac:dyDescent="0.25">
      <c r="A25" s="42">
        <v>46046</v>
      </c>
      <c r="B25">
        <v>1</v>
      </c>
      <c r="C25" t="s">
        <v>34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 s="43">
        <v>46063.792847222219</v>
      </c>
    </row>
    <row r="26" spans="1:12" x14ac:dyDescent="0.25">
      <c r="A26" s="42">
        <v>46047</v>
      </c>
      <c r="B26">
        <v>1</v>
      </c>
      <c r="C26" t="s">
        <v>34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6</v>
      </c>
      <c r="K26">
        <v>6</v>
      </c>
      <c r="L26" s="43">
        <v>46063.792858796296</v>
      </c>
    </row>
    <row r="27" spans="1:12" x14ac:dyDescent="0.25">
      <c r="A27" s="42">
        <v>46048</v>
      </c>
      <c r="B27">
        <v>1</v>
      </c>
      <c r="C27" t="s">
        <v>34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6</v>
      </c>
      <c r="K27">
        <v>8</v>
      </c>
      <c r="L27" s="43">
        <v>46063.792870370373</v>
      </c>
    </row>
    <row r="28" spans="1:12" x14ac:dyDescent="0.25">
      <c r="A28" s="42">
        <v>46049</v>
      </c>
      <c r="B28">
        <v>1</v>
      </c>
      <c r="C28" t="s">
        <v>34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8</v>
      </c>
      <c r="K28">
        <v>8</v>
      </c>
      <c r="L28" s="43">
        <v>46063.792870370373</v>
      </c>
    </row>
    <row r="29" spans="1:12" x14ac:dyDescent="0.25">
      <c r="A29" s="42">
        <v>46050</v>
      </c>
      <c r="B29">
        <v>1</v>
      </c>
      <c r="C29" t="s">
        <v>34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8</v>
      </c>
      <c r="K29">
        <v>8</v>
      </c>
      <c r="L29" s="43">
        <v>46063.792881944442</v>
      </c>
    </row>
    <row r="30" spans="1:12" x14ac:dyDescent="0.25">
      <c r="A30" s="42">
        <v>46051</v>
      </c>
      <c r="B30">
        <v>1</v>
      </c>
      <c r="C30" t="s">
        <v>34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8</v>
      </c>
      <c r="K30">
        <v>5</v>
      </c>
      <c r="L30" s="43">
        <v>46063.792893518519</v>
      </c>
    </row>
    <row r="31" spans="1:12" x14ac:dyDescent="0.25">
      <c r="A31" s="42">
        <v>46052</v>
      </c>
      <c r="B31">
        <v>1</v>
      </c>
      <c r="C31" t="s">
        <v>34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5</v>
      </c>
      <c r="K31">
        <v>5</v>
      </c>
      <c r="L31" s="43">
        <v>46063.792893518519</v>
      </c>
    </row>
    <row r="32" spans="1:12" x14ac:dyDescent="0.25">
      <c r="A32" s="42">
        <v>46053</v>
      </c>
      <c r="B32">
        <v>1</v>
      </c>
      <c r="C32" t="s">
        <v>34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5</v>
      </c>
      <c r="K32">
        <v>6</v>
      </c>
      <c r="L32" s="43">
        <v>46063.792905092596</v>
      </c>
    </row>
    <row r="33" spans="1:12" x14ac:dyDescent="0.25">
      <c r="A33" s="42">
        <v>46056</v>
      </c>
      <c r="B33">
        <v>2</v>
      </c>
      <c r="C33" t="s">
        <v>34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6</v>
      </c>
      <c r="K33">
        <v>8</v>
      </c>
      <c r="L33" s="43">
        <v>46063.792916666665</v>
      </c>
    </row>
    <row r="34" spans="1:12" x14ac:dyDescent="0.25">
      <c r="A34" s="42">
        <v>46023</v>
      </c>
      <c r="B34">
        <v>1</v>
      </c>
      <c r="C34" t="s">
        <v>36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9</v>
      </c>
      <c r="K34">
        <v>6</v>
      </c>
      <c r="L34" s="43">
        <v>46063.792928240742</v>
      </c>
    </row>
    <row r="35" spans="1:12" x14ac:dyDescent="0.25">
      <c r="A35" s="42">
        <v>46024</v>
      </c>
      <c r="B35">
        <v>1</v>
      </c>
      <c r="C35" t="s">
        <v>36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6</v>
      </c>
      <c r="K35">
        <v>9</v>
      </c>
      <c r="L35" s="43">
        <v>46063.792928240742</v>
      </c>
    </row>
    <row r="36" spans="1:12" x14ac:dyDescent="0.25">
      <c r="A36" s="42">
        <v>46025</v>
      </c>
      <c r="B36">
        <v>1</v>
      </c>
      <c r="C36" t="s">
        <v>36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9</v>
      </c>
      <c r="K36">
        <v>9</v>
      </c>
      <c r="L36" s="43">
        <v>46063.792939814812</v>
      </c>
    </row>
    <row r="37" spans="1:12" x14ac:dyDescent="0.25">
      <c r="A37" s="42">
        <v>46026</v>
      </c>
      <c r="B37">
        <v>1</v>
      </c>
      <c r="C37" t="s">
        <v>36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9</v>
      </c>
      <c r="K37">
        <v>15</v>
      </c>
      <c r="L37" s="43">
        <v>46063.792951388888</v>
      </c>
    </row>
    <row r="38" spans="1:12" x14ac:dyDescent="0.25">
      <c r="A38" s="42">
        <v>46027</v>
      </c>
      <c r="B38">
        <v>1</v>
      </c>
      <c r="C38" t="s">
        <v>36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15</v>
      </c>
      <c r="K38">
        <v>14</v>
      </c>
      <c r="L38" s="43">
        <v>46063.792962962965</v>
      </c>
    </row>
    <row r="39" spans="1:12" x14ac:dyDescent="0.25">
      <c r="A39" s="42">
        <v>46028</v>
      </c>
      <c r="B39">
        <v>1</v>
      </c>
      <c r="C39" t="s">
        <v>36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14</v>
      </c>
      <c r="K39">
        <v>12</v>
      </c>
      <c r="L39" s="43">
        <v>46063.792962962965</v>
      </c>
    </row>
    <row r="40" spans="1:12" x14ac:dyDescent="0.25">
      <c r="A40" s="42">
        <v>46029</v>
      </c>
      <c r="B40">
        <v>1</v>
      </c>
      <c r="C40" t="s">
        <v>36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12</v>
      </c>
      <c r="K40">
        <v>8</v>
      </c>
      <c r="L40" s="43">
        <v>46063.792974537035</v>
      </c>
    </row>
    <row r="41" spans="1:12" x14ac:dyDescent="0.25">
      <c r="A41" s="42">
        <v>46030</v>
      </c>
      <c r="B41">
        <v>1</v>
      </c>
      <c r="C41" t="s">
        <v>36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8</v>
      </c>
      <c r="K41">
        <v>12</v>
      </c>
      <c r="L41" s="43">
        <v>46063.792986111112</v>
      </c>
    </row>
    <row r="42" spans="1:12" x14ac:dyDescent="0.25">
      <c r="A42" s="42">
        <v>46031</v>
      </c>
      <c r="B42">
        <v>1</v>
      </c>
      <c r="C42" t="s">
        <v>36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12</v>
      </c>
      <c r="K42">
        <v>9</v>
      </c>
      <c r="L42" s="43">
        <v>46063.792986111112</v>
      </c>
    </row>
    <row r="43" spans="1:12" x14ac:dyDescent="0.25">
      <c r="A43" s="42">
        <v>46032</v>
      </c>
      <c r="B43">
        <v>1</v>
      </c>
      <c r="C43" t="s">
        <v>36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9</v>
      </c>
      <c r="K43">
        <v>10</v>
      </c>
      <c r="L43" s="43">
        <v>46063.792997685188</v>
      </c>
    </row>
    <row r="44" spans="1:12" x14ac:dyDescent="0.25">
      <c r="A44" s="42">
        <v>46033</v>
      </c>
      <c r="B44">
        <v>1</v>
      </c>
      <c r="C44" t="s">
        <v>36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10</v>
      </c>
      <c r="K44">
        <v>12</v>
      </c>
      <c r="L44" s="43">
        <v>46063.793009259258</v>
      </c>
    </row>
    <row r="45" spans="1:12" x14ac:dyDescent="0.25">
      <c r="A45" s="42">
        <v>46034</v>
      </c>
      <c r="B45">
        <v>1</v>
      </c>
      <c r="C45" t="s">
        <v>36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12</v>
      </c>
      <c r="K45">
        <v>15</v>
      </c>
      <c r="L45" s="43">
        <v>46063.793009259258</v>
      </c>
    </row>
    <row r="46" spans="1:12" x14ac:dyDescent="0.25">
      <c r="A46" s="42">
        <v>46035</v>
      </c>
      <c r="B46">
        <v>1</v>
      </c>
      <c r="C46" t="s">
        <v>36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15</v>
      </c>
      <c r="K46">
        <v>16</v>
      </c>
      <c r="L46" s="43">
        <v>46063.793020833335</v>
      </c>
    </row>
    <row r="47" spans="1:12" x14ac:dyDescent="0.25">
      <c r="A47" s="42">
        <v>46036</v>
      </c>
      <c r="B47">
        <v>1</v>
      </c>
      <c r="C47" t="s">
        <v>36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16</v>
      </c>
      <c r="K47">
        <v>17</v>
      </c>
      <c r="L47" s="43">
        <v>46063.793032407404</v>
      </c>
    </row>
    <row r="48" spans="1:12" x14ac:dyDescent="0.25">
      <c r="A48" s="42">
        <v>46037</v>
      </c>
      <c r="B48">
        <v>1</v>
      </c>
      <c r="C48" t="s">
        <v>36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17</v>
      </c>
      <c r="K48">
        <v>9</v>
      </c>
      <c r="L48" s="43">
        <v>46063.793043981481</v>
      </c>
    </row>
    <row r="49" spans="1:12" x14ac:dyDescent="0.25">
      <c r="A49" s="42">
        <v>46038</v>
      </c>
      <c r="B49">
        <v>1</v>
      </c>
      <c r="C49" t="s">
        <v>36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9</v>
      </c>
      <c r="K49">
        <v>10</v>
      </c>
      <c r="L49" s="43">
        <v>46063.793043981481</v>
      </c>
    </row>
    <row r="50" spans="1:12" x14ac:dyDescent="0.25">
      <c r="A50" s="42">
        <v>46039</v>
      </c>
      <c r="B50">
        <v>1</v>
      </c>
      <c r="C50" t="s">
        <v>36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10</v>
      </c>
      <c r="K50">
        <v>11</v>
      </c>
      <c r="L50" s="43">
        <v>46063.793055555558</v>
      </c>
    </row>
    <row r="51" spans="1:12" x14ac:dyDescent="0.25">
      <c r="A51" s="42">
        <v>46040</v>
      </c>
      <c r="B51">
        <v>1</v>
      </c>
      <c r="C51" t="s">
        <v>36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11</v>
      </c>
      <c r="K51">
        <v>10</v>
      </c>
      <c r="L51" s="43">
        <v>46063.793067129627</v>
      </c>
    </row>
    <row r="52" spans="1:12" x14ac:dyDescent="0.25">
      <c r="A52" s="42">
        <v>46041</v>
      </c>
      <c r="B52">
        <v>1</v>
      </c>
      <c r="C52" t="s">
        <v>36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10</v>
      </c>
      <c r="K52">
        <v>13</v>
      </c>
      <c r="L52" s="43">
        <v>46063.793067129627</v>
      </c>
    </row>
    <row r="53" spans="1:12" x14ac:dyDescent="0.25">
      <c r="A53" s="42">
        <v>46042</v>
      </c>
      <c r="B53">
        <v>1</v>
      </c>
      <c r="C53" t="s">
        <v>36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13</v>
      </c>
      <c r="K53">
        <v>16</v>
      </c>
      <c r="L53" s="43">
        <v>46063.793078703704</v>
      </c>
    </row>
    <row r="54" spans="1:12" x14ac:dyDescent="0.25">
      <c r="A54" s="42">
        <v>46043</v>
      </c>
      <c r="B54">
        <v>1</v>
      </c>
      <c r="C54" t="s">
        <v>36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16</v>
      </c>
      <c r="K54">
        <v>13</v>
      </c>
      <c r="L54" s="43">
        <v>46063.793090277781</v>
      </c>
    </row>
    <row r="55" spans="1:12" x14ac:dyDescent="0.25">
      <c r="A55" s="42">
        <v>46044</v>
      </c>
      <c r="B55">
        <v>1</v>
      </c>
      <c r="C55" t="s">
        <v>36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13</v>
      </c>
      <c r="K55">
        <v>13</v>
      </c>
      <c r="L55" s="43">
        <v>46063.79310185185</v>
      </c>
    </row>
    <row r="56" spans="1:12" x14ac:dyDescent="0.25">
      <c r="A56" s="42">
        <v>46045</v>
      </c>
      <c r="B56">
        <v>1</v>
      </c>
      <c r="C56" t="s">
        <v>36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13</v>
      </c>
      <c r="K56">
        <v>9</v>
      </c>
      <c r="L56" s="43">
        <v>46063.79310185185</v>
      </c>
    </row>
    <row r="57" spans="1:12" x14ac:dyDescent="0.25">
      <c r="A57" s="42">
        <v>46046</v>
      </c>
      <c r="B57">
        <v>1</v>
      </c>
      <c r="C57" t="s">
        <v>36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9</v>
      </c>
      <c r="K57">
        <v>7</v>
      </c>
      <c r="L57" s="43">
        <v>46063.793113425927</v>
      </c>
    </row>
    <row r="58" spans="1:12" x14ac:dyDescent="0.25">
      <c r="A58" s="42">
        <v>46047</v>
      </c>
      <c r="B58">
        <v>1</v>
      </c>
      <c r="C58" t="s">
        <v>36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7</v>
      </c>
      <c r="K58">
        <v>10</v>
      </c>
      <c r="L58" s="43">
        <v>46063.793124999997</v>
      </c>
    </row>
    <row r="59" spans="1:12" x14ac:dyDescent="0.25">
      <c r="A59" s="42">
        <v>46048</v>
      </c>
      <c r="B59">
        <v>1</v>
      </c>
      <c r="C59" t="s">
        <v>36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10</v>
      </c>
      <c r="K59">
        <v>8</v>
      </c>
      <c r="L59" s="43">
        <v>46063.793124999997</v>
      </c>
    </row>
    <row r="60" spans="1:12" x14ac:dyDescent="0.25">
      <c r="A60" s="42">
        <v>46049</v>
      </c>
      <c r="B60">
        <v>1</v>
      </c>
      <c r="C60" t="s">
        <v>36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8</v>
      </c>
      <c r="K60">
        <v>8</v>
      </c>
      <c r="L60" s="43">
        <v>46063.793136574073</v>
      </c>
    </row>
    <row r="61" spans="1:12" x14ac:dyDescent="0.25">
      <c r="A61" s="42">
        <v>46050</v>
      </c>
      <c r="B61">
        <v>1</v>
      </c>
      <c r="C61" t="s">
        <v>36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8</v>
      </c>
      <c r="K61">
        <v>9</v>
      </c>
      <c r="L61" s="43">
        <v>46063.79314814815</v>
      </c>
    </row>
    <row r="62" spans="1:12" x14ac:dyDescent="0.25">
      <c r="A62" s="42">
        <v>46051</v>
      </c>
      <c r="B62">
        <v>1</v>
      </c>
      <c r="C62" t="s">
        <v>36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9</v>
      </c>
      <c r="K62">
        <v>11</v>
      </c>
      <c r="L62" s="43">
        <v>46063.79315972222</v>
      </c>
    </row>
    <row r="63" spans="1:12" x14ac:dyDescent="0.25">
      <c r="A63" s="42">
        <v>46052</v>
      </c>
      <c r="B63">
        <v>1</v>
      </c>
      <c r="C63" t="s">
        <v>36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11</v>
      </c>
      <c r="K63">
        <v>9</v>
      </c>
      <c r="L63" s="43">
        <v>46063.79315972222</v>
      </c>
    </row>
    <row r="64" spans="1:12" x14ac:dyDescent="0.25">
      <c r="A64" s="42">
        <v>46053</v>
      </c>
      <c r="B64">
        <v>1</v>
      </c>
      <c r="C64" t="s">
        <v>36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9</v>
      </c>
      <c r="K64">
        <v>12</v>
      </c>
      <c r="L64" s="43">
        <v>46063.793171296296</v>
      </c>
    </row>
    <row r="65" spans="1:12" x14ac:dyDescent="0.25">
      <c r="A65" s="42">
        <v>46054</v>
      </c>
      <c r="B65">
        <v>2</v>
      </c>
      <c r="C65" t="s">
        <v>36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12</v>
      </c>
      <c r="K65">
        <v>12</v>
      </c>
      <c r="L65" s="43">
        <v>46063.793182870373</v>
      </c>
    </row>
    <row r="66" spans="1:12" x14ac:dyDescent="0.25">
      <c r="A66" s="42">
        <v>46023</v>
      </c>
      <c r="B66">
        <v>1</v>
      </c>
      <c r="C66" t="s">
        <v>38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12</v>
      </c>
      <c r="K66">
        <v>14</v>
      </c>
      <c r="L66" s="43">
        <v>46063.793182870373</v>
      </c>
    </row>
    <row r="67" spans="1:12" x14ac:dyDescent="0.25">
      <c r="A67" s="42">
        <v>46024</v>
      </c>
      <c r="B67">
        <v>1</v>
      </c>
      <c r="C67" t="s">
        <v>38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14</v>
      </c>
      <c r="K67">
        <v>13</v>
      </c>
      <c r="L67" s="43">
        <v>46063.793194444443</v>
      </c>
    </row>
    <row r="68" spans="1:12" x14ac:dyDescent="0.25">
      <c r="A68" s="42">
        <v>46025</v>
      </c>
      <c r="B68">
        <v>1</v>
      </c>
      <c r="C68" t="s">
        <v>38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13</v>
      </c>
      <c r="K68">
        <v>14</v>
      </c>
      <c r="L68" s="43">
        <v>46063.793206018519</v>
      </c>
    </row>
    <row r="69" spans="1:12" x14ac:dyDescent="0.25">
      <c r="A69" s="42">
        <v>46026</v>
      </c>
      <c r="B69">
        <v>1</v>
      </c>
      <c r="C69" t="s">
        <v>38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14</v>
      </c>
      <c r="K69">
        <v>10</v>
      </c>
      <c r="L69" s="43">
        <v>46063.793217592596</v>
      </c>
    </row>
    <row r="70" spans="1:12" x14ac:dyDescent="0.25">
      <c r="A70" s="42">
        <v>46027</v>
      </c>
      <c r="B70">
        <v>1</v>
      </c>
      <c r="C70" t="s">
        <v>38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10</v>
      </c>
      <c r="K70">
        <v>14</v>
      </c>
      <c r="L70" s="43">
        <v>46063.793217592596</v>
      </c>
    </row>
    <row r="71" spans="1:12" x14ac:dyDescent="0.25">
      <c r="A71" s="42">
        <v>46028</v>
      </c>
      <c r="B71">
        <v>1</v>
      </c>
      <c r="C71" t="s">
        <v>38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14</v>
      </c>
      <c r="K71">
        <v>18</v>
      </c>
      <c r="L71" s="43">
        <v>46063.793229166666</v>
      </c>
    </row>
    <row r="72" spans="1:12" x14ac:dyDescent="0.25">
      <c r="A72" s="42">
        <v>46029</v>
      </c>
      <c r="B72">
        <v>1</v>
      </c>
      <c r="C72" t="s">
        <v>38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18</v>
      </c>
      <c r="K72">
        <v>20</v>
      </c>
      <c r="L72" s="43">
        <v>46063.793240740742</v>
      </c>
    </row>
    <row r="73" spans="1:12" x14ac:dyDescent="0.25">
      <c r="A73" s="42">
        <v>46030</v>
      </c>
      <c r="B73">
        <v>1</v>
      </c>
      <c r="C73" t="s">
        <v>38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20</v>
      </c>
      <c r="K73">
        <v>19</v>
      </c>
      <c r="L73" s="43">
        <v>46063.793252314812</v>
      </c>
    </row>
    <row r="74" spans="1:12" x14ac:dyDescent="0.25">
      <c r="A74" s="42">
        <v>46031</v>
      </c>
      <c r="B74">
        <v>1</v>
      </c>
      <c r="C74" t="s">
        <v>38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19</v>
      </c>
      <c r="K74">
        <v>18</v>
      </c>
      <c r="L74" s="43">
        <v>46063.793252314812</v>
      </c>
    </row>
    <row r="75" spans="1:12" x14ac:dyDescent="0.25">
      <c r="A75" s="42">
        <v>46032</v>
      </c>
      <c r="B75">
        <v>1</v>
      </c>
      <c r="C75" t="s">
        <v>38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18</v>
      </c>
      <c r="K75">
        <v>20</v>
      </c>
      <c r="L75" s="43">
        <v>46063.793263888889</v>
      </c>
    </row>
    <row r="76" spans="1:12" x14ac:dyDescent="0.25">
      <c r="A76" s="42">
        <v>46033</v>
      </c>
      <c r="B76">
        <v>1</v>
      </c>
      <c r="C76" t="s">
        <v>38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20</v>
      </c>
      <c r="K76">
        <v>18</v>
      </c>
      <c r="L76" s="43">
        <v>46063.793275462966</v>
      </c>
    </row>
    <row r="77" spans="1:12" x14ac:dyDescent="0.25">
      <c r="A77" s="42">
        <v>46034</v>
      </c>
      <c r="B77">
        <v>1</v>
      </c>
      <c r="C77" t="s">
        <v>38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18</v>
      </c>
      <c r="K77">
        <v>19</v>
      </c>
      <c r="L77" s="43">
        <v>46063.793275462966</v>
      </c>
    </row>
    <row r="78" spans="1:12" x14ac:dyDescent="0.25">
      <c r="A78" s="42">
        <v>46035</v>
      </c>
      <c r="B78">
        <v>1</v>
      </c>
      <c r="C78" t="s">
        <v>38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19</v>
      </c>
      <c r="K78">
        <v>17</v>
      </c>
      <c r="L78" s="43">
        <v>46063.793287037035</v>
      </c>
    </row>
    <row r="79" spans="1:12" x14ac:dyDescent="0.25">
      <c r="A79" s="42">
        <v>46036</v>
      </c>
      <c r="B79">
        <v>1</v>
      </c>
      <c r="C79" t="s">
        <v>38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17</v>
      </c>
      <c r="K79">
        <v>11</v>
      </c>
      <c r="L79" s="43">
        <v>46063.793298611112</v>
      </c>
    </row>
    <row r="80" spans="1:12" x14ac:dyDescent="0.25">
      <c r="A80" s="42">
        <v>46037</v>
      </c>
      <c r="B80">
        <v>1</v>
      </c>
      <c r="C80" t="s">
        <v>38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11</v>
      </c>
      <c r="K80">
        <v>11</v>
      </c>
      <c r="L80" s="43">
        <v>46063.793310185189</v>
      </c>
    </row>
    <row r="81" spans="1:12" x14ac:dyDescent="0.25">
      <c r="A81" s="42">
        <v>46038</v>
      </c>
      <c r="B81">
        <v>1</v>
      </c>
      <c r="C81" t="s">
        <v>38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11</v>
      </c>
      <c r="K81">
        <v>11</v>
      </c>
      <c r="L81" s="43">
        <v>46063.793310185189</v>
      </c>
    </row>
    <row r="82" spans="1:12" x14ac:dyDescent="0.25">
      <c r="A82" s="42">
        <v>46039</v>
      </c>
      <c r="B82">
        <v>1</v>
      </c>
      <c r="C82" t="s">
        <v>38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11</v>
      </c>
      <c r="K82">
        <v>8</v>
      </c>
      <c r="L82" s="43">
        <v>46063.793321759258</v>
      </c>
    </row>
    <row r="83" spans="1:12" x14ac:dyDescent="0.25">
      <c r="A83" s="42">
        <v>46040</v>
      </c>
      <c r="B83">
        <v>1</v>
      </c>
      <c r="C83" t="s">
        <v>38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8</v>
      </c>
      <c r="K83">
        <v>8</v>
      </c>
      <c r="L83" s="43">
        <v>46063.793333333335</v>
      </c>
    </row>
    <row r="84" spans="1:12" x14ac:dyDescent="0.25">
      <c r="A84" s="42">
        <v>46041</v>
      </c>
      <c r="B84">
        <v>1</v>
      </c>
      <c r="C84" t="s">
        <v>38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8</v>
      </c>
      <c r="K84">
        <v>8</v>
      </c>
      <c r="L84" s="43">
        <v>46063.793344907404</v>
      </c>
    </row>
    <row r="85" spans="1:12" x14ac:dyDescent="0.25">
      <c r="A85" s="42">
        <v>46042</v>
      </c>
      <c r="B85">
        <v>1</v>
      </c>
      <c r="C85" t="s">
        <v>38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8</v>
      </c>
      <c r="K85">
        <v>7</v>
      </c>
      <c r="L85" s="43">
        <v>46063.793344907404</v>
      </c>
    </row>
    <row r="86" spans="1:12" x14ac:dyDescent="0.25">
      <c r="A86" s="42">
        <v>46043</v>
      </c>
      <c r="B86">
        <v>1</v>
      </c>
      <c r="C86" t="s">
        <v>38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7</v>
      </c>
      <c r="K86">
        <v>5</v>
      </c>
      <c r="L86" s="43">
        <v>46063.793356481481</v>
      </c>
    </row>
    <row r="87" spans="1:12" x14ac:dyDescent="0.25">
      <c r="A87" s="42">
        <v>46044</v>
      </c>
      <c r="B87">
        <v>1</v>
      </c>
      <c r="C87" t="s">
        <v>38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5</v>
      </c>
      <c r="K87">
        <v>6</v>
      </c>
      <c r="L87" s="43">
        <v>46063.793368055558</v>
      </c>
    </row>
    <row r="88" spans="1:12" x14ac:dyDescent="0.25">
      <c r="A88" s="42">
        <v>46045</v>
      </c>
      <c r="B88">
        <v>1</v>
      </c>
      <c r="C88" t="s">
        <v>38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6</v>
      </c>
      <c r="K88">
        <v>6</v>
      </c>
      <c r="L88" s="43">
        <v>46063.793379629627</v>
      </c>
    </row>
    <row r="89" spans="1:12" x14ac:dyDescent="0.25">
      <c r="A89" s="42">
        <v>46046</v>
      </c>
      <c r="B89">
        <v>1</v>
      </c>
      <c r="C89" t="s">
        <v>38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6</v>
      </c>
      <c r="K89">
        <v>6</v>
      </c>
      <c r="L89" s="43">
        <v>46063.793379629627</v>
      </c>
    </row>
    <row r="90" spans="1:12" x14ac:dyDescent="0.25">
      <c r="A90" s="42">
        <v>46047</v>
      </c>
      <c r="B90">
        <v>1</v>
      </c>
      <c r="C90" t="s">
        <v>38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6</v>
      </c>
      <c r="K90">
        <v>3</v>
      </c>
      <c r="L90" s="43">
        <v>46063.793391203704</v>
      </c>
    </row>
    <row r="91" spans="1:12" x14ac:dyDescent="0.25">
      <c r="A91" s="42">
        <v>46048</v>
      </c>
      <c r="B91">
        <v>1</v>
      </c>
      <c r="C91" t="s">
        <v>38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3</v>
      </c>
      <c r="K91">
        <v>6</v>
      </c>
      <c r="L91" s="43">
        <v>46063.793402777781</v>
      </c>
    </row>
    <row r="92" spans="1:12" x14ac:dyDescent="0.25">
      <c r="A92" s="42">
        <v>46049</v>
      </c>
      <c r="B92">
        <v>1</v>
      </c>
      <c r="C92" t="s">
        <v>38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6</v>
      </c>
      <c r="K92">
        <v>10</v>
      </c>
      <c r="L92" s="43">
        <v>46063.793402777781</v>
      </c>
    </row>
    <row r="93" spans="1:12" x14ac:dyDescent="0.25">
      <c r="A93" s="42">
        <v>46050</v>
      </c>
      <c r="B93">
        <v>1</v>
      </c>
      <c r="C93" t="s">
        <v>38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10</v>
      </c>
      <c r="K93">
        <v>14</v>
      </c>
      <c r="L93" s="43">
        <v>46063.793414351851</v>
      </c>
    </row>
    <row r="94" spans="1:12" x14ac:dyDescent="0.25">
      <c r="A94" s="42">
        <v>46051</v>
      </c>
      <c r="B94">
        <v>1</v>
      </c>
      <c r="C94" t="s">
        <v>38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14</v>
      </c>
      <c r="K94">
        <v>13</v>
      </c>
      <c r="L94" s="43">
        <v>46063.793425925927</v>
      </c>
    </row>
    <row r="95" spans="1:12" x14ac:dyDescent="0.25">
      <c r="A95" s="42">
        <v>46052</v>
      </c>
      <c r="B95">
        <v>1</v>
      </c>
      <c r="C95" t="s">
        <v>38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13</v>
      </c>
      <c r="K95">
        <v>15</v>
      </c>
      <c r="L95" s="43">
        <v>46063.793437499997</v>
      </c>
    </row>
    <row r="96" spans="1:12" x14ac:dyDescent="0.25">
      <c r="A96" s="42">
        <v>46053</v>
      </c>
      <c r="B96">
        <v>1</v>
      </c>
      <c r="C96" t="s">
        <v>38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15</v>
      </c>
      <c r="K96">
        <v>7</v>
      </c>
      <c r="L96" s="43">
        <v>46063.793437499997</v>
      </c>
    </row>
    <row r="97" spans="1:12" x14ac:dyDescent="0.25">
      <c r="A97" s="42">
        <v>46054</v>
      </c>
      <c r="B97">
        <v>2</v>
      </c>
      <c r="C97" t="s">
        <v>38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7</v>
      </c>
      <c r="K97">
        <v>7</v>
      </c>
      <c r="L97" s="43">
        <v>46063.793449074074</v>
      </c>
    </row>
    <row r="98" spans="1:12" x14ac:dyDescent="0.25">
      <c r="A98" s="42">
        <v>46023</v>
      </c>
      <c r="B98">
        <v>1</v>
      </c>
      <c r="C98" t="s">
        <v>32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7</v>
      </c>
      <c r="K98">
        <v>5</v>
      </c>
      <c r="L98" s="43">
        <v>46063.79346064815</v>
      </c>
    </row>
    <row r="99" spans="1:12" x14ac:dyDescent="0.25">
      <c r="A99" s="42">
        <v>46024</v>
      </c>
      <c r="B99">
        <v>1</v>
      </c>
      <c r="C99" t="s">
        <v>32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5</v>
      </c>
      <c r="K99">
        <v>5</v>
      </c>
      <c r="L99" s="43">
        <v>46063.79347222222</v>
      </c>
    </row>
    <row r="100" spans="1:12" x14ac:dyDescent="0.25">
      <c r="A100" s="42">
        <v>46025</v>
      </c>
      <c r="B100">
        <v>1</v>
      </c>
      <c r="C100" t="s">
        <v>32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</v>
      </c>
      <c r="K100">
        <v>8</v>
      </c>
      <c r="L100" s="43">
        <v>46063.79347222222</v>
      </c>
    </row>
    <row r="101" spans="1:12" x14ac:dyDescent="0.25">
      <c r="A101" s="42">
        <v>46026</v>
      </c>
      <c r="B101">
        <v>1</v>
      </c>
      <c r="C101" t="s">
        <v>32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8</v>
      </c>
      <c r="K101">
        <v>10</v>
      </c>
      <c r="L101" s="43">
        <v>46063.793483796297</v>
      </c>
    </row>
    <row r="102" spans="1:12" x14ac:dyDescent="0.25">
      <c r="A102" s="42">
        <v>46027</v>
      </c>
      <c r="B102">
        <v>1</v>
      </c>
      <c r="C102" t="s">
        <v>32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10</v>
      </c>
      <c r="K102">
        <v>10</v>
      </c>
      <c r="L102" s="43">
        <v>46063.793495370373</v>
      </c>
    </row>
    <row r="103" spans="1:12" x14ac:dyDescent="0.25">
      <c r="A103" s="42">
        <v>46028</v>
      </c>
      <c r="B103">
        <v>1</v>
      </c>
      <c r="C103" t="s">
        <v>32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10</v>
      </c>
      <c r="K103">
        <v>9</v>
      </c>
      <c r="L103" s="43">
        <v>46063.793495370373</v>
      </c>
    </row>
    <row r="104" spans="1:12" x14ac:dyDescent="0.25">
      <c r="A104" s="42">
        <v>46029</v>
      </c>
      <c r="B104">
        <v>1</v>
      </c>
      <c r="C104" t="s">
        <v>32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9</v>
      </c>
      <c r="K104">
        <v>9</v>
      </c>
      <c r="L104" s="43">
        <v>46063.793506944443</v>
      </c>
    </row>
    <row r="105" spans="1:12" x14ac:dyDescent="0.25">
      <c r="A105" s="42">
        <v>46030</v>
      </c>
      <c r="B105">
        <v>1</v>
      </c>
      <c r="C105" t="s">
        <v>32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9</v>
      </c>
      <c r="K105">
        <v>7</v>
      </c>
      <c r="L105" s="43">
        <v>46063.79351851852</v>
      </c>
    </row>
    <row r="106" spans="1:12" x14ac:dyDescent="0.25">
      <c r="A106" s="42">
        <v>46031</v>
      </c>
      <c r="B106">
        <v>1</v>
      </c>
      <c r="C106" t="s">
        <v>32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7</v>
      </c>
      <c r="K106">
        <v>9</v>
      </c>
      <c r="L106" s="43">
        <v>46063.793530092589</v>
      </c>
    </row>
    <row r="107" spans="1:12" x14ac:dyDescent="0.25">
      <c r="A107" s="42">
        <v>46032</v>
      </c>
      <c r="B107">
        <v>1</v>
      </c>
      <c r="C107" t="s">
        <v>32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9</v>
      </c>
      <c r="K107">
        <v>9</v>
      </c>
      <c r="L107" s="43">
        <v>46063.793530092589</v>
      </c>
    </row>
    <row r="108" spans="1:12" x14ac:dyDescent="0.25">
      <c r="A108" s="42">
        <v>46033</v>
      </c>
      <c r="B108">
        <v>1</v>
      </c>
      <c r="C108" t="s">
        <v>32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9</v>
      </c>
      <c r="K108">
        <v>12</v>
      </c>
      <c r="L108" s="43">
        <v>46063.793541666666</v>
      </c>
    </row>
    <row r="109" spans="1:12" x14ac:dyDescent="0.25">
      <c r="A109" s="42">
        <v>46034</v>
      </c>
      <c r="B109">
        <v>1</v>
      </c>
      <c r="C109" t="s">
        <v>32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12</v>
      </c>
      <c r="K109">
        <v>12</v>
      </c>
      <c r="L109" s="43">
        <v>46063.793553240743</v>
      </c>
    </row>
    <row r="110" spans="1:12" x14ac:dyDescent="0.25">
      <c r="A110" s="42">
        <v>46035</v>
      </c>
      <c r="B110">
        <v>1</v>
      </c>
      <c r="C110" t="s">
        <v>32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12</v>
      </c>
      <c r="L110" s="43">
        <v>46063.793553240743</v>
      </c>
    </row>
    <row r="111" spans="1:12" x14ac:dyDescent="0.25">
      <c r="A111" s="42">
        <v>46036</v>
      </c>
      <c r="B111">
        <v>1</v>
      </c>
      <c r="C111" t="s">
        <v>32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12</v>
      </c>
      <c r="K111">
        <v>17</v>
      </c>
      <c r="L111" s="43">
        <v>46063.793564814812</v>
      </c>
    </row>
    <row r="112" spans="1:12" x14ac:dyDescent="0.25">
      <c r="A112" s="42">
        <v>46037</v>
      </c>
      <c r="B112">
        <v>1</v>
      </c>
      <c r="C112" t="s">
        <v>32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17</v>
      </c>
      <c r="K112">
        <v>16</v>
      </c>
      <c r="L112" s="43">
        <v>46063.793576388889</v>
      </c>
    </row>
    <row r="113" spans="1:12" x14ac:dyDescent="0.25">
      <c r="A113" s="42">
        <v>46038</v>
      </c>
      <c r="B113">
        <v>1</v>
      </c>
      <c r="C113" t="s">
        <v>32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16</v>
      </c>
      <c r="K113">
        <v>16</v>
      </c>
      <c r="L113" s="43">
        <v>46063.793587962966</v>
      </c>
    </row>
    <row r="114" spans="1:12" x14ac:dyDescent="0.25">
      <c r="A114" s="42">
        <v>46039</v>
      </c>
      <c r="B114">
        <v>1</v>
      </c>
      <c r="C114" t="s">
        <v>32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16</v>
      </c>
      <c r="K114">
        <v>17</v>
      </c>
      <c r="L114" s="43">
        <v>46063.793587962966</v>
      </c>
    </row>
    <row r="115" spans="1:12" x14ac:dyDescent="0.25">
      <c r="A115" s="42">
        <v>46040</v>
      </c>
      <c r="B115">
        <v>1</v>
      </c>
      <c r="C115" t="s">
        <v>32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17</v>
      </c>
      <c r="K115">
        <v>19</v>
      </c>
      <c r="L115" s="43">
        <v>46063.793599537035</v>
      </c>
    </row>
    <row r="116" spans="1:12" x14ac:dyDescent="0.25">
      <c r="A116" s="42">
        <v>46041</v>
      </c>
      <c r="B116">
        <v>1</v>
      </c>
      <c r="C116" t="s">
        <v>32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19</v>
      </c>
      <c r="K116">
        <v>9</v>
      </c>
      <c r="L116" s="43">
        <v>46063.793611111112</v>
      </c>
    </row>
    <row r="117" spans="1:12" x14ac:dyDescent="0.25">
      <c r="A117" s="42">
        <v>46042</v>
      </c>
      <c r="B117">
        <v>1</v>
      </c>
      <c r="C117" t="s">
        <v>32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9</v>
      </c>
      <c r="K117">
        <v>6</v>
      </c>
      <c r="L117" s="43">
        <v>46063.793611111112</v>
      </c>
    </row>
    <row r="118" spans="1:12" x14ac:dyDescent="0.25">
      <c r="A118" s="42">
        <v>46043</v>
      </c>
      <c r="B118">
        <v>1</v>
      </c>
      <c r="C118" t="s">
        <v>32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6</v>
      </c>
      <c r="K118">
        <v>6</v>
      </c>
      <c r="L118" s="43">
        <v>46063.793622685182</v>
      </c>
    </row>
    <row r="119" spans="1:12" x14ac:dyDescent="0.25">
      <c r="A119" s="42">
        <v>46044</v>
      </c>
      <c r="B119">
        <v>1</v>
      </c>
      <c r="C119" t="s">
        <v>32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9</v>
      </c>
      <c r="L119" s="43">
        <v>46063.793634259258</v>
      </c>
    </row>
    <row r="120" spans="1:12" x14ac:dyDescent="0.25">
      <c r="A120" s="42">
        <v>46045</v>
      </c>
      <c r="B120">
        <v>1</v>
      </c>
      <c r="C120" t="s">
        <v>32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9</v>
      </c>
      <c r="K120">
        <v>5</v>
      </c>
      <c r="L120" s="43">
        <v>46063.793645833335</v>
      </c>
    </row>
    <row r="121" spans="1:12" x14ac:dyDescent="0.25">
      <c r="A121" s="42">
        <v>46046</v>
      </c>
      <c r="B121">
        <v>1</v>
      </c>
      <c r="C121" t="s">
        <v>32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5</v>
      </c>
      <c r="K121">
        <v>6</v>
      </c>
      <c r="L121" s="43">
        <v>46063.793645833335</v>
      </c>
    </row>
    <row r="122" spans="1:12" x14ac:dyDescent="0.25">
      <c r="A122" s="42">
        <v>46047</v>
      </c>
      <c r="B122">
        <v>1</v>
      </c>
      <c r="C122" t="s">
        <v>32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6</v>
      </c>
      <c r="K122">
        <v>7</v>
      </c>
      <c r="L122" s="43">
        <v>46063.793657407405</v>
      </c>
    </row>
    <row r="123" spans="1:12" x14ac:dyDescent="0.25">
      <c r="A123" s="42">
        <v>46048</v>
      </c>
      <c r="B123">
        <v>1</v>
      </c>
      <c r="C123" t="s">
        <v>32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7</v>
      </c>
      <c r="K123">
        <v>7</v>
      </c>
      <c r="L123" s="43">
        <v>46063.793668981481</v>
      </c>
    </row>
    <row r="124" spans="1:12" x14ac:dyDescent="0.25">
      <c r="A124" s="42">
        <v>46049</v>
      </c>
      <c r="B124">
        <v>1</v>
      </c>
      <c r="C124" t="s">
        <v>32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7</v>
      </c>
      <c r="K124">
        <v>6</v>
      </c>
      <c r="L124" s="43">
        <v>46063.793680555558</v>
      </c>
    </row>
    <row r="125" spans="1:12" x14ac:dyDescent="0.25">
      <c r="A125" s="42">
        <v>46050</v>
      </c>
      <c r="B125">
        <v>1</v>
      </c>
      <c r="C125" t="s">
        <v>32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6</v>
      </c>
      <c r="K125">
        <v>7</v>
      </c>
      <c r="L125" s="43">
        <v>46063.793680555558</v>
      </c>
    </row>
    <row r="126" spans="1:12" x14ac:dyDescent="0.25">
      <c r="A126" s="42">
        <v>46051</v>
      </c>
      <c r="B126">
        <v>1</v>
      </c>
      <c r="C126" t="s">
        <v>32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7</v>
      </c>
      <c r="K126">
        <v>7</v>
      </c>
      <c r="L126" s="43">
        <v>46063.793692129628</v>
      </c>
    </row>
    <row r="127" spans="1:12" x14ac:dyDescent="0.25">
      <c r="A127" s="42">
        <v>46052</v>
      </c>
      <c r="B127">
        <v>1</v>
      </c>
      <c r="C127" t="s">
        <v>32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7</v>
      </c>
      <c r="K127">
        <v>8</v>
      </c>
      <c r="L127" s="43">
        <v>46063.793703703705</v>
      </c>
    </row>
    <row r="128" spans="1:12" x14ac:dyDescent="0.25">
      <c r="A128" s="42">
        <v>46053</v>
      </c>
      <c r="B128">
        <v>1</v>
      </c>
      <c r="C128" t="s">
        <v>32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8</v>
      </c>
      <c r="K128">
        <v>12</v>
      </c>
      <c r="L128" s="43">
        <v>46063.793703703705</v>
      </c>
    </row>
    <row r="129" spans="1:12" x14ac:dyDescent="0.25">
      <c r="A129" s="42">
        <v>46054</v>
      </c>
      <c r="B129">
        <v>2</v>
      </c>
      <c r="C129" t="s">
        <v>32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12</v>
      </c>
      <c r="K129">
        <v>12</v>
      </c>
      <c r="L129" s="43">
        <v>46063.793715277781</v>
      </c>
    </row>
    <row r="130" spans="1:12" x14ac:dyDescent="0.25">
      <c r="A130" s="42">
        <v>46023</v>
      </c>
      <c r="B130">
        <v>1</v>
      </c>
      <c r="C130" t="s">
        <v>44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1</v>
      </c>
      <c r="K130">
        <v>0</v>
      </c>
      <c r="L130" s="43">
        <v>46063.793726851851</v>
      </c>
    </row>
    <row r="131" spans="1:12" x14ac:dyDescent="0.25">
      <c r="A131" s="42">
        <v>46024</v>
      </c>
      <c r="B131">
        <v>1</v>
      </c>
      <c r="C131" t="s">
        <v>44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 s="43">
        <v>46063.793738425928</v>
      </c>
    </row>
    <row r="132" spans="1:12" x14ac:dyDescent="0.25">
      <c r="A132" s="42">
        <v>46025</v>
      </c>
      <c r="B132">
        <v>1</v>
      </c>
      <c r="C132" t="s">
        <v>44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 s="43">
        <v>46063.793738425928</v>
      </c>
    </row>
    <row r="133" spans="1:12" x14ac:dyDescent="0.25">
      <c r="A133" s="42">
        <v>46027</v>
      </c>
      <c r="B133">
        <v>1</v>
      </c>
      <c r="C133" t="s">
        <v>44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0</v>
      </c>
      <c r="K133">
        <v>1</v>
      </c>
      <c r="L133" s="43">
        <v>46063.793749999997</v>
      </c>
    </row>
    <row r="134" spans="1:12" x14ac:dyDescent="0.25">
      <c r="A134" s="42">
        <v>46028</v>
      </c>
      <c r="B134">
        <v>1</v>
      </c>
      <c r="C134" t="s">
        <v>44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2</v>
      </c>
      <c r="L134" s="43">
        <v>46063.793761574074</v>
      </c>
    </row>
    <row r="135" spans="1:12" x14ac:dyDescent="0.25">
      <c r="A135" s="42">
        <v>46029</v>
      </c>
      <c r="B135">
        <v>1</v>
      </c>
      <c r="C135" t="s">
        <v>44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2</v>
      </c>
      <c r="K135">
        <v>2</v>
      </c>
      <c r="L135" s="43">
        <v>46063.793761574074</v>
      </c>
    </row>
    <row r="136" spans="1:12" x14ac:dyDescent="0.25">
      <c r="A136" s="42">
        <v>46030</v>
      </c>
      <c r="B136">
        <v>1</v>
      </c>
      <c r="C136" t="s">
        <v>44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2</v>
      </c>
      <c r="K136">
        <v>0</v>
      </c>
      <c r="L136" s="43">
        <v>46063.793773148151</v>
      </c>
    </row>
    <row r="137" spans="1:12" x14ac:dyDescent="0.25">
      <c r="A137" s="42">
        <v>46031</v>
      </c>
      <c r="B137">
        <v>1</v>
      </c>
      <c r="C137" t="s">
        <v>44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 s="43">
        <v>46063.79378472222</v>
      </c>
    </row>
    <row r="138" spans="1:12" x14ac:dyDescent="0.25">
      <c r="A138" s="42">
        <v>46032</v>
      </c>
      <c r="B138">
        <v>1</v>
      </c>
      <c r="C138" t="s">
        <v>44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4</v>
      </c>
      <c r="L138" s="43">
        <v>46063.793796296297</v>
      </c>
    </row>
    <row r="139" spans="1:12" x14ac:dyDescent="0.25">
      <c r="A139" s="42">
        <v>46033</v>
      </c>
      <c r="B139">
        <v>1</v>
      </c>
      <c r="C139" t="s">
        <v>44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4</v>
      </c>
      <c r="K139">
        <v>2</v>
      </c>
      <c r="L139" s="43">
        <v>46063.793796296297</v>
      </c>
    </row>
    <row r="140" spans="1:12" x14ac:dyDescent="0.25">
      <c r="A140" s="42">
        <v>46034</v>
      </c>
      <c r="B140">
        <v>1</v>
      </c>
      <c r="C140" t="s">
        <v>44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 s="43">
        <v>46063.793807870374</v>
      </c>
    </row>
    <row r="141" spans="1:12" x14ac:dyDescent="0.25">
      <c r="A141" s="42">
        <v>46035</v>
      </c>
      <c r="B141">
        <v>1</v>
      </c>
      <c r="C141" t="s">
        <v>44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 s="43">
        <v>46063.793819444443</v>
      </c>
    </row>
    <row r="142" spans="1:12" x14ac:dyDescent="0.25">
      <c r="A142" s="42">
        <v>46036</v>
      </c>
      <c r="B142">
        <v>1</v>
      </c>
      <c r="C142" t="s">
        <v>44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2</v>
      </c>
      <c r="L142" s="43">
        <v>46063.79383101852</v>
      </c>
    </row>
    <row r="143" spans="1:12" x14ac:dyDescent="0.25">
      <c r="A143" s="42">
        <v>46037</v>
      </c>
      <c r="B143">
        <v>1</v>
      </c>
      <c r="C143" t="s">
        <v>44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2</v>
      </c>
      <c r="K143">
        <v>1</v>
      </c>
      <c r="L143" s="43">
        <v>46063.79383101852</v>
      </c>
    </row>
    <row r="144" spans="1:12" x14ac:dyDescent="0.25">
      <c r="A144" s="42">
        <v>46038</v>
      </c>
      <c r="B144">
        <v>1</v>
      </c>
      <c r="C144" t="s">
        <v>44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1</v>
      </c>
      <c r="K144">
        <v>0</v>
      </c>
      <c r="L144" s="43">
        <v>46063.793842592589</v>
      </c>
    </row>
    <row r="145" spans="1:12" x14ac:dyDescent="0.25">
      <c r="A145" s="42">
        <v>46039</v>
      </c>
      <c r="B145">
        <v>1</v>
      </c>
      <c r="C145" t="s">
        <v>44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1</v>
      </c>
      <c r="L145" s="43">
        <v>46063.793854166666</v>
      </c>
    </row>
    <row r="146" spans="1:12" x14ac:dyDescent="0.25">
      <c r="A146" s="42">
        <v>46040</v>
      </c>
      <c r="B146">
        <v>1</v>
      </c>
      <c r="C146" t="s">
        <v>44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1</v>
      </c>
      <c r="K146">
        <v>4</v>
      </c>
      <c r="L146" s="43">
        <v>46063.793854166666</v>
      </c>
    </row>
    <row r="147" spans="1:12" x14ac:dyDescent="0.25">
      <c r="A147" s="42">
        <v>46041</v>
      </c>
      <c r="B147">
        <v>1</v>
      </c>
      <c r="C147" t="s">
        <v>44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4</v>
      </c>
      <c r="K147">
        <v>3</v>
      </c>
      <c r="L147" s="43">
        <v>46063.793865740743</v>
      </c>
    </row>
    <row r="148" spans="1:12" x14ac:dyDescent="0.25">
      <c r="A148" s="42">
        <v>46042</v>
      </c>
      <c r="B148">
        <v>1</v>
      </c>
      <c r="C148" t="s">
        <v>44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3</v>
      </c>
      <c r="K148">
        <v>3</v>
      </c>
      <c r="L148" s="43">
        <v>46063.793877314813</v>
      </c>
    </row>
    <row r="149" spans="1:12" x14ac:dyDescent="0.25">
      <c r="A149" s="42">
        <v>46043</v>
      </c>
      <c r="B149">
        <v>1</v>
      </c>
      <c r="C149" t="s">
        <v>44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3</v>
      </c>
      <c r="K149">
        <v>3</v>
      </c>
      <c r="L149" s="43">
        <v>46063.793888888889</v>
      </c>
    </row>
    <row r="150" spans="1:12" x14ac:dyDescent="0.25">
      <c r="A150" s="42">
        <v>46044</v>
      </c>
      <c r="B150">
        <v>1</v>
      </c>
      <c r="C150" t="s">
        <v>44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3</v>
      </c>
      <c r="K150">
        <v>3</v>
      </c>
      <c r="L150" s="43">
        <v>46063.793888888889</v>
      </c>
    </row>
    <row r="151" spans="1:12" x14ac:dyDescent="0.25">
      <c r="A151" s="42">
        <v>46045</v>
      </c>
      <c r="B151">
        <v>1</v>
      </c>
      <c r="C151" t="s">
        <v>44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3</v>
      </c>
      <c r="K151">
        <v>2</v>
      </c>
      <c r="L151" s="43">
        <v>46063.793900462966</v>
      </c>
    </row>
    <row r="152" spans="1:12" x14ac:dyDescent="0.25">
      <c r="A152" s="42">
        <v>46046</v>
      </c>
      <c r="B152">
        <v>1</v>
      </c>
      <c r="C152" t="s">
        <v>44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2</v>
      </c>
      <c r="K152">
        <v>0</v>
      </c>
      <c r="L152" s="43">
        <v>46063.793912037036</v>
      </c>
    </row>
    <row r="153" spans="1:12" x14ac:dyDescent="0.25">
      <c r="A153" s="42">
        <v>46047</v>
      </c>
      <c r="B153">
        <v>1</v>
      </c>
      <c r="C153" t="s">
        <v>44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</v>
      </c>
      <c r="L153" s="43">
        <v>46063.793912037036</v>
      </c>
    </row>
    <row r="154" spans="1:12" x14ac:dyDescent="0.25">
      <c r="A154" s="42">
        <v>46048</v>
      </c>
      <c r="B154">
        <v>1</v>
      </c>
      <c r="C154" t="s">
        <v>44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2</v>
      </c>
      <c r="K154">
        <v>1</v>
      </c>
      <c r="L154" s="43">
        <v>46063.793923611112</v>
      </c>
    </row>
    <row r="155" spans="1:12" x14ac:dyDescent="0.25">
      <c r="A155" s="42">
        <v>46049</v>
      </c>
      <c r="B155">
        <v>1</v>
      </c>
      <c r="C155" t="s">
        <v>44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 s="43">
        <v>46063.793935185182</v>
      </c>
    </row>
    <row r="156" spans="1:12" x14ac:dyDescent="0.25">
      <c r="A156" s="42">
        <v>46050</v>
      </c>
      <c r="B156">
        <v>1</v>
      </c>
      <c r="C156" t="s">
        <v>44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0</v>
      </c>
      <c r="K156">
        <v>3</v>
      </c>
      <c r="L156" s="43">
        <v>46063.793946759259</v>
      </c>
    </row>
    <row r="157" spans="1:12" x14ac:dyDescent="0.25">
      <c r="A157" s="42">
        <v>46051</v>
      </c>
      <c r="B157">
        <v>1</v>
      </c>
      <c r="C157" t="s">
        <v>44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3</v>
      </c>
      <c r="K157">
        <v>3</v>
      </c>
      <c r="L157" s="43">
        <v>46063.793946759259</v>
      </c>
    </row>
    <row r="158" spans="1:12" x14ac:dyDescent="0.25">
      <c r="A158" s="42">
        <v>46052</v>
      </c>
      <c r="B158">
        <v>1</v>
      </c>
      <c r="C158" t="s">
        <v>44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3</v>
      </c>
      <c r="K158">
        <v>6</v>
      </c>
      <c r="L158" s="43">
        <v>46063.793958333335</v>
      </c>
    </row>
    <row r="159" spans="1:12" x14ac:dyDescent="0.25">
      <c r="A159" s="42">
        <v>46053</v>
      </c>
      <c r="B159">
        <v>1</v>
      </c>
      <c r="C159" t="s">
        <v>44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6</v>
      </c>
      <c r="K159">
        <v>4</v>
      </c>
      <c r="L159" s="43">
        <v>46063.793969907405</v>
      </c>
    </row>
    <row r="160" spans="1:12" x14ac:dyDescent="0.25">
      <c r="A160" s="42">
        <v>46023</v>
      </c>
      <c r="B160">
        <v>1</v>
      </c>
      <c r="C160" t="s">
        <v>30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16</v>
      </c>
      <c r="K160">
        <v>19</v>
      </c>
      <c r="L160" s="43">
        <v>46063.793981481482</v>
      </c>
    </row>
    <row r="161" spans="1:12" x14ac:dyDescent="0.25">
      <c r="A161" s="42">
        <v>46024</v>
      </c>
      <c r="B161">
        <v>1</v>
      </c>
      <c r="C161" t="s">
        <v>30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19</v>
      </c>
      <c r="K161">
        <v>16</v>
      </c>
      <c r="L161" s="43">
        <v>46063.793981481482</v>
      </c>
    </row>
    <row r="162" spans="1:12" x14ac:dyDescent="0.25">
      <c r="A162" s="42">
        <v>46025</v>
      </c>
      <c r="B162">
        <v>1</v>
      </c>
      <c r="C162" t="s">
        <v>30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16</v>
      </c>
      <c r="K162">
        <v>18</v>
      </c>
      <c r="L162" s="43">
        <v>46063.793993055559</v>
      </c>
    </row>
    <row r="163" spans="1:12" x14ac:dyDescent="0.25">
      <c r="A163" s="42">
        <v>46026</v>
      </c>
      <c r="B163">
        <v>1</v>
      </c>
      <c r="C163" t="s">
        <v>30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18</v>
      </c>
      <c r="K163">
        <v>23</v>
      </c>
      <c r="L163" s="43">
        <v>46063.794004629628</v>
      </c>
    </row>
    <row r="164" spans="1:12" x14ac:dyDescent="0.25">
      <c r="A164" s="42">
        <v>46027</v>
      </c>
      <c r="B164">
        <v>1</v>
      </c>
      <c r="C164" t="s">
        <v>30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23</v>
      </c>
      <c r="K164">
        <v>23</v>
      </c>
      <c r="L164" s="43">
        <v>46063.794004629628</v>
      </c>
    </row>
    <row r="165" spans="1:12" x14ac:dyDescent="0.25">
      <c r="A165" s="42">
        <v>46028</v>
      </c>
      <c r="B165">
        <v>1</v>
      </c>
      <c r="C165" t="s">
        <v>30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23</v>
      </c>
      <c r="K165">
        <v>20</v>
      </c>
      <c r="L165" s="43">
        <v>46063.794016203705</v>
      </c>
    </row>
    <row r="166" spans="1:12" x14ac:dyDescent="0.25">
      <c r="A166" s="42">
        <v>46029</v>
      </c>
      <c r="B166">
        <v>1</v>
      </c>
      <c r="C166" t="s">
        <v>30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20</v>
      </c>
      <c r="K166">
        <v>23</v>
      </c>
      <c r="L166" s="43">
        <v>46063.794027777774</v>
      </c>
    </row>
    <row r="167" spans="1:12" x14ac:dyDescent="0.25">
      <c r="A167" s="42">
        <v>46030</v>
      </c>
      <c r="B167">
        <v>1</v>
      </c>
      <c r="C167" t="s">
        <v>30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23</v>
      </c>
      <c r="K167">
        <v>19</v>
      </c>
      <c r="L167" s="43">
        <v>46063.794039351851</v>
      </c>
    </row>
    <row r="168" spans="1:12" x14ac:dyDescent="0.25">
      <c r="A168" s="42">
        <v>46031</v>
      </c>
      <c r="B168">
        <v>1</v>
      </c>
      <c r="C168" t="s">
        <v>30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19</v>
      </c>
      <c r="K168">
        <v>20</v>
      </c>
      <c r="L168" s="43">
        <v>46063.794039351851</v>
      </c>
    </row>
    <row r="169" spans="1:12" x14ac:dyDescent="0.25">
      <c r="A169" s="42">
        <v>46032</v>
      </c>
      <c r="B169">
        <v>1</v>
      </c>
      <c r="C169" t="s">
        <v>30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20</v>
      </c>
      <c r="K169">
        <v>16</v>
      </c>
      <c r="L169" s="43">
        <v>46063.794050925928</v>
      </c>
    </row>
    <row r="170" spans="1:12" x14ac:dyDescent="0.25">
      <c r="A170" s="42">
        <v>46033</v>
      </c>
      <c r="B170">
        <v>1</v>
      </c>
      <c r="C170" t="s">
        <v>30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16</v>
      </c>
      <c r="K170">
        <v>16</v>
      </c>
      <c r="L170" s="43">
        <v>46063.794062499997</v>
      </c>
    </row>
    <row r="171" spans="1:12" x14ac:dyDescent="0.25">
      <c r="A171" s="42">
        <v>46034</v>
      </c>
      <c r="B171">
        <v>1</v>
      </c>
      <c r="C171" t="s">
        <v>30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16</v>
      </c>
      <c r="K171">
        <v>17</v>
      </c>
      <c r="L171" s="43">
        <v>46063.794062499997</v>
      </c>
    </row>
    <row r="172" spans="1:12" x14ac:dyDescent="0.25">
      <c r="A172" s="42">
        <v>46035</v>
      </c>
      <c r="B172">
        <v>1</v>
      </c>
      <c r="C172" t="s">
        <v>30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17</v>
      </c>
      <c r="K172">
        <v>17</v>
      </c>
      <c r="L172" s="43">
        <v>46063.794074074074</v>
      </c>
    </row>
    <row r="173" spans="1:12" x14ac:dyDescent="0.25">
      <c r="A173" s="42">
        <v>46036</v>
      </c>
      <c r="B173">
        <v>1</v>
      </c>
      <c r="C173" t="s">
        <v>30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17</v>
      </c>
      <c r="K173">
        <v>16</v>
      </c>
      <c r="L173" s="43">
        <v>46063.794085648151</v>
      </c>
    </row>
    <row r="174" spans="1:12" x14ac:dyDescent="0.25">
      <c r="A174" s="42">
        <v>46037</v>
      </c>
      <c r="B174">
        <v>1</v>
      </c>
      <c r="C174" t="s">
        <v>30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16</v>
      </c>
      <c r="K174">
        <v>17</v>
      </c>
      <c r="L174" s="43">
        <v>46063.79409722222</v>
      </c>
    </row>
    <row r="175" spans="1:12" x14ac:dyDescent="0.25">
      <c r="A175" s="42">
        <v>46038</v>
      </c>
      <c r="B175">
        <v>1</v>
      </c>
      <c r="C175" t="s">
        <v>30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17</v>
      </c>
      <c r="K175">
        <v>16</v>
      </c>
      <c r="L175" s="43">
        <v>46063.79409722222</v>
      </c>
    </row>
    <row r="176" spans="1:12" x14ac:dyDescent="0.25">
      <c r="A176" s="42">
        <v>46039</v>
      </c>
      <c r="B176">
        <v>1</v>
      </c>
      <c r="C176" t="s">
        <v>30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16</v>
      </c>
      <c r="K176">
        <v>18</v>
      </c>
      <c r="L176" s="43">
        <v>46063.794108796297</v>
      </c>
    </row>
    <row r="177" spans="1:12" x14ac:dyDescent="0.25">
      <c r="A177" s="42">
        <v>46040</v>
      </c>
      <c r="B177">
        <v>1</v>
      </c>
      <c r="C177" t="s">
        <v>30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18</v>
      </c>
      <c r="K177">
        <v>20</v>
      </c>
      <c r="L177" s="43">
        <v>46063.794120370374</v>
      </c>
    </row>
    <row r="178" spans="1:12" x14ac:dyDescent="0.25">
      <c r="A178" s="42">
        <v>46041</v>
      </c>
      <c r="B178">
        <v>1</v>
      </c>
      <c r="C178" t="s">
        <v>30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20</v>
      </c>
      <c r="K178">
        <v>23</v>
      </c>
      <c r="L178" s="43">
        <v>46063.794120370374</v>
      </c>
    </row>
    <row r="179" spans="1:12" x14ac:dyDescent="0.25">
      <c r="A179" s="42">
        <v>46042</v>
      </c>
      <c r="B179">
        <v>1</v>
      </c>
      <c r="C179" t="s">
        <v>30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23</v>
      </c>
      <c r="K179">
        <v>16</v>
      </c>
      <c r="L179" s="43">
        <v>46063.794131944444</v>
      </c>
    </row>
    <row r="180" spans="1:12" x14ac:dyDescent="0.25">
      <c r="A180" s="42">
        <v>46043</v>
      </c>
      <c r="B180">
        <v>1</v>
      </c>
      <c r="C180" t="s">
        <v>30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16</v>
      </c>
      <c r="K180">
        <v>14</v>
      </c>
      <c r="L180" s="43">
        <v>46063.79414351852</v>
      </c>
    </row>
    <row r="181" spans="1:12" x14ac:dyDescent="0.25">
      <c r="A181" s="42">
        <v>46044</v>
      </c>
      <c r="B181">
        <v>1</v>
      </c>
      <c r="C181" t="s">
        <v>30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14</v>
      </c>
      <c r="K181">
        <v>15</v>
      </c>
      <c r="L181" s="43">
        <v>46063.79415509259</v>
      </c>
    </row>
    <row r="182" spans="1:12" x14ac:dyDescent="0.25">
      <c r="A182" s="42">
        <v>46045</v>
      </c>
      <c r="B182">
        <v>1</v>
      </c>
      <c r="C182" t="s">
        <v>30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15</v>
      </c>
      <c r="K182">
        <v>15</v>
      </c>
      <c r="L182" s="43">
        <v>46063.79415509259</v>
      </c>
    </row>
    <row r="183" spans="1:12" x14ac:dyDescent="0.25">
      <c r="A183" s="42">
        <v>46046</v>
      </c>
      <c r="B183">
        <v>1</v>
      </c>
      <c r="C183" t="s">
        <v>30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15</v>
      </c>
      <c r="K183">
        <v>17</v>
      </c>
      <c r="L183" s="43">
        <v>46063.794166666667</v>
      </c>
    </row>
    <row r="184" spans="1:12" x14ac:dyDescent="0.25">
      <c r="A184" s="42">
        <v>46047</v>
      </c>
      <c r="B184">
        <v>1</v>
      </c>
      <c r="C184" t="s">
        <v>30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17</v>
      </c>
      <c r="K184">
        <v>13</v>
      </c>
      <c r="L184" s="43">
        <v>46063.794178240743</v>
      </c>
    </row>
    <row r="185" spans="1:12" x14ac:dyDescent="0.25">
      <c r="A185" s="42">
        <v>46048</v>
      </c>
      <c r="B185">
        <v>1</v>
      </c>
      <c r="C185" t="s">
        <v>30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13</v>
      </c>
      <c r="K185">
        <v>14</v>
      </c>
      <c r="L185" s="43">
        <v>46063.794189814813</v>
      </c>
    </row>
    <row r="186" spans="1:12" x14ac:dyDescent="0.25">
      <c r="A186" s="42">
        <v>46049</v>
      </c>
      <c r="B186">
        <v>1</v>
      </c>
      <c r="C186" t="s">
        <v>30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14</v>
      </c>
      <c r="K186">
        <v>10</v>
      </c>
      <c r="L186" s="43">
        <v>46063.794189814813</v>
      </c>
    </row>
    <row r="187" spans="1:12" x14ac:dyDescent="0.25">
      <c r="A187" s="42">
        <v>46050</v>
      </c>
      <c r="B187">
        <v>1</v>
      </c>
      <c r="C187" t="s">
        <v>30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10</v>
      </c>
      <c r="K187">
        <v>11</v>
      </c>
      <c r="L187" s="43">
        <v>46063.79420138889</v>
      </c>
    </row>
    <row r="188" spans="1:12" x14ac:dyDescent="0.25">
      <c r="A188" s="42">
        <v>46051</v>
      </c>
      <c r="B188">
        <v>1</v>
      </c>
      <c r="C188" t="s">
        <v>30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11</v>
      </c>
      <c r="K188">
        <v>14</v>
      </c>
      <c r="L188" s="43">
        <v>46063.794212962966</v>
      </c>
    </row>
    <row r="189" spans="1:12" x14ac:dyDescent="0.25">
      <c r="A189" s="42">
        <v>46052</v>
      </c>
      <c r="B189">
        <v>1</v>
      </c>
      <c r="C189" t="s">
        <v>30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14</v>
      </c>
      <c r="K189">
        <v>17</v>
      </c>
      <c r="L189" s="43">
        <v>46063.794224537036</v>
      </c>
    </row>
    <row r="190" spans="1:12" x14ac:dyDescent="0.25">
      <c r="A190" s="42">
        <v>46053</v>
      </c>
      <c r="B190">
        <v>1</v>
      </c>
      <c r="C190" t="s">
        <v>30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17</v>
      </c>
      <c r="K190">
        <v>12</v>
      </c>
      <c r="L190" s="43">
        <v>46063.794224537036</v>
      </c>
    </row>
    <row r="191" spans="1:12" x14ac:dyDescent="0.25">
      <c r="A191" s="42">
        <v>46056</v>
      </c>
      <c r="B191">
        <v>2</v>
      </c>
      <c r="C191" t="s">
        <v>30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12</v>
      </c>
      <c r="K191">
        <v>15</v>
      </c>
      <c r="L191" s="43">
        <v>46063.794236111113</v>
      </c>
    </row>
    <row r="192" spans="1:12" x14ac:dyDescent="0.25">
      <c r="A192" s="42">
        <v>46066</v>
      </c>
      <c r="B192">
        <v>2</v>
      </c>
      <c r="C192" t="s">
        <v>30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15</v>
      </c>
      <c r="K192">
        <v>15</v>
      </c>
      <c r="L192" s="43">
        <v>46063.794247685182</v>
      </c>
    </row>
    <row r="193" spans="1:12" x14ac:dyDescent="0.25">
      <c r="A193" s="42">
        <v>46023</v>
      </c>
      <c r="B193">
        <v>1</v>
      </c>
      <c r="C193" t="s">
        <v>42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9</v>
      </c>
      <c r="K193">
        <v>8</v>
      </c>
      <c r="L193" s="43">
        <v>46063.794259259259</v>
      </c>
    </row>
    <row r="194" spans="1:12" x14ac:dyDescent="0.25">
      <c r="A194" s="42">
        <v>46024</v>
      </c>
      <c r="B194">
        <v>1</v>
      </c>
      <c r="C194" t="s">
        <v>42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8</v>
      </c>
      <c r="K194">
        <v>9</v>
      </c>
      <c r="L194" s="43">
        <v>46063.794259259259</v>
      </c>
    </row>
    <row r="195" spans="1:12" x14ac:dyDescent="0.25">
      <c r="A195" s="42">
        <v>46025</v>
      </c>
      <c r="B195">
        <v>1</v>
      </c>
      <c r="C195" t="s">
        <v>42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9</v>
      </c>
      <c r="K195">
        <v>10</v>
      </c>
      <c r="L195" s="43">
        <v>46063.794270833336</v>
      </c>
    </row>
    <row r="196" spans="1:12" x14ac:dyDescent="0.25">
      <c r="A196" s="42">
        <v>46026</v>
      </c>
      <c r="B196">
        <v>1</v>
      </c>
      <c r="C196" t="s">
        <v>42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10</v>
      </c>
      <c r="K196">
        <v>9</v>
      </c>
      <c r="L196" s="43">
        <v>46063.794282407405</v>
      </c>
    </row>
    <row r="197" spans="1:12" x14ac:dyDescent="0.25">
      <c r="A197" s="42">
        <v>46027</v>
      </c>
      <c r="B197">
        <v>1</v>
      </c>
      <c r="C197" t="s">
        <v>42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9</v>
      </c>
      <c r="K197">
        <v>2</v>
      </c>
      <c r="L197" s="43">
        <v>46063.794293981482</v>
      </c>
    </row>
    <row r="198" spans="1:12" x14ac:dyDescent="0.25">
      <c r="A198" s="42">
        <v>46028</v>
      </c>
      <c r="B198">
        <v>1</v>
      </c>
      <c r="C198" t="s">
        <v>42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2</v>
      </c>
      <c r="K198">
        <v>1</v>
      </c>
      <c r="L198" s="43">
        <v>46063.794293981482</v>
      </c>
    </row>
    <row r="199" spans="1:12" x14ac:dyDescent="0.25">
      <c r="A199" s="42">
        <v>46029</v>
      </c>
      <c r="B199">
        <v>1</v>
      </c>
      <c r="C199" t="s">
        <v>42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1</v>
      </c>
      <c r="K199">
        <v>2</v>
      </c>
      <c r="L199" s="43">
        <v>46063.794305555559</v>
      </c>
    </row>
    <row r="200" spans="1:12" x14ac:dyDescent="0.25">
      <c r="A200" s="42">
        <v>46030</v>
      </c>
      <c r="B200">
        <v>1</v>
      </c>
      <c r="C200" t="s">
        <v>42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6</v>
      </c>
      <c r="L200" s="43">
        <v>46063.794317129628</v>
      </c>
    </row>
    <row r="201" spans="1:12" x14ac:dyDescent="0.25">
      <c r="A201" s="42">
        <v>46031</v>
      </c>
      <c r="B201">
        <v>1</v>
      </c>
      <c r="C201" t="s">
        <v>42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6</v>
      </c>
      <c r="K201">
        <v>2</v>
      </c>
      <c r="L201" s="43">
        <v>46063.794328703705</v>
      </c>
    </row>
    <row r="202" spans="1:12" x14ac:dyDescent="0.25">
      <c r="A202" s="42">
        <v>46032</v>
      </c>
      <c r="B202">
        <v>1</v>
      </c>
      <c r="C202" t="s">
        <v>42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</v>
      </c>
      <c r="K202">
        <v>4</v>
      </c>
      <c r="L202" s="43">
        <v>46063.794328703705</v>
      </c>
    </row>
    <row r="203" spans="1:12" x14ac:dyDescent="0.25">
      <c r="A203" s="42">
        <v>46033</v>
      </c>
      <c r="B203">
        <v>1</v>
      </c>
      <c r="C203" t="s">
        <v>42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4</v>
      </c>
      <c r="K203">
        <v>3</v>
      </c>
      <c r="L203" s="43">
        <v>46063.794340277775</v>
      </c>
    </row>
    <row r="204" spans="1:12" x14ac:dyDescent="0.25">
      <c r="A204" s="42">
        <v>46034</v>
      </c>
      <c r="B204">
        <v>1</v>
      </c>
      <c r="C204" t="s">
        <v>42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3</v>
      </c>
      <c r="K204">
        <v>1</v>
      </c>
      <c r="L204" s="43">
        <v>46063.794351851851</v>
      </c>
    </row>
    <row r="205" spans="1:12" x14ac:dyDescent="0.25">
      <c r="A205" s="42">
        <v>46035</v>
      </c>
      <c r="B205">
        <v>1</v>
      </c>
      <c r="C205" t="s">
        <v>42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1</v>
      </c>
      <c r="K205">
        <v>3</v>
      </c>
      <c r="L205" s="43">
        <v>46063.794351851851</v>
      </c>
    </row>
    <row r="206" spans="1:12" x14ac:dyDescent="0.25">
      <c r="A206" s="42">
        <v>46036</v>
      </c>
      <c r="B206">
        <v>1</v>
      </c>
      <c r="C206" t="s">
        <v>42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K206">
        <v>6</v>
      </c>
      <c r="L206" s="43">
        <v>46063.794363425928</v>
      </c>
    </row>
    <row r="207" spans="1:12" x14ac:dyDescent="0.25">
      <c r="A207" s="42">
        <v>46037</v>
      </c>
      <c r="B207">
        <v>1</v>
      </c>
      <c r="C207" t="s">
        <v>42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6</v>
      </c>
      <c r="K207">
        <v>5</v>
      </c>
      <c r="L207" s="43">
        <v>46063.794374999998</v>
      </c>
    </row>
    <row r="208" spans="1:12" x14ac:dyDescent="0.25">
      <c r="A208" s="42">
        <v>46038</v>
      </c>
      <c r="B208">
        <v>1</v>
      </c>
      <c r="C208" t="s">
        <v>42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5</v>
      </c>
      <c r="K208">
        <v>9</v>
      </c>
      <c r="L208" s="43">
        <v>46063.794386574074</v>
      </c>
    </row>
    <row r="209" spans="1:12" x14ac:dyDescent="0.25">
      <c r="A209" s="42">
        <v>46039</v>
      </c>
      <c r="B209">
        <v>1</v>
      </c>
      <c r="C209" t="s">
        <v>42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9</v>
      </c>
      <c r="K209">
        <v>9</v>
      </c>
      <c r="L209" s="43">
        <v>46063.794386574074</v>
      </c>
    </row>
    <row r="210" spans="1:12" x14ac:dyDescent="0.25">
      <c r="A210" s="42">
        <v>46040</v>
      </c>
      <c r="B210">
        <v>1</v>
      </c>
      <c r="C210" t="s">
        <v>42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9</v>
      </c>
      <c r="K210">
        <v>6</v>
      </c>
      <c r="L210" s="43">
        <v>46063.794398148151</v>
      </c>
    </row>
    <row r="211" spans="1:12" x14ac:dyDescent="0.25">
      <c r="A211" s="42">
        <v>46041</v>
      </c>
      <c r="B211">
        <v>1</v>
      </c>
      <c r="C211" t="s">
        <v>42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6</v>
      </c>
      <c r="K211">
        <v>3</v>
      </c>
      <c r="L211" s="43">
        <v>46063.794409722221</v>
      </c>
    </row>
    <row r="212" spans="1:12" x14ac:dyDescent="0.25">
      <c r="A212" s="42">
        <v>46042</v>
      </c>
      <c r="B212">
        <v>1</v>
      </c>
      <c r="C212" t="s">
        <v>42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3</v>
      </c>
      <c r="K212">
        <v>6</v>
      </c>
      <c r="L212" s="43">
        <v>46063.794409722221</v>
      </c>
    </row>
    <row r="213" spans="1:12" x14ac:dyDescent="0.25">
      <c r="A213" s="42">
        <v>46043</v>
      </c>
      <c r="B213">
        <v>1</v>
      </c>
      <c r="C213" t="s">
        <v>42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6</v>
      </c>
      <c r="K213">
        <v>4</v>
      </c>
      <c r="L213" s="43">
        <v>46063.794421296298</v>
      </c>
    </row>
    <row r="214" spans="1:12" x14ac:dyDescent="0.25">
      <c r="A214" s="42">
        <v>46044</v>
      </c>
      <c r="B214">
        <v>1</v>
      </c>
      <c r="C214" t="s">
        <v>42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4</v>
      </c>
      <c r="K214">
        <v>6</v>
      </c>
      <c r="L214" s="43">
        <v>46063.794432870367</v>
      </c>
    </row>
    <row r="215" spans="1:12" x14ac:dyDescent="0.25">
      <c r="A215" s="42">
        <v>46045</v>
      </c>
      <c r="B215">
        <v>1</v>
      </c>
      <c r="C215" t="s">
        <v>42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6</v>
      </c>
      <c r="K215">
        <v>6</v>
      </c>
      <c r="L215" s="43">
        <v>46063.794444444444</v>
      </c>
    </row>
    <row r="216" spans="1:12" x14ac:dyDescent="0.25">
      <c r="A216" s="42">
        <v>46046</v>
      </c>
      <c r="B216">
        <v>1</v>
      </c>
      <c r="C216" t="s">
        <v>42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6</v>
      </c>
      <c r="K216">
        <v>5</v>
      </c>
      <c r="L216" s="43">
        <v>46063.794444444444</v>
      </c>
    </row>
    <row r="217" spans="1:12" x14ac:dyDescent="0.25">
      <c r="A217" s="42">
        <v>46047</v>
      </c>
      <c r="B217">
        <v>1</v>
      </c>
      <c r="C217" t="s">
        <v>42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5</v>
      </c>
      <c r="K217">
        <v>2</v>
      </c>
      <c r="L217" s="43">
        <v>46063.794456018521</v>
      </c>
    </row>
    <row r="218" spans="1:12" x14ac:dyDescent="0.25">
      <c r="A218" s="42">
        <v>46048</v>
      </c>
      <c r="B218">
        <v>1</v>
      </c>
      <c r="C218" t="s">
        <v>42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2</v>
      </c>
      <c r="K218">
        <v>4</v>
      </c>
      <c r="L218" s="43">
        <v>46063.79446759259</v>
      </c>
    </row>
    <row r="219" spans="1:12" x14ac:dyDescent="0.25">
      <c r="A219" s="42">
        <v>46049</v>
      </c>
      <c r="B219">
        <v>1</v>
      </c>
      <c r="C219" t="s">
        <v>42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4</v>
      </c>
      <c r="K219">
        <v>6</v>
      </c>
      <c r="L219" s="43">
        <v>46063.79446759259</v>
      </c>
    </row>
    <row r="220" spans="1:12" x14ac:dyDescent="0.25">
      <c r="A220" s="42">
        <v>46050</v>
      </c>
      <c r="B220">
        <v>1</v>
      </c>
      <c r="C220" t="s">
        <v>42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6</v>
      </c>
      <c r="K220">
        <v>3</v>
      </c>
      <c r="L220" s="43">
        <v>46063.794479166667</v>
      </c>
    </row>
    <row r="221" spans="1:12" x14ac:dyDescent="0.25">
      <c r="A221" s="42">
        <v>46051</v>
      </c>
      <c r="B221">
        <v>1</v>
      </c>
      <c r="C221" t="s">
        <v>42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3</v>
      </c>
      <c r="K221">
        <v>4</v>
      </c>
      <c r="L221" s="43">
        <v>46063.794490740744</v>
      </c>
    </row>
    <row r="222" spans="1:12" x14ac:dyDescent="0.25">
      <c r="A222" s="42">
        <v>46052</v>
      </c>
      <c r="B222">
        <v>1</v>
      </c>
      <c r="C222" t="s">
        <v>42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4</v>
      </c>
      <c r="K222">
        <v>3</v>
      </c>
      <c r="L222" s="43">
        <v>46063.794490740744</v>
      </c>
    </row>
    <row r="223" spans="1:12" x14ac:dyDescent="0.25">
      <c r="A223" s="42">
        <v>46053</v>
      </c>
      <c r="B223">
        <v>1</v>
      </c>
      <c r="C223" t="s">
        <v>42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3</v>
      </c>
      <c r="K223">
        <v>1</v>
      </c>
      <c r="L223" s="43">
        <v>46063.794502314813</v>
      </c>
    </row>
    <row r="224" spans="1:12" x14ac:dyDescent="0.25">
      <c r="A224" s="42">
        <v>46056</v>
      </c>
      <c r="B224">
        <v>2</v>
      </c>
      <c r="C224" t="s">
        <v>42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1</v>
      </c>
      <c r="K224">
        <v>3</v>
      </c>
      <c r="L224" s="43">
        <v>46063.79451388889</v>
      </c>
    </row>
    <row r="225" spans="1:12" x14ac:dyDescent="0.25">
      <c r="A225" s="42">
        <v>46023</v>
      </c>
      <c r="B225">
        <v>1</v>
      </c>
      <c r="C225" t="s">
        <v>28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25</v>
      </c>
      <c r="K225">
        <v>25</v>
      </c>
      <c r="L225" s="43">
        <v>46063.794525462959</v>
      </c>
    </row>
    <row r="226" spans="1:12" x14ac:dyDescent="0.25">
      <c r="A226" s="42">
        <v>46024</v>
      </c>
      <c r="B226">
        <v>1</v>
      </c>
      <c r="C226" t="s">
        <v>28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25</v>
      </c>
      <c r="K226">
        <v>23</v>
      </c>
      <c r="L226" s="43">
        <v>46063.794525462959</v>
      </c>
    </row>
    <row r="227" spans="1:12" x14ac:dyDescent="0.25">
      <c r="A227" s="42">
        <v>46025</v>
      </c>
      <c r="B227">
        <v>1</v>
      </c>
      <c r="C227" t="s">
        <v>28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23</v>
      </c>
      <c r="K227">
        <v>23</v>
      </c>
      <c r="L227" s="43">
        <v>46063.794537037036</v>
      </c>
    </row>
    <row r="228" spans="1:12" x14ac:dyDescent="0.25">
      <c r="A228" s="42">
        <v>46026</v>
      </c>
      <c r="B228">
        <v>1</v>
      </c>
      <c r="C228" t="s">
        <v>28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23</v>
      </c>
      <c r="K228">
        <v>24</v>
      </c>
      <c r="L228" s="43">
        <v>46063.794548611113</v>
      </c>
    </row>
    <row r="229" spans="1:12" x14ac:dyDescent="0.25">
      <c r="A229" s="42">
        <v>46027</v>
      </c>
      <c r="B229">
        <v>1</v>
      </c>
      <c r="C229" t="s">
        <v>28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24</v>
      </c>
      <c r="K229">
        <v>22</v>
      </c>
      <c r="L229" s="43">
        <v>46063.794548611113</v>
      </c>
    </row>
    <row r="230" spans="1:12" x14ac:dyDescent="0.25">
      <c r="A230" s="42">
        <v>46028</v>
      </c>
      <c r="B230">
        <v>1</v>
      </c>
      <c r="C230" t="s">
        <v>28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22</v>
      </c>
      <c r="K230">
        <v>15</v>
      </c>
      <c r="L230" s="43">
        <v>46063.794560185182</v>
      </c>
    </row>
    <row r="231" spans="1:12" x14ac:dyDescent="0.25">
      <c r="A231" s="42">
        <v>46029</v>
      </c>
      <c r="B231">
        <v>1</v>
      </c>
      <c r="C231" t="s">
        <v>28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15</v>
      </c>
      <c r="K231">
        <v>14</v>
      </c>
      <c r="L231" s="43">
        <v>46063.794571759259</v>
      </c>
    </row>
    <row r="232" spans="1:12" x14ac:dyDescent="0.25">
      <c r="A232" s="42">
        <v>46030</v>
      </c>
      <c r="B232">
        <v>1</v>
      </c>
      <c r="C232" t="s">
        <v>28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14</v>
      </c>
      <c r="K232">
        <v>17</v>
      </c>
      <c r="L232" s="43">
        <v>46063.794583333336</v>
      </c>
    </row>
    <row r="233" spans="1:12" x14ac:dyDescent="0.25">
      <c r="A233" s="42">
        <v>46031</v>
      </c>
      <c r="B233">
        <v>1</v>
      </c>
      <c r="C233" t="s">
        <v>28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17</v>
      </c>
      <c r="K233">
        <v>17</v>
      </c>
      <c r="L233" s="43">
        <v>46063.794583333336</v>
      </c>
    </row>
    <row r="234" spans="1:12" x14ac:dyDescent="0.25">
      <c r="A234" s="42">
        <v>46032</v>
      </c>
      <c r="B234">
        <v>1</v>
      </c>
      <c r="C234" t="s">
        <v>28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17</v>
      </c>
      <c r="K234">
        <v>15</v>
      </c>
      <c r="L234" s="43">
        <v>46063.794594907406</v>
      </c>
    </row>
    <row r="235" spans="1:12" x14ac:dyDescent="0.25">
      <c r="A235" s="42">
        <v>46033</v>
      </c>
      <c r="B235">
        <v>1</v>
      </c>
      <c r="C235" t="s">
        <v>28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15</v>
      </c>
      <c r="K235">
        <v>17</v>
      </c>
      <c r="L235" s="43">
        <v>46063.794606481482</v>
      </c>
    </row>
    <row r="236" spans="1:12" x14ac:dyDescent="0.25">
      <c r="A236" s="42">
        <v>46034</v>
      </c>
      <c r="B236">
        <v>1</v>
      </c>
      <c r="C236" t="s">
        <v>28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17</v>
      </c>
      <c r="K236">
        <v>21</v>
      </c>
      <c r="L236" s="43">
        <v>46063.794606481482</v>
      </c>
    </row>
    <row r="237" spans="1:12" x14ac:dyDescent="0.25">
      <c r="A237" s="42">
        <v>46035</v>
      </c>
      <c r="B237">
        <v>1</v>
      </c>
      <c r="C237" t="s">
        <v>28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21</v>
      </c>
      <c r="K237">
        <v>23</v>
      </c>
      <c r="L237" s="43">
        <v>46063.794618055559</v>
      </c>
    </row>
    <row r="238" spans="1:12" x14ac:dyDescent="0.25">
      <c r="A238" s="42">
        <v>46036</v>
      </c>
      <c r="B238">
        <v>1</v>
      </c>
      <c r="C238" t="s">
        <v>28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23</v>
      </c>
      <c r="K238">
        <v>24</v>
      </c>
      <c r="L238" s="43">
        <v>46063.794629629629</v>
      </c>
    </row>
    <row r="239" spans="1:12" x14ac:dyDescent="0.25">
      <c r="A239" s="42">
        <v>46037</v>
      </c>
      <c r="B239">
        <v>1</v>
      </c>
      <c r="C239" t="s">
        <v>28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24</v>
      </c>
      <c r="K239">
        <v>24</v>
      </c>
      <c r="L239" s="43">
        <v>46063.794641203705</v>
      </c>
    </row>
    <row r="240" spans="1:12" x14ac:dyDescent="0.25">
      <c r="A240" s="42">
        <v>46038</v>
      </c>
      <c r="B240">
        <v>1</v>
      </c>
      <c r="C240" t="s">
        <v>28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24</v>
      </c>
      <c r="K240">
        <v>24</v>
      </c>
      <c r="L240" s="43">
        <v>46063.794641203705</v>
      </c>
    </row>
    <row r="241" spans="1:12" x14ac:dyDescent="0.25">
      <c r="A241" s="42">
        <v>46039</v>
      </c>
      <c r="B241">
        <v>1</v>
      </c>
      <c r="C241" t="s">
        <v>28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24</v>
      </c>
      <c r="K241">
        <v>24</v>
      </c>
      <c r="L241" s="43">
        <v>46063.794652777775</v>
      </c>
    </row>
    <row r="242" spans="1:12" x14ac:dyDescent="0.25">
      <c r="A242" s="42">
        <v>46040</v>
      </c>
      <c r="B242">
        <v>1</v>
      </c>
      <c r="C242" t="s">
        <v>28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24</v>
      </c>
      <c r="K242">
        <v>23</v>
      </c>
      <c r="L242" s="43">
        <v>46063.794664351852</v>
      </c>
    </row>
    <row r="243" spans="1:12" x14ac:dyDescent="0.25">
      <c r="A243" s="42">
        <v>46041</v>
      </c>
      <c r="B243">
        <v>1</v>
      </c>
      <c r="C243" t="s">
        <v>28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23</v>
      </c>
      <c r="K243">
        <v>19</v>
      </c>
      <c r="L243" s="43">
        <v>46063.794675925928</v>
      </c>
    </row>
    <row r="244" spans="1:12" x14ac:dyDescent="0.25">
      <c r="A244" s="42">
        <v>46042</v>
      </c>
      <c r="B244">
        <v>1</v>
      </c>
      <c r="C244" t="s">
        <v>28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19</v>
      </c>
      <c r="K244">
        <v>20</v>
      </c>
      <c r="L244" s="43">
        <v>46063.794675925928</v>
      </c>
    </row>
    <row r="245" spans="1:12" x14ac:dyDescent="0.25">
      <c r="A245" s="42">
        <v>46043</v>
      </c>
      <c r="B245">
        <v>1</v>
      </c>
      <c r="C245" t="s">
        <v>28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20</v>
      </c>
      <c r="K245">
        <v>22</v>
      </c>
      <c r="L245" s="43">
        <v>46063.794687499998</v>
      </c>
    </row>
    <row r="246" spans="1:12" x14ac:dyDescent="0.25">
      <c r="A246" s="42">
        <v>46044</v>
      </c>
      <c r="B246">
        <v>1</v>
      </c>
      <c r="C246" t="s">
        <v>28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22</v>
      </c>
      <c r="K246">
        <v>23</v>
      </c>
      <c r="L246" s="43">
        <v>46063.794699074075</v>
      </c>
    </row>
    <row r="247" spans="1:12" x14ac:dyDescent="0.25">
      <c r="A247" s="42">
        <v>46045</v>
      </c>
      <c r="B247">
        <v>1</v>
      </c>
      <c r="C247" t="s">
        <v>28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23</v>
      </c>
      <c r="K247">
        <v>23</v>
      </c>
      <c r="L247" s="43">
        <v>46063.794699074075</v>
      </c>
    </row>
    <row r="248" spans="1:12" x14ac:dyDescent="0.25">
      <c r="A248" s="42">
        <v>46046</v>
      </c>
      <c r="B248">
        <v>1</v>
      </c>
      <c r="C248" t="s">
        <v>28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23</v>
      </c>
      <c r="K248">
        <v>26</v>
      </c>
      <c r="L248" s="43">
        <v>46063.794710648152</v>
      </c>
    </row>
    <row r="249" spans="1:12" x14ac:dyDescent="0.25">
      <c r="A249" s="42">
        <v>46047</v>
      </c>
      <c r="B249">
        <v>1</v>
      </c>
      <c r="C249" t="s">
        <v>28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26</v>
      </c>
      <c r="K249">
        <v>25</v>
      </c>
      <c r="L249" s="43">
        <v>46063.794722222221</v>
      </c>
    </row>
    <row r="250" spans="1:12" x14ac:dyDescent="0.25">
      <c r="A250" s="42">
        <v>46048</v>
      </c>
      <c r="B250">
        <v>1</v>
      </c>
      <c r="C250" t="s">
        <v>28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25</v>
      </c>
      <c r="K250">
        <v>22</v>
      </c>
      <c r="L250" s="43">
        <v>46063.794722222221</v>
      </c>
    </row>
    <row r="251" spans="1:12" x14ac:dyDescent="0.25">
      <c r="A251" s="42">
        <v>46049</v>
      </c>
      <c r="B251">
        <v>1</v>
      </c>
      <c r="C251" t="s">
        <v>28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22</v>
      </c>
      <c r="K251">
        <v>20</v>
      </c>
      <c r="L251" s="43">
        <v>46063.794733796298</v>
      </c>
    </row>
    <row r="252" spans="1:12" x14ac:dyDescent="0.25">
      <c r="A252" s="42">
        <v>46050</v>
      </c>
      <c r="B252">
        <v>1</v>
      </c>
      <c r="C252" t="s">
        <v>28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20</v>
      </c>
      <c r="K252">
        <v>25</v>
      </c>
      <c r="L252" s="43">
        <v>46063.794745370367</v>
      </c>
    </row>
    <row r="253" spans="1:12" x14ac:dyDescent="0.25">
      <c r="A253" s="42">
        <v>46051</v>
      </c>
      <c r="B253">
        <v>1</v>
      </c>
      <c r="C253" t="s">
        <v>28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25</v>
      </c>
      <c r="K253">
        <v>20</v>
      </c>
      <c r="L253" s="43">
        <v>46063.794756944444</v>
      </c>
    </row>
    <row r="254" spans="1:12" x14ac:dyDescent="0.25">
      <c r="A254" s="42">
        <v>46052</v>
      </c>
      <c r="B254">
        <v>1</v>
      </c>
      <c r="C254" t="s">
        <v>28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20</v>
      </c>
      <c r="K254">
        <v>14</v>
      </c>
      <c r="L254" s="43">
        <v>46063.794756944444</v>
      </c>
    </row>
    <row r="255" spans="1:12" x14ac:dyDescent="0.25">
      <c r="A255" s="42">
        <v>46053</v>
      </c>
      <c r="B255">
        <v>1</v>
      </c>
      <c r="C255" t="s">
        <v>28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14</v>
      </c>
      <c r="K255">
        <v>19</v>
      </c>
      <c r="L255" s="43">
        <v>46063.794768518521</v>
      </c>
    </row>
    <row r="256" spans="1:12" x14ac:dyDescent="0.25">
      <c r="A256" s="42">
        <v>46054</v>
      </c>
      <c r="B256">
        <v>2</v>
      </c>
      <c r="C256" t="s">
        <v>28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19</v>
      </c>
      <c r="K256">
        <v>19</v>
      </c>
      <c r="L256" s="43">
        <v>46063.79478009259</v>
      </c>
    </row>
    <row r="257" spans="1:12" x14ac:dyDescent="0.25">
      <c r="A257" s="42">
        <v>46056</v>
      </c>
      <c r="B257">
        <v>2</v>
      </c>
      <c r="C257" t="s">
        <v>28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19</v>
      </c>
      <c r="K257">
        <v>19</v>
      </c>
      <c r="L257" s="43">
        <v>46063.79478009259</v>
      </c>
    </row>
    <row r="258" spans="1:12" x14ac:dyDescent="0.25">
      <c r="A258" s="42">
        <v>46057</v>
      </c>
      <c r="B258">
        <v>2</v>
      </c>
      <c r="C258" t="s">
        <v>28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19</v>
      </c>
      <c r="K258">
        <v>19</v>
      </c>
      <c r="L258" s="43">
        <v>46063.794791666667</v>
      </c>
    </row>
    <row r="259" spans="1:12" x14ac:dyDescent="0.25">
      <c r="A259" s="42">
        <v>46058</v>
      </c>
      <c r="B259">
        <v>2</v>
      </c>
      <c r="C259" t="s">
        <v>28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19</v>
      </c>
      <c r="K259">
        <v>17</v>
      </c>
      <c r="L259" s="43">
        <v>46063.794803240744</v>
      </c>
    </row>
    <row r="260" spans="1:12" x14ac:dyDescent="0.25">
      <c r="A260" s="42">
        <v>46059</v>
      </c>
      <c r="B260">
        <v>2</v>
      </c>
      <c r="C260" t="s">
        <v>28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17</v>
      </c>
      <c r="K260">
        <v>10</v>
      </c>
      <c r="L260" s="43">
        <v>46063.794814814813</v>
      </c>
    </row>
    <row r="261" spans="1:12" x14ac:dyDescent="0.25">
      <c r="A261" s="42">
        <v>46060</v>
      </c>
      <c r="B261">
        <v>2</v>
      </c>
      <c r="C261" t="s">
        <v>28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10</v>
      </c>
      <c r="K261">
        <v>9</v>
      </c>
      <c r="L261" s="43">
        <v>46063.794814814813</v>
      </c>
    </row>
    <row r="262" spans="1:12" x14ac:dyDescent="0.25">
      <c r="A262" s="42">
        <v>46061</v>
      </c>
      <c r="B262">
        <v>2</v>
      </c>
      <c r="C262" t="s">
        <v>28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9</v>
      </c>
      <c r="K262">
        <v>12</v>
      </c>
      <c r="L262" s="43">
        <v>46063.79482638889</v>
      </c>
    </row>
    <row r="263" spans="1:12" x14ac:dyDescent="0.25">
      <c r="A263" s="42">
        <v>46062</v>
      </c>
      <c r="B263">
        <v>2</v>
      </c>
      <c r="C263" t="s">
        <v>28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12</v>
      </c>
      <c r="K263">
        <v>12</v>
      </c>
      <c r="L263" s="43">
        <v>46063.79483796296</v>
      </c>
    </row>
    <row r="264" spans="1:12" x14ac:dyDescent="0.25">
      <c r="A264" s="42">
        <v>46063</v>
      </c>
      <c r="B264">
        <v>2</v>
      </c>
      <c r="C264" t="s">
        <v>28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12</v>
      </c>
      <c r="K264">
        <v>10</v>
      </c>
      <c r="L264" s="43">
        <v>46063.794849537036</v>
      </c>
    </row>
    <row r="265" spans="1:12" x14ac:dyDescent="0.25">
      <c r="A265" s="42">
        <v>46064</v>
      </c>
      <c r="B265">
        <v>2</v>
      </c>
      <c r="C265" t="s">
        <v>28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10</v>
      </c>
      <c r="K265">
        <v>12</v>
      </c>
      <c r="L265" s="43">
        <v>46063.794849537036</v>
      </c>
    </row>
    <row r="266" spans="1:12" x14ac:dyDescent="0.25">
      <c r="A266" s="42">
        <v>46065</v>
      </c>
      <c r="B266">
        <v>2</v>
      </c>
      <c r="C266" t="s">
        <v>28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12</v>
      </c>
      <c r="K266">
        <v>16</v>
      </c>
      <c r="L266" s="43">
        <v>46063.794861111113</v>
      </c>
    </row>
    <row r="267" spans="1:12" x14ac:dyDescent="0.25">
      <c r="A267" s="42">
        <v>46066</v>
      </c>
      <c r="B267">
        <v>2</v>
      </c>
      <c r="C267" t="s">
        <v>28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16</v>
      </c>
      <c r="K267">
        <v>18</v>
      </c>
      <c r="L267" s="43">
        <v>46063.794872685183</v>
      </c>
    </row>
    <row r="268" spans="1:12" x14ac:dyDescent="0.25">
      <c r="A268" s="42">
        <v>46067</v>
      </c>
      <c r="B268">
        <v>2</v>
      </c>
      <c r="C268" t="s">
        <v>28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18</v>
      </c>
      <c r="K268">
        <v>19</v>
      </c>
      <c r="L268" s="43">
        <v>46063.794872685183</v>
      </c>
    </row>
    <row r="269" spans="1:12" x14ac:dyDescent="0.25">
      <c r="A269" s="42">
        <v>46068</v>
      </c>
      <c r="B269">
        <v>2</v>
      </c>
      <c r="C269" t="s">
        <v>28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19</v>
      </c>
      <c r="K269">
        <v>19</v>
      </c>
      <c r="L269" s="43">
        <v>46063.79488425926</v>
      </c>
    </row>
    <row r="270" spans="1:12" x14ac:dyDescent="0.25">
      <c r="A270" s="42">
        <v>46069</v>
      </c>
      <c r="B270">
        <v>2</v>
      </c>
      <c r="C270" t="s">
        <v>28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19</v>
      </c>
      <c r="K270">
        <v>19</v>
      </c>
      <c r="L270" s="43">
        <v>46063.794895833336</v>
      </c>
    </row>
    <row r="271" spans="1:12" x14ac:dyDescent="0.25">
      <c r="A271" s="42">
        <v>46070</v>
      </c>
      <c r="B271">
        <v>2</v>
      </c>
      <c r="C271" t="s">
        <v>28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19</v>
      </c>
      <c r="K271">
        <v>19</v>
      </c>
      <c r="L271" s="43">
        <v>46063.794907407406</v>
      </c>
    </row>
    <row r="272" spans="1:12" x14ac:dyDescent="0.25">
      <c r="A272" s="42">
        <v>46023</v>
      </c>
      <c r="B272">
        <v>1</v>
      </c>
      <c r="C272" t="s">
        <v>40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14</v>
      </c>
      <c r="K272">
        <v>12</v>
      </c>
      <c r="L272" s="43">
        <v>46063.794907407406</v>
      </c>
    </row>
    <row r="273" spans="1:12" x14ac:dyDescent="0.25">
      <c r="A273" s="42">
        <v>46024</v>
      </c>
      <c r="B273">
        <v>1</v>
      </c>
      <c r="C273" t="s">
        <v>40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12</v>
      </c>
      <c r="K273">
        <v>10</v>
      </c>
      <c r="L273" s="43">
        <v>46063.794918981483</v>
      </c>
    </row>
    <row r="274" spans="1:12" x14ac:dyDescent="0.25">
      <c r="A274" s="42">
        <v>46025</v>
      </c>
      <c r="B274">
        <v>1</v>
      </c>
      <c r="C274" t="s">
        <v>40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10</v>
      </c>
      <c r="K274">
        <v>9</v>
      </c>
      <c r="L274" s="43">
        <v>46063.794930555552</v>
      </c>
    </row>
    <row r="275" spans="1:12" x14ac:dyDescent="0.25">
      <c r="A275" s="42">
        <v>46026</v>
      </c>
      <c r="B275">
        <v>1</v>
      </c>
      <c r="C275" t="s">
        <v>40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9</v>
      </c>
      <c r="K275">
        <v>8</v>
      </c>
      <c r="L275" s="43">
        <v>46063.794942129629</v>
      </c>
    </row>
    <row r="276" spans="1:12" x14ac:dyDescent="0.25">
      <c r="A276" s="42">
        <v>46027</v>
      </c>
      <c r="B276">
        <v>1</v>
      </c>
      <c r="C276" t="s">
        <v>40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8</v>
      </c>
      <c r="K276">
        <v>9</v>
      </c>
      <c r="L276" s="43">
        <v>46063.794942129629</v>
      </c>
    </row>
    <row r="277" spans="1:12" x14ac:dyDescent="0.25">
      <c r="A277" s="42">
        <v>46028</v>
      </c>
      <c r="B277">
        <v>1</v>
      </c>
      <c r="C277" t="s">
        <v>40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9</v>
      </c>
      <c r="K277">
        <v>13</v>
      </c>
      <c r="L277" s="43">
        <v>46063.794953703706</v>
      </c>
    </row>
    <row r="278" spans="1:12" x14ac:dyDescent="0.25">
      <c r="A278" s="42">
        <v>46029</v>
      </c>
      <c r="B278">
        <v>1</v>
      </c>
      <c r="C278" t="s">
        <v>40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13</v>
      </c>
      <c r="K278">
        <v>15</v>
      </c>
      <c r="L278" s="43">
        <v>46063.794965277775</v>
      </c>
    </row>
    <row r="279" spans="1:12" x14ac:dyDescent="0.25">
      <c r="A279" s="42">
        <v>46030</v>
      </c>
      <c r="B279">
        <v>1</v>
      </c>
      <c r="C279" t="s">
        <v>40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15</v>
      </c>
      <c r="K279">
        <v>16</v>
      </c>
      <c r="L279" s="43">
        <v>46063.794965277775</v>
      </c>
    </row>
    <row r="280" spans="1:12" x14ac:dyDescent="0.25">
      <c r="A280" s="42">
        <v>46031</v>
      </c>
      <c r="B280">
        <v>1</v>
      </c>
      <c r="C280" t="s">
        <v>40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16</v>
      </c>
      <c r="K280">
        <v>18</v>
      </c>
      <c r="L280" s="43">
        <v>46063.794976851852</v>
      </c>
    </row>
    <row r="281" spans="1:12" x14ac:dyDescent="0.25">
      <c r="A281" s="42">
        <v>46032</v>
      </c>
      <c r="B281">
        <v>1</v>
      </c>
      <c r="C281" t="s">
        <v>40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18</v>
      </c>
      <c r="K281">
        <v>18</v>
      </c>
      <c r="L281" s="43">
        <v>46063.794988425929</v>
      </c>
    </row>
    <row r="282" spans="1:12" x14ac:dyDescent="0.25">
      <c r="A282" s="42">
        <v>46033</v>
      </c>
      <c r="B282">
        <v>1</v>
      </c>
      <c r="C282" t="s">
        <v>40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18</v>
      </c>
      <c r="K282">
        <v>18</v>
      </c>
      <c r="L282" s="43">
        <v>46063.794999999998</v>
      </c>
    </row>
    <row r="283" spans="1:12" x14ac:dyDescent="0.25">
      <c r="A283" s="42">
        <v>46034</v>
      </c>
      <c r="B283">
        <v>1</v>
      </c>
      <c r="C283" t="s">
        <v>40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18</v>
      </c>
      <c r="K283">
        <v>22</v>
      </c>
      <c r="L283" s="43">
        <v>46063.794999999998</v>
      </c>
    </row>
    <row r="284" spans="1:12" x14ac:dyDescent="0.25">
      <c r="A284" s="42">
        <v>46035</v>
      </c>
      <c r="B284">
        <v>1</v>
      </c>
      <c r="C284" t="s">
        <v>40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22</v>
      </c>
      <c r="K284">
        <v>22</v>
      </c>
      <c r="L284" s="43">
        <v>46063.795011574075</v>
      </c>
    </row>
    <row r="285" spans="1:12" x14ac:dyDescent="0.25">
      <c r="A285" s="42">
        <v>46036</v>
      </c>
      <c r="B285">
        <v>1</v>
      </c>
      <c r="C285" t="s">
        <v>40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22</v>
      </c>
      <c r="K285">
        <v>20</v>
      </c>
      <c r="L285" s="43">
        <v>46063.795023148145</v>
      </c>
    </row>
    <row r="286" spans="1:12" x14ac:dyDescent="0.25">
      <c r="A286" s="42">
        <v>46037</v>
      </c>
      <c r="B286">
        <v>1</v>
      </c>
      <c r="C286" t="s">
        <v>40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20</v>
      </c>
      <c r="K286">
        <v>17</v>
      </c>
      <c r="L286" s="43">
        <v>46063.795023148145</v>
      </c>
    </row>
    <row r="287" spans="1:12" x14ac:dyDescent="0.25">
      <c r="A287" s="42">
        <v>46038</v>
      </c>
      <c r="B287">
        <v>1</v>
      </c>
      <c r="C287" t="s">
        <v>40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17</v>
      </c>
      <c r="K287">
        <v>13</v>
      </c>
      <c r="L287" s="43">
        <v>46063.795034722221</v>
      </c>
    </row>
    <row r="288" spans="1:12" x14ac:dyDescent="0.25">
      <c r="A288" s="42">
        <v>46039</v>
      </c>
      <c r="B288">
        <v>1</v>
      </c>
      <c r="C288" t="s">
        <v>40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13</v>
      </c>
      <c r="K288">
        <v>14</v>
      </c>
      <c r="L288" s="43">
        <v>46063.795046296298</v>
      </c>
    </row>
    <row r="289" spans="1:12" x14ac:dyDescent="0.25">
      <c r="A289" s="42">
        <v>46040</v>
      </c>
      <c r="B289">
        <v>1</v>
      </c>
      <c r="C289" t="s">
        <v>40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14</v>
      </c>
      <c r="K289">
        <v>15</v>
      </c>
      <c r="L289" s="43">
        <v>46063.795057870368</v>
      </c>
    </row>
    <row r="290" spans="1:12" x14ac:dyDescent="0.25">
      <c r="A290" s="42">
        <v>46041</v>
      </c>
      <c r="B290">
        <v>1</v>
      </c>
      <c r="C290" t="s">
        <v>40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15</v>
      </c>
      <c r="K290">
        <v>16</v>
      </c>
      <c r="L290" s="43">
        <v>46063.795057870368</v>
      </c>
    </row>
    <row r="291" spans="1:12" x14ac:dyDescent="0.25">
      <c r="A291" s="42">
        <v>46042</v>
      </c>
      <c r="B291">
        <v>1</v>
      </c>
      <c r="C291" t="s">
        <v>40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16</v>
      </c>
      <c r="K291">
        <v>14</v>
      </c>
      <c r="L291" s="43">
        <v>46063.795069444444</v>
      </c>
    </row>
    <row r="292" spans="1:12" x14ac:dyDescent="0.25">
      <c r="A292" s="42">
        <v>46043</v>
      </c>
      <c r="B292">
        <v>1</v>
      </c>
      <c r="C292" t="s">
        <v>40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14</v>
      </c>
      <c r="K292">
        <v>12</v>
      </c>
      <c r="L292" s="43">
        <v>46063.795081018521</v>
      </c>
    </row>
    <row r="293" spans="1:12" x14ac:dyDescent="0.25">
      <c r="A293" s="42">
        <v>46044</v>
      </c>
      <c r="B293">
        <v>1</v>
      </c>
      <c r="C293" t="s">
        <v>40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12</v>
      </c>
      <c r="K293">
        <v>15</v>
      </c>
      <c r="L293" s="43">
        <v>46063.795081018521</v>
      </c>
    </row>
    <row r="294" spans="1:12" x14ac:dyDescent="0.25">
      <c r="A294" s="42">
        <v>46045</v>
      </c>
      <c r="B294">
        <v>1</v>
      </c>
      <c r="C294" t="s">
        <v>40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15</v>
      </c>
      <c r="K294">
        <v>14</v>
      </c>
      <c r="L294" s="43">
        <v>46063.795092592591</v>
      </c>
    </row>
    <row r="295" spans="1:12" x14ac:dyDescent="0.25">
      <c r="A295" s="42">
        <v>46046</v>
      </c>
      <c r="B295">
        <v>1</v>
      </c>
      <c r="C295" t="s">
        <v>40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14</v>
      </c>
      <c r="K295">
        <v>11</v>
      </c>
      <c r="L295" s="43">
        <v>46063.795104166667</v>
      </c>
    </row>
    <row r="296" spans="1:12" x14ac:dyDescent="0.25">
      <c r="A296" s="42">
        <v>46047</v>
      </c>
      <c r="B296">
        <v>1</v>
      </c>
      <c r="C296" t="s">
        <v>40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11</v>
      </c>
      <c r="K296">
        <v>10</v>
      </c>
      <c r="L296" s="43">
        <v>46063.795115740744</v>
      </c>
    </row>
    <row r="297" spans="1:12" x14ac:dyDescent="0.25">
      <c r="A297" s="42">
        <v>46048</v>
      </c>
      <c r="B297">
        <v>1</v>
      </c>
      <c r="C297" t="s">
        <v>40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10</v>
      </c>
      <c r="K297">
        <v>10</v>
      </c>
      <c r="L297" s="43">
        <v>46063.795115740744</v>
      </c>
    </row>
    <row r="298" spans="1:12" x14ac:dyDescent="0.25">
      <c r="A298" s="42">
        <v>46049</v>
      </c>
      <c r="B298">
        <v>1</v>
      </c>
      <c r="C298" t="s">
        <v>40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10</v>
      </c>
      <c r="K298">
        <v>10</v>
      </c>
      <c r="L298" s="43">
        <v>46063.795127314814</v>
      </c>
    </row>
    <row r="299" spans="1:12" x14ac:dyDescent="0.25">
      <c r="A299" s="42">
        <v>46050</v>
      </c>
      <c r="B299">
        <v>1</v>
      </c>
      <c r="C299" t="s">
        <v>40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10</v>
      </c>
      <c r="K299">
        <v>9</v>
      </c>
      <c r="L299" s="43">
        <v>46063.795138888891</v>
      </c>
    </row>
    <row r="300" spans="1:12" x14ac:dyDescent="0.25">
      <c r="A300" s="42">
        <v>46051</v>
      </c>
      <c r="B300">
        <v>1</v>
      </c>
      <c r="C300" t="s">
        <v>40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9</v>
      </c>
      <c r="K300">
        <v>6</v>
      </c>
      <c r="L300" s="43">
        <v>46063.795138888891</v>
      </c>
    </row>
    <row r="301" spans="1:12" x14ac:dyDescent="0.25">
      <c r="A301" s="42">
        <v>46052</v>
      </c>
      <c r="B301">
        <v>1</v>
      </c>
      <c r="C301" t="s">
        <v>40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6</v>
      </c>
      <c r="K301">
        <v>7</v>
      </c>
      <c r="L301" s="43">
        <v>46063.79515046296</v>
      </c>
    </row>
    <row r="302" spans="1:12" x14ac:dyDescent="0.25">
      <c r="A302" s="42">
        <v>46053</v>
      </c>
      <c r="B302">
        <v>1</v>
      </c>
      <c r="C302" t="s">
        <v>40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7</v>
      </c>
      <c r="K302">
        <v>7</v>
      </c>
      <c r="L302" s="43">
        <v>46063.795162037037</v>
      </c>
    </row>
    <row r="303" spans="1:12" x14ac:dyDescent="0.25">
      <c r="A303" s="42">
        <v>46056</v>
      </c>
      <c r="B303">
        <v>2</v>
      </c>
      <c r="C303" t="s">
        <v>40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7</v>
      </c>
      <c r="K303">
        <v>5</v>
      </c>
      <c r="L303" s="43">
        <v>46063.795173611114</v>
      </c>
    </row>
    <row r="304" spans="1:12" x14ac:dyDescent="0.25">
      <c r="A304" s="42">
        <v>46057</v>
      </c>
      <c r="B304">
        <v>2</v>
      </c>
      <c r="C304" t="s">
        <v>40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5</v>
      </c>
      <c r="K304">
        <v>3</v>
      </c>
      <c r="L304" s="43">
        <v>46063.795173611114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3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81</v>
      </c>
      <c r="B1" t="s">
        <v>82</v>
      </c>
      <c r="C1" t="s">
        <v>71</v>
      </c>
      <c r="D1" t="s">
        <v>22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80</v>
      </c>
    </row>
    <row r="2" spans="1:11" x14ac:dyDescent="0.25">
      <c r="A2" t="s">
        <v>214</v>
      </c>
      <c r="B2" s="44">
        <v>46023</v>
      </c>
      <c r="C2">
        <v>1</v>
      </c>
      <c r="D2" t="s">
        <v>28</v>
      </c>
      <c r="G2">
        <v>35</v>
      </c>
      <c r="H2" t="s">
        <v>215</v>
      </c>
      <c r="I2" t="s">
        <v>216</v>
      </c>
      <c r="J2" t="s">
        <v>217</v>
      </c>
      <c r="K2" s="45">
        <v>46063.810960648145</v>
      </c>
    </row>
    <row r="3" spans="1:11" x14ac:dyDescent="0.25">
      <c r="A3" t="s">
        <v>214</v>
      </c>
      <c r="B3" s="44">
        <v>46023</v>
      </c>
      <c r="C3">
        <v>1</v>
      </c>
      <c r="D3" t="s">
        <v>28</v>
      </c>
      <c r="E3" s="42">
        <v>46023</v>
      </c>
      <c r="F3" t="s">
        <v>28</v>
      </c>
      <c r="G3">
        <v>35</v>
      </c>
      <c r="H3" t="s">
        <v>215</v>
      </c>
      <c r="I3" t="s">
        <v>216</v>
      </c>
      <c r="J3" t="s">
        <v>217</v>
      </c>
      <c r="K3" s="45">
        <v>46063.811018518521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89</v>
      </c>
      <c r="B1" t="s">
        <v>90</v>
      </c>
      <c r="C1" t="s">
        <v>71</v>
      </c>
      <c r="D1" t="s">
        <v>22</v>
      </c>
      <c r="E1" t="s">
        <v>91</v>
      </c>
      <c r="F1" t="s">
        <v>92</v>
      </c>
      <c r="G1" t="s">
        <v>85</v>
      </c>
      <c r="H1" t="s">
        <v>86</v>
      </c>
      <c r="I1" t="s">
        <v>87</v>
      </c>
      <c r="J1" t="s">
        <v>88</v>
      </c>
      <c r="K1" t="s">
        <v>93</v>
      </c>
      <c r="L1" t="s">
        <v>94</v>
      </c>
      <c r="M1" t="s">
        <v>80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95</v>
      </c>
      <c r="B1" t="s">
        <v>96</v>
      </c>
      <c r="C1" t="s">
        <v>71</v>
      </c>
      <c r="D1" t="s">
        <v>97</v>
      </c>
      <c r="E1" t="s">
        <v>98</v>
      </c>
      <c r="F1" t="s">
        <v>83</v>
      </c>
      <c r="G1" t="s">
        <v>84</v>
      </c>
      <c r="H1" t="s">
        <v>80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101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IFERROR(INDEX(tblWardConfig[PrevYearRemaining],MATCH("MW",tblWardConfig[WardCode],0)),0)</f>
        <v>25</v>
      </c>
    </row>
    <row r="5" spans="1:8" x14ac:dyDescent="0.25">
      <c r="A5" s="1" t="s">
        <v>104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110</v>
      </c>
      <c r="B38" s="9">
        <f>SUMIFS(tblDaily[Admissions],tblDaily[Month],1,tblDaily[WardCode],"MW") - SUMIFS(tblDaily[DeathsUnder24Hrs],tblDaily[Month],1,tblDaily[WardCode],"MW")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101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104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19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19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19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17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10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9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12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12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10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12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16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19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19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SUMIFS(tblDaily[Admissions],tblDaily[Month],2,tblDaily[WardCode],"MW") - SUMIFS(tblDaily[DeathsUnder24Hrs],tblDaily[Month],2,tblDaily[WardCode],"MW")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249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101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104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110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101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104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101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104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110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101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104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101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104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110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101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104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110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101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104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101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104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110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101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104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101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104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110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111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IFERROR(INDEX(tblWardConfig[PrevYearRemaining],MATCH("FW",tblWardConfig[WardCode],0)),0)</f>
        <v>16</v>
      </c>
    </row>
    <row r="5" spans="1:8" x14ac:dyDescent="0.25">
      <c r="A5" s="1" t="s">
        <v>104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110</v>
      </c>
      <c r="B38" s="9">
        <f>SUMIFS(tblDaily[Admissions],tblDaily[Month],1,tblDaily[WardCode],"FW") - SUMIFS(tblDaily[DeathsUnder24Hrs],tblDaily[Month],1,tblDaily[WardCode],"FW")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111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104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15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15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SUMIFS(tblDaily[Admissions],tblDaily[Month],2,tblDaily[WardCode],"FW") - SUMIFS(tblDaily[DeathsUnder24Hrs],tblDaily[Month],2,tblDaily[WardCode],"FW")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30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111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104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110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111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104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111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104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110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111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104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111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104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110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111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104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110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111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104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111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104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110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111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104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111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104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110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112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IFERROR(INDEX(tblWardConfig[PrevYearRemaining],MATCH("CW",tblWardConfig[WardCode],0)),0)</f>
        <v>7</v>
      </c>
    </row>
    <row r="5" spans="1:8" x14ac:dyDescent="0.25">
      <c r="A5" s="1" t="s">
        <v>104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110</v>
      </c>
      <c r="B38" s="9">
        <f>SUMIFS(tblDaily[Admissions],tblDaily[Month],1,tblDaily[WardCode],"CW") - SUMIFS(tblDaily[DeathsUnder24Hrs],tblDaily[Month],1,tblDaily[WardCode],"CW")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112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104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SUMIFS(tblDaily[Admissions],tblDaily[Month],2,tblDaily[WardCode],"CW") - SUMIFS(tblDaily[DeathsUnder24Hrs],tblDaily[Month],2,tblDaily[WardCode],"CW")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12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112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104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110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112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104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112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104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110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112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104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112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104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110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112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104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110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112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104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112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104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110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112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104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112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104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110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113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IFERROR(INDEX(tblWardConfig[PrevYearRemaining],MATCH("BF",tblWardConfig[WardCode],0)),0)</f>
        <v>9</v>
      </c>
    </row>
    <row r="5" spans="1:8" x14ac:dyDescent="0.25">
      <c r="A5" s="1" t="s">
        <v>104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110</v>
      </c>
      <c r="B38" s="9">
        <f>SUMIFS(tblDaily[Admissions],tblDaily[Month],1,tblDaily[WardCode],"BF") - SUMIFS(tblDaily[DeathsUnder24Hrs],tblDaily[Month],1,tblDaily[WardCode],"BF")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113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104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8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SUMIFS(tblDaily[Admissions],tblDaily[Month],2,tblDaily[WardCode],"BF") - SUMIFS(tblDaily[DeathsUnder24Hrs],tblDaily[Month],2,tblDaily[WardCode],"BF")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8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113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104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110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113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104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113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104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110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113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104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113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104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110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113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104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110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113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104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113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104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110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113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104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113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104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110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114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IFERROR(INDEX(tblWardConfig[PrevYearRemaining],MATCH("BG",tblWardConfig[WardCode],0)),0)</f>
        <v>9</v>
      </c>
    </row>
    <row r="5" spans="1:8" x14ac:dyDescent="0.25">
      <c r="A5" s="1" t="s">
        <v>104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110</v>
      </c>
      <c r="B38" s="9">
        <f>SUMIFS(tblDaily[Admissions],tblDaily[Month],1,tblDaily[WardCode],"BG") - SUMIFS(tblDaily[DeathsUnder24Hrs],tblDaily[Month],1,tblDaily[WardCode],"BG")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342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114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104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12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114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104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110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114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104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114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104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110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114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104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114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104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110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114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104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110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114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104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114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104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110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114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104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114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104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110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115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IFERROR(INDEX(tblWardConfig[PrevYearRemaining],MATCH("BH",tblWardConfig[WardCode],0)),0)</f>
        <v>12</v>
      </c>
    </row>
    <row r="5" spans="1:8" x14ac:dyDescent="0.25">
      <c r="A5" s="1" t="s">
        <v>104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110</v>
      </c>
      <c r="B38" s="9">
        <f>SUMIFS(tblDaily[Admissions],tblDaily[Month],1,tblDaily[WardCode],"BH") - SUMIFS(tblDaily[DeathsUnder24Hrs],tblDaily[Month],1,tblDaily[WardCode],"BH")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115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104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7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7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115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104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110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115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104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115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104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110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115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104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115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104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110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115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104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110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115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104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115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104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110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115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104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115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104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110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116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IFERROR(INDEX(tblWardConfig[PrevYearRemaining],MATCH("NICU",tblWardConfig[WardCode],0)),0)</f>
        <v>14</v>
      </c>
    </row>
    <row r="5" spans="1:8" x14ac:dyDescent="0.25">
      <c r="A5" s="1" t="s">
        <v>104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110</v>
      </c>
      <c r="B38" s="9">
        <f>SUMIFS(tblDaily[Admissions],tblDaily[Month],1,tblDaily[WardCode],"NICU") - SUMIFS(tblDaily[DeathsUnder24Hrs],tblDaily[Month],1,tblDaily[WardCode],"NICU")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116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104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5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3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8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116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104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110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116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104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116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104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110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116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104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116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104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110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116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104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110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116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104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116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104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110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116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104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116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104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110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117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IFERROR(INDEX(tblWardConfig[PrevYearRemaining],MATCH("MAE",tblWardConfig[WardCode],0)),0)</f>
        <v>9</v>
      </c>
    </row>
    <row r="5" spans="1:8" x14ac:dyDescent="0.25">
      <c r="A5" s="1" t="s">
        <v>104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9" t="s">
        <v>110</v>
      </c>
      <c r="B38" s="9">
        <f>SUMIFS(tblDaily[Admissions],tblDaily[Month],1,tblDaily[WardCode],"MAE") - SUMIFS(tblDaily[DeathsUnder24Hrs],tblDaily[Month],1,tblDaily[WardCode],"MAE")</f>
        <v>86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148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117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IFERROR(SUMIFS(tblDaily[Remaining],tblDaily[EntryDate],DATE(2026,1,31),tblDaily[WardCode],"MAE"),0)</f>
        <v>1</v>
      </c>
    </row>
    <row r="44" spans="1:8" x14ac:dyDescent="0.25">
      <c r="A44" s="1" t="s">
        <v>104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3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SUMIFS(tblDaily[Admissions],tblDaily[Month],2,tblDaily[WardCode],"MAE") - SUMIFS(tblDaily[DeathsUnder24Hrs],tblDaily[Month],2,tblDaily[WardCode],"MAE")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3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117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104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110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117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104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117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104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110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117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104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117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104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110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117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104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110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117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104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117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104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110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117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104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117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104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110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1" t="s">
        <v>0</v>
      </c>
      <c r="B1" s="26"/>
      <c r="C1" s="26"/>
      <c r="D1" s="26"/>
      <c r="E1" s="26"/>
      <c r="F1" s="26"/>
      <c r="G1" s="26"/>
    </row>
    <row r="2" spans="1:8" ht="15.75" x14ac:dyDescent="0.25">
      <c r="A2" s="34" t="s">
        <v>99</v>
      </c>
      <c r="B2" s="26"/>
      <c r="C2" s="26"/>
      <c r="D2" s="26"/>
      <c r="E2" s="26"/>
      <c r="F2" s="26"/>
      <c r="G2" s="26"/>
    </row>
    <row r="3" spans="1:8" x14ac:dyDescent="0.25">
      <c r="A3" s="1" t="s">
        <v>4</v>
      </c>
      <c r="B3" s="2" t="s">
        <v>2</v>
      </c>
      <c r="D3" s="1" t="s">
        <v>100</v>
      </c>
      <c r="E3" s="2" t="s">
        <v>118</v>
      </c>
      <c r="F3" s="1" t="s">
        <v>102</v>
      </c>
      <c r="G3" s="2" t="s">
        <v>58</v>
      </c>
    </row>
    <row r="4" spans="1:8" x14ac:dyDescent="0.25">
      <c r="A4" s="1" t="s">
        <v>103</v>
      </c>
      <c r="H4" s="6">
        <f>IFERROR(INDEX(tblWardConfig[PrevYearRemaining],MATCH("FAE",tblWardConfig[WardCode],0)),0)</f>
        <v>1</v>
      </c>
    </row>
    <row r="5" spans="1:8" x14ac:dyDescent="0.25">
      <c r="A5" s="1" t="s">
        <v>104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105</v>
      </c>
      <c r="B6" s="8" t="s">
        <v>72</v>
      </c>
      <c r="C6" s="8" t="s">
        <v>73</v>
      </c>
      <c r="D6" s="8" t="s">
        <v>74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9" t="s">
        <v>110</v>
      </c>
      <c r="B38" s="9">
        <f>SUMIFS(tblDaily[Admissions],tblDaily[Month],1,tblDaily[WardCode],"FAE") - SUMIFS(tblDaily[DeathsUnder24Hrs],tblDaily[Month],1,tblDaily[WardCode],"FAE")</f>
        <v>46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55</v>
      </c>
    </row>
    <row r="40" spans="1:8" ht="18.75" x14ac:dyDescent="0.25">
      <c r="A40" s="31" t="s">
        <v>0</v>
      </c>
      <c r="B40" s="26"/>
      <c r="C40" s="26"/>
      <c r="D40" s="26"/>
      <c r="E40" s="26"/>
      <c r="F40" s="26"/>
      <c r="G40" s="26"/>
    </row>
    <row r="41" spans="1:8" ht="15.75" x14ac:dyDescent="0.25">
      <c r="A41" s="34" t="s">
        <v>99</v>
      </c>
      <c r="B41" s="26"/>
      <c r="C41" s="26"/>
      <c r="D41" s="26"/>
      <c r="E41" s="26"/>
      <c r="F41" s="26"/>
      <c r="G41" s="26"/>
    </row>
    <row r="42" spans="1:8" x14ac:dyDescent="0.25">
      <c r="A42" s="1" t="s">
        <v>4</v>
      </c>
      <c r="B42" s="2" t="s">
        <v>2</v>
      </c>
      <c r="D42" s="1" t="s">
        <v>100</v>
      </c>
      <c r="E42" s="2" t="s">
        <v>118</v>
      </c>
      <c r="F42" s="1" t="s">
        <v>102</v>
      </c>
      <c r="G42" s="2" t="s">
        <v>59</v>
      </c>
    </row>
    <row r="43" spans="1:8" x14ac:dyDescent="0.25">
      <c r="A43" s="1" t="s">
        <v>103</v>
      </c>
      <c r="H43" s="6">
        <f>IFERROR(SUMIFS(tblDaily[Remaining],tblDaily[EntryDate],DATE(2026,1,31),tblDaily[WardCode],"FAE"),0)</f>
        <v>4</v>
      </c>
    </row>
    <row r="44" spans="1:8" x14ac:dyDescent="0.25">
      <c r="A44" s="1" t="s">
        <v>104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105</v>
      </c>
      <c r="B45" s="8" t="s">
        <v>72</v>
      </c>
      <c r="C45" s="8" t="s">
        <v>73</v>
      </c>
      <c r="D45" s="8" t="s">
        <v>74</v>
      </c>
      <c r="E45" s="8" t="s">
        <v>106</v>
      </c>
      <c r="F45" s="8" t="s">
        <v>107</v>
      </c>
      <c r="G45" s="8" t="s">
        <v>108</v>
      </c>
      <c r="H45" s="8" t="s">
        <v>109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110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1" t="s">
        <v>0</v>
      </c>
      <c r="B79" s="26"/>
      <c r="C79" s="26"/>
      <c r="D79" s="26"/>
      <c r="E79" s="26"/>
      <c r="F79" s="26"/>
      <c r="G79" s="26"/>
    </row>
    <row r="80" spans="1:8" ht="15.75" x14ac:dyDescent="0.25">
      <c r="A80" s="34" t="s">
        <v>99</v>
      </c>
      <c r="B80" s="26"/>
      <c r="C80" s="26"/>
      <c r="D80" s="26"/>
      <c r="E80" s="26"/>
      <c r="F80" s="26"/>
      <c r="G80" s="26"/>
    </row>
    <row r="81" spans="1:8" x14ac:dyDescent="0.25">
      <c r="A81" s="1" t="s">
        <v>4</v>
      </c>
      <c r="B81" s="2" t="s">
        <v>2</v>
      </c>
      <c r="D81" s="1" t="s">
        <v>100</v>
      </c>
      <c r="E81" s="2" t="s">
        <v>118</v>
      </c>
      <c r="F81" s="1" t="s">
        <v>102</v>
      </c>
      <c r="G81" s="2" t="s">
        <v>60</v>
      </c>
    </row>
    <row r="82" spans="1:8" x14ac:dyDescent="0.25">
      <c r="A82" s="1" t="s">
        <v>103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104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105</v>
      </c>
      <c r="B84" s="8" t="s">
        <v>72</v>
      </c>
      <c r="C84" s="8" t="s">
        <v>73</v>
      </c>
      <c r="D84" s="8" t="s">
        <v>74</v>
      </c>
      <c r="E84" s="8" t="s">
        <v>106</v>
      </c>
      <c r="F84" s="8" t="s">
        <v>107</v>
      </c>
      <c r="G84" s="8" t="s">
        <v>108</v>
      </c>
      <c r="H84" s="8" t="s">
        <v>109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110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1" t="s">
        <v>0</v>
      </c>
      <c r="B118" s="26"/>
      <c r="C118" s="26"/>
      <c r="D118" s="26"/>
      <c r="E118" s="26"/>
      <c r="F118" s="26"/>
      <c r="G118" s="26"/>
    </row>
    <row r="119" spans="1:8" ht="15.75" x14ac:dyDescent="0.25">
      <c r="A119" s="34" t="s">
        <v>99</v>
      </c>
      <c r="B119" s="26"/>
      <c r="C119" s="26"/>
      <c r="D119" s="26"/>
      <c r="E119" s="26"/>
      <c r="F119" s="26"/>
      <c r="G119" s="26"/>
    </row>
    <row r="120" spans="1:8" x14ac:dyDescent="0.25">
      <c r="A120" s="1" t="s">
        <v>4</v>
      </c>
      <c r="B120" s="2" t="s">
        <v>2</v>
      </c>
      <c r="D120" s="1" t="s">
        <v>100</v>
      </c>
      <c r="E120" s="2" t="s">
        <v>118</v>
      </c>
      <c r="F120" s="1" t="s">
        <v>102</v>
      </c>
      <c r="G120" s="2" t="s">
        <v>61</v>
      </c>
    </row>
    <row r="121" spans="1:8" x14ac:dyDescent="0.25">
      <c r="A121" s="1" t="s">
        <v>103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104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105</v>
      </c>
      <c r="B123" s="8" t="s">
        <v>72</v>
      </c>
      <c r="C123" s="8" t="s">
        <v>73</v>
      </c>
      <c r="D123" s="8" t="s">
        <v>74</v>
      </c>
      <c r="E123" s="8" t="s">
        <v>106</v>
      </c>
      <c r="F123" s="8" t="s">
        <v>107</v>
      </c>
      <c r="G123" s="8" t="s">
        <v>108</v>
      </c>
      <c r="H123" s="8" t="s">
        <v>109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110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1" t="s">
        <v>0</v>
      </c>
      <c r="B157" s="26"/>
      <c r="C157" s="26"/>
      <c r="D157" s="26"/>
      <c r="E157" s="26"/>
      <c r="F157" s="26"/>
      <c r="G157" s="26"/>
    </row>
    <row r="158" spans="1:8" ht="15.75" x14ac:dyDescent="0.25">
      <c r="A158" s="34" t="s">
        <v>99</v>
      </c>
      <c r="B158" s="26"/>
      <c r="C158" s="26"/>
      <c r="D158" s="26"/>
      <c r="E158" s="26"/>
      <c r="F158" s="26"/>
      <c r="G158" s="26"/>
    </row>
    <row r="159" spans="1:8" x14ac:dyDescent="0.25">
      <c r="A159" s="1" t="s">
        <v>4</v>
      </c>
      <c r="B159" s="2" t="s">
        <v>2</v>
      </c>
      <c r="D159" s="1" t="s">
        <v>100</v>
      </c>
      <c r="E159" s="2" t="s">
        <v>118</v>
      </c>
      <c r="F159" s="1" t="s">
        <v>102</v>
      </c>
      <c r="G159" s="2" t="s">
        <v>62</v>
      </c>
    </row>
    <row r="160" spans="1:8" x14ac:dyDescent="0.25">
      <c r="A160" s="1" t="s">
        <v>103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104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105</v>
      </c>
      <c r="B162" s="8" t="s">
        <v>72</v>
      </c>
      <c r="C162" s="8" t="s">
        <v>73</v>
      </c>
      <c r="D162" s="8" t="s">
        <v>74</v>
      </c>
      <c r="E162" s="8" t="s">
        <v>106</v>
      </c>
      <c r="F162" s="8" t="s">
        <v>107</v>
      </c>
      <c r="G162" s="8" t="s">
        <v>108</v>
      </c>
      <c r="H162" s="8" t="s">
        <v>109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110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1" t="s">
        <v>0</v>
      </c>
      <c r="B196" s="26"/>
      <c r="C196" s="26"/>
      <c r="D196" s="26"/>
      <c r="E196" s="26"/>
      <c r="F196" s="26"/>
      <c r="G196" s="26"/>
    </row>
    <row r="197" spans="1:8" ht="15.75" x14ac:dyDescent="0.25">
      <c r="A197" s="34" t="s">
        <v>99</v>
      </c>
      <c r="B197" s="26"/>
      <c r="C197" s="26"/>
      <c r="D197" s="26"/>
      <c r="E197" s="26"/>
      <c r="F197" s="26"/>
      <c r="G197" s="26"/>
    </row>
    <row r="198" spans="1:8" x14ac:dyDescent="0.25">
      <c r="A198" s="1" t="s">
        <v>4</v>
      </c>
      <c r="B198" s="2" t="s">
        <v>2</v>
      </c>
      <c r="D198" s="1" t="s">
        <v>100</v>
      </c>
      <c r="E198" s="2" t="s">
        <v>118</v>
      </c>
      <c r="F198" s="1" t="s">
        <v>102</v>
      </c>
      <c r="G198" s="2" t="s">
        <v>63</v>
      </c>
    </row>
    <row r="199" spans="1:8" x14ac:dyDescent="0.25">
      <c r="A199" s="1" t="s">
        <v>103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104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105</v>
      </c>
      <c r="B201" s="8" t="s">
        <v>72</v>
      </c>
      <c r="C201" s="8" t="s">
        <v>73</v>
      </c>
      <c r="D201" s="8" t="s">
        <v>74</v>
      </c>
      <c r="E201" s="8" t="s">
        <v>106</v>
      </c>
      <c r="F201" s="8" t="s">
        <v>107</v>
      </c>
      <c r="G201" s="8" t="s">
        <v>108</v>
      </c>
      <c r="H201" s="8" t="s">
        <v>109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110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1" t="s">
        <v>0</v>
      </c>
      <c r="B235" s="26"/>
      <c r="C235" s="26"/>
      <c r="D235" s="26"/>
      <c r="E235" s="26"/>
      <c r="F235" s="26"/>
      <c r="G235" s="26"/>
    </row>
    <row r="236" spans="1:8" ht="15.75" x14ac:dyDescent="0.25">
      <c r="A236" s="34" t="s">
        <v>99</v>
      </c>
      <c r="B236" s="26"/>
      <c r="C236" s="26"/>
      <c r="D236" s="26"/>
      <c r="E236" s="26"/>
      <c r="F236" s="26"/>
      <c r="G236" s="26"/>
    </row>
    <row r="237" spans="1:8" x14ac:dyDescent="0.25">
      <c r="A237" s="1" t="s">
        <v>4</v>
      </c>
      <c r="B237" s="2" t="s">
        <v>2</v>
      </c>
      <c r="D237" s="1" t="s">
        <v>100</v>
      </c>
      <c r="E237" s="2" t="s">
        <v>118</v>
      </c>
      <c r="F237" s="1" t="s">
        <v>102</v>
      </c>
      <c r="G237" s="2" t="s">
        <v>64</v>
      </c>
    </row>
    <row r="238" spans="1:8" x14ac:dyDescent="0.25">
      <c r="A238" s="1" t="s">
        <v>103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104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105</v>
      </c>
      <c r="B240" s="8" t="s">
        <v>72</v>
      </c>
      <c r="C240" s="8" t="s">
        <v>73</v>
      </c>
      <c r="D240" s="8" t="s">
        <v>74</v>
      </c>
      <c r="E240" s="8" t="s">
        <v>106</v>
      </c>
      <c r="F240" s="8" t="s">
        <v>107</v>
      </c>
      <c r="G240" s="8" t="s">
        <v>108</v>
      </c>
      <c r="H240" s="8" t="s">
        <v>109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110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1" t="s">
        <v>0</v>
      </c>
      <c r="B274" s="26"/>
      <c r="C274" s="26"/>
      <c r="D274" s="26"/>
      <c r="E274" s="26"/>
      <c r="F274" s="26"/>
      <c r="G274" s="26"/>
    </row>
    <row r="275" spans="1:8" ht="15.75" x14ac:dyDescent="0.25">
      <c r="A275" s="34" t="s">
        <v>99</v>
      </c>
      <c r="B275" s="26"/>
      <c r="C275" s="26"/>
      <c r="D275" s="26"/>
      <c r="E275" s="26"/>
      <c r="F275" s="26"/>
      <c r="G275" s="26"/>
    </row>
    <row r="276" spans="1:8" x14ac:dyDescent="0.25">
      <c r="A276" s="1" t="s">
        <v>4</v>
      </c>
      <c r="B276" s="2" t="s">
        <v>2</v>
      </c>
      <c r="D276" s="1" t="s">
        <v>100</v>
      </c>
      <c r="E276" s="2" t="s">
        <v>118</v>
      </c>
      <c r="F276" s="1" t="s">
        <v>102</v>
      </c>
      <c r="G276" s="2" t="s">
        <v>65</v>
      </c>
    </row>
    <row r="277" spans="1:8" x14ac:dyDescent="0.25">
      <c r="A277" s="1" t="s">
        <v>103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104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105</v>
      </c>
      <c r="B279" s="8" t="s">
        <v>72</v>
      </c>
      <c r="C279" s="8" t="s">
        <v>73</v>
      </c>
      <c r="D279" s="8" t="s">
        <v>74</v>
      </c>
      <c r="E279" s="8" t="s">
        <v>106</v>
      </c>
      <c r="F279" s="8" t="s">
        <v>107</v>
      </c>
      <c r="G279" s="8" t="s">
        <v>108</v>
      </c>
      <c r="H279" s="8" t="s">
        <v>109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110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1" t="s">
        <v>0</v>
      </c>
      <c r="B313" s="26"/>
      <c r="C313" s="26"/>
      <c r="D313" s="26"/>
      <c r="E313" s="26"/>
      <c r="F313" s="26"/>
      <c r="G313" s="26"/>
    </row>
    <row r="314" spans="1:8" ht="15.75" x14ac:dyDescent="0.25">
      <c r="A314" s="34" t="s">
        <v>99</v>
      </c>
      <c r="B314" s="26"/>
      <c r="C314" s="26"/>
      <c r="D314" s="26"/>
      <c r="E314" s="26"/>
      <c r="F314" s="26"/>
      <c r="G314" s="26"/>
    </row>
    <row r="315" spans="1:8" x14ac:dyDescent="0.25">
      <c r="A315" s="1" t="s">
        <v>4</v>
      </c>
      <c r="B315" s="2" t="s">
        <v>2</v>
      </c>
      <c r="D315" s="1" t="s">
        <v>100</v>
      </c>
      <c r="E315" s="2" t="s">
        <v>118</v>
      </c>
      <c r="F315" s="1" t="s">
        <v>102</v>
      </c>
      <c r="G315" s="2" t="s">
        <v>66</v>
      </c>
    </row>
    <row r="316" spans="1:8" x14ac:dyDescent="0.25">
      <c r="A316" s="1" t="s">
        <v>103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104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105</v>
      </c>
      <c r="B318" s="8" t="s">
        <v>72</v>
      </c>
      <c r="C318" s="8" t="s">
        <v>73</v>
      </c>
      <c r="D318" s="8" t="s">
        <v>74</v>
      </c>
      <c r="E318" s="8" t="s">
        <v>106</v>
      </c>
      <c r="F318" s="8" t="s">
        <v>107</v>
      </c>
      <c r="G318" s="8" t="s">
        <v>108</v>
      </c>
      <c r="H318" s="8" t="s">
        <v>109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110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1" t="s">
        <v>0</v>
      </c>
      <c r="B352" s="26"/>
      <c r="C352" s="26"/>
      <c r="D352" s="26"/>
      <c r="E352" s="26"/>
      <c r="F352" s="26"/>
      <c r="G352" s="26"/>
    </row>
    <row r="353" spans="1:8" ht="15.75" x14ac:dyDescent="0.25">
      <c r="A353" s="34" t="s">
        <v>99</v>
      </c>
      <c r="B353" s="26"/>
      <c r="C353" s="26"/>
      <c r="D353" s="26"/>
      <c r="E353" s="26"/>
      <c r="F353" s="26"/>
      <c r="G353" s="26"/>
    </row>
    <row r="354" spans="1:8" x14ac:dyDescent="0.25">
      <c r="A354" s="1" t="s">
        <v>4</v>
      </c>
      <c r="B354" s="2" t="s">
        <v>2</v>
      </c>
      <c r="D354" s="1" t="s">
        <v>100</v>
      </c>
      <c r="E354" s="2" t="s">
        <v>118</v>
      </c>
      <c r="F354" s="1" t="s">
        <v>102</v>
      </c>
      <c r="G354" s="2" t="s">
        <v>67</v>
      </c>
    </row>
    <row r="355" spans="1:8" x14ac:dyDescent="0.25">
      <c r="A355" s="1" t="s">
        <v>103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104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105</v>
      </c>
      <c r="B357" s="8" t="s">
        <v>72</v>
      </c>
      <c r="C357" s="8" t="s">
        <v>73</v>
      </c>
      <c r="D357" s="8" t="s">
        <v>74</v>
      </c>
      <c r="E357" s="8" t="s">
        <v>106</v>
      </c>
      <c r="F357" s="8" t="s">
        <v>107</v>
      </c>
      <c r="G357" s="8" t="s">
        <v>108</v>
      </c>
      <c r="H357" s="8" t="s">
        <v>109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110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1" t="s">
        <v>0</v>
      </c>
      <c r="B391" s="26"/>
      <c r="C391" s="26"/>
      <c r="D391" s="26"/>
      <c r="E391" s="26"/>
      <c r="F391" s="26"/>
      <c r="G391" s="26"/>
    </row>
    <row r="392" spans="1:8" ht="15.75" x14ac:dyDescent="0.25">
      <c r="A392" s="34" t="s">
        <v>99</v>
      </c>
      <c r="B392" s="26"/>
      <c r="C392" s="26"/>
      <c r="D392" s="26"/>
      <c r="E392" s="26"/>
      <c r="F392" s="26"/>
      <c r="G392" s="26"/>
    </row>
    <row r="393" spans="1:8" x14ac:dyDescent="0.25">
      <c r="A393" s="1" t="s">
        <v>4</v>
      </c>
      <c r="B393" s="2" t="s">
        <v>2</v>
      </c>
      <c r="D393" s="1" t="s">
        <v>100</v>
      </c>
      <c r="E393" s="2" t="s">
        <v>118</v>
      </c>
      <c r="F393" s="1" t="s">
        <v>102</v>
      </c>
      <c r="G393" s="2" t="s">
        <v>68</v>
      </c>
    </row>
    <row r="394" spans="1:8" x14ac:dyDescent="0.25">
      <c r="A394" s="1" t="s">
        <v>103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104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105</v>
      </c>
      <c r="B396" s="8" t="s">
        <v>72</v>
      </c>
      <c r="C396" s="8" t="s">
        <v>73</v>
      </c>
      <c r="D396" s="8" t="s">
        <v>74</v>
      </c>
      <c r="E396" s="8" t="s">
        <v>106</v>
      </c>
      <c r="F396" s="8" t="s">
        <v>107</v>
      </c>
      <c r="G396" s="8" t="s">
        <v>108</v>
      </c>
      <c r="H396" s="8" t="s">
        <v>109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110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1" t="s">
        <v>0</v>
      </c>
      <c r="B430" s="26"/>
      <c r="C430" s="26"/>
      <c r="D430" s="26"/>
      <c r="E430" s="26"/>
      <c r="F430" s="26"/>
      <c r="G430" s="26"/>
    </row>
    <row r="431" spans="1:8" ht="15.75" x14ac:dyDescent="0.25">
      <c r="A431" s="34" t="s">
        <v>99</v>
      </c>
      <c r="B431" s="26"/>
      <c r="C431" s="26"/>
      <c r="D431" s="26"/>
      <c r="E431" s="26"/>
      <c r="F431" s="26"/>
      <c r="G431" s="26"/>
    </row>
    <row r="432" spans="1:8" x14ac:dyDescent="0.25">
      <c r="A432" s="1" t="s">
        <v>4</v>
      </c>
      <c r="B432" s="2" t="s">
        <v>2</v>
      </c>
      <c r="D432" s="1" t="s">
        <v>100</v>
      </c>
      <c r="E432" s="2" t="s">
        <v>118</v>
      </c>
      <c r="F432" s="1" t="s">
        <v>102</v>
      </c>
      <c r="G432" s="2" t="s">
        <v>69</v>
      </c>
    </row>
    <row r="433" spans="1:8" x14ac:dyDescent="0.25">
      <c r="A433" s="1" t="s">
        <v>103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104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105</v>
      </c>
      <c r="B435" s="8" t="s">
        <v>72</v>
      </c>
      <c r="C435" s="8" t="s">
        <v>73</v>
      </c>
      <c r="D435" s="8" t="s">
        <v>74</v>
      </c>
      <c r="E435" s="8" t="s">
        <v>106</v>
      </c>
      <c r="F435" s="8" t="s">
        <v>107</v>
      </c>
      <c r="G435" s="8" t="s">
        <v>108</v>
      </c>
      <c r="H435" s="8" t="s">
        <v>109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110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O479"/>
  <sheetViews>
    <sheetView workbookViewId="0">
      <selection sqref="A1:O1"/>
    </sheetView>
  </sheetViews>
  <sheetFormatPr defaultRowHeight="15" x14ac:dyDescent="0.25"/>
  <cols>
    <col min="1" max="1" width="5" customWidth="1"/>
    <col min="2" max="15" width="6" customWidth="1"/>
  </cols>
  <sheetData>
    <row r="1" spans="1:15" ht="18.75" x14ac:dyDescent="0.25">
      <c r="A1" s="36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1:15" ht="15.75" x14ac:dyDescent="0.25">
      <c r="A2" s="34" t="s">
        <v>99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15" x14ac:dyDescent="0.25">
      <c r="A3" s="1" t="s">
        <v>4</v>
      </c>
      <c r="B3" s="2" t="s">
        <v>2</v>
      </c>
      <c r="E3" s="1" t="s">
        <v>100</v>
      </c>
      <c r="F3" s="1" t="s">
        <v>119</v>
      </c>
      <c r="M3" s="1" t="s">
        <v>102</v>
      </c>
      <c r="N3" s="1" t="s">
        <v>58</v>
      </c>
    </row>
    <row r="4" spans="1:15" x14ac:dyDescent="0.25">
      <c r="A4" s="1" t="s">
        <v>103</v>
      </c>
      <c r="B4" s="11">
        <f>IFERROR(INDEX(tblWardConfig[PrevYearRemaining],MATCH("MAE",tblWardConfig[WardCode],0)),0)</f>
        <v>9</v>
      </c>
      <c r="I4" s="11">
        <f>IFERROR(INDEX(tblWardConfig[PrevYearRemaining],MATCH("FAE",tblWardConfig[WardCode],0)),0)</f>
        <v>1</v>
      </c>
    </row>
    <row r="5" spans="1:15" x14ac:dyDescent="0.25">
      <c r="A5" s="1" t="s">
        <v>104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5" x14ac:dyDescent="0.25">
      <c r="A6" s="3" t="s">
        <v>120</v>
      </c>
      <c r="B6" s="35" t="s">
        <v>117</v>
      </c>
      <c r="C6" s="26"/>
      <c r="D6" s="26"/>
      <c r="E6" s="26"/>
      <c r="F6" s="26"/>
      <c r="G6" s="26"/>
      <c r="H6" s="26"/>
      <c r="I6" s="37" t="s">
        <v>118</v>
      </c>
      <c r="J6" s="26"/>
      <c r="K6" s="26"/>
      <c r="L6" s="26"/>
      <c r="M6" s="26"/>
      <c r="N6" s="26"/>
      <c r="O6" s="26"/>
    </row>
    <row r="7" spans="1:15" x14ac:dyDescent="0.25">
      <c r="A7" s="3" t="s">
        <v>120</v>
      </c>
      <c r="B7" s="3" t="s">
        <v>121</v>
      </c>
      <c r="C7" s="3" t="s">
        <v>122</v>
      </c>
      <c r="D7" s="3" t="s">
        <v>123</v>
      </c>
      <c r="E7" s="3" t="s">
        <v>124</v>
      </c>
      <c r="F7" s="3" t="s">
        <v>125</v>
      </c>
      <c r="G7" s="3" t="s">
        <v>126</v>
      </c>
      <c r="H7" s="3" t="s">
        <v>127</v>
      </c>
      <c r="I7" s="3" t="s">
        <v>121</v>
      </c>
      <c r="J7" s="3" t="s">
        <v>122</v>
      </c>
      <c r="K7" s="3" t="s">
        <v>123</v>
      </c>
      <c r="L7" s="3" t="s">
        <v>124</v>
      </c>
      <c r="M7" s="3" t="s">
        <v>125</v>
      </c>
      <c r="N7" s="3" t="s">
        <v>126</v>
      </c>
      <c r="O7" s="3" t="s">
        <v>127</v>
      </c>
    </row>
    <row r="8" spans="1:15" x14ac:dyDescent="0.25">
      <c r="A8" s="13">
        <v>1</v>
      </c>
      <c r="B8" s="13">
        <f>IFERROR(IF(SUMIFS(tblDaily[Admissions],tblDaily[EntryDate],DATE(2026,1,1),tblDaily[WardCode],"MAE")=0,"",SUMIFS(tblDaily[Admissions],tblDaily[EntryDate],DATE(2026,1,1),tblDaily[WardCode],"MAE")),"")</f>
        <v>3</v>
      </c>
      <c r="C8" s="13">
        <f>IFERROR(IF(SUMIFS(tblDaily[Discharges],tblDaily[EntryDate],DATE(2026,1,1),tblDaily[WardCode],"MAE")=0,"",SUMIFS(tblDaily[Discharges],tblDaily[EntryDate],DATE(2026,1,1),tblDaily[WardCode],"MAE")),"")</f>
        <v>3</v>
      </c>
      <c r="D8" s="13" t="str">
        <f>IFERROR(IF(SUMIFS(tblDaily[Deaths],tblDaily[EntryDate],DATE(2026,1,1),tblDaily[WardCode],"MAE")=0,"",SUMIFS(tblDaily[Deaths],tblDaily[EntryDate],DATE(2026,1,1),tblDaily[WardCode],"MAE")),"")</f>
        <v/>
      </c>
      <c r="E8" s="13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3" t="str">
        <f>IFERROR(IF(SUMIFS(tblDaily[TransfersIn],tblDaily[EntryDate],DATE(2026,1,1),tblDaily[WardCode],"MAE")=0,"",SUMIFS(tblDaily[TransfersIn],tblDaily[EntryDate],DATE(2026,1,1),tblDaily[WardCode],"MAE")),"")</f>
        <v/>
      </c>
      <c r="G8" s="13">
        <f>IFERROR(IF(SUMIFS(tblDaily[TransfersOut],tblDaily[EntryDate],DATE(2026,1,1),tblDaily[WardCode],"MAE")=0,"",SUMIFS(tblDaily[TransfersOut],tblDaily[EntryDate],DATE(2026,1,1),tblDaily[WardCode],"MAE")),"")</f>
        <v>1</v>
      </c>
      <c r="H8" s="13">
        <f>IFERROR(IF(SUMIFS(tblDaily[Remaining],tblDaily[EntryDate],DATE(2026,1,1),tblDaily[WardCode],"MAE")=0,"",SUMIFS(tblDaily[Remaining],tblDaily[EntryDate],DATE(2026,1,1),tblDaily[WardCode],"MAE")),"")</f>
        <v>8</v>
      </c>
      <c r="I8" s="13" t="str">
        <f>IFERROR(IF(SUMIFS(tblDaily[Admissions],tblDaily[EntryDate],DATE(2026,1,1),tblDaily[WardCode],"FAE")=0,"",SUMIFS(tblDaily[Admissions],tblDaily[EntryDate],DATE(2026,1,1),tblDaily[WardCode],"FAE")),"")</f>
        <v/>
      </c>
      <c r="J8" s="13" t="str">
        <f>IFERROR(IF(SUMIFS(tblDaily[Discharges],tblDaily[EntryDate],DATE(2026,1,1),tblDaily[WardCode],"FAE")=0,"",SUMIFS(tblDaily[Discharges],tblDaily[EntryDate],DATE(2026,1,1),tblDaily[WardCode],"FAE")),"")</f>
        <v/>
      </c>
      <c r="K8" s="13" t="str">
        <f>IFERROR(IF(SUMIFS(tblDaily[Deaths],tblDaily[EntryDate],DATE(2026,1,1),tblDaily[WardCode],"FAE")=0,"",SUMIFS(tblDaily[Deaths],tblDaily[EntryDate],DATE(2026,1,1),tblDaily[WardCode],"FAE")),"")</f>
        <v/>
      </c>
      <c r="L8" s="13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3" t="str">
        <f>IFERROR(IF(SUMIFS(tblDaily[TransfersIn],tblDaily[EntryDate],DATE(2026,1,1),tblDaily[WardCode],"FAE")=0,"",SUMIFS(tblDaily[TransfersIn],tblDaily[EntryDate],DATE(2026,1,1),tblDaily[WardCode],"FAE")),"")</f>
        <v/>
      </c>
      <c r="N8" s="13">
        <f>IFERROR(IF(SUMIFS(tblDaily[TransfersOut],tblDaily[EntryDate],DATE(2026,1,1),tblDaily[WardCode],"FAE")=0,"",SUMIFS(tblDaily[TransfersOut],tblDaily[EntryDate],DATE(2026,1,1),tblDaily[WardCode],"FAE")),"")</f>
        <v>1</v>
      </c>
      <c r="O8" s="13" t="str">
        <f>IFERROR(IF(SUMIFS(tblDaily[Remaining],tblDaily[EntryDate],DATE(2026,1,1),tblDaily[WardCode],"FAE")=0,"",SUMIFS(tblDaily[Remaining],tblDaily[EntryDate],DATE(2026,1,1),tblDaily[WardCode],"FAE")),"")</f>
        <v/>
      </c>
    </row>
    <row r="9" spans="1:15" x14ac:dyDescent="0.25">
      <c r="A9" s="13">
        <v>2</v>
      </c>
      <c r="B9" s="13">
        <f>IFERROR(IF(SUMIFS(tblDaily[Admissions],tblDaily[EntryDate],DATE(2026,1,2),tblDaily[WardCode],"MAE")=0,"",SUMIFS(tblDaily[Admissions],tblDaily[EntryDate],DATE(2026,1,2),tblDaily[WardCode],"MAE")),"")</f>
        <v>4</v>
      </c>
      <c r="C9" s="13">
        <f>IFERROR(IF(SUMIFS(tblDaily[Discharges],tblDaily[EntryDate],DATE(2026,1,2),tblDaily[WardCode],"MAE")=0,"",SUMIFS(tblDaily[Discharges],tblDaily[EntryDate],DATE(2026,1,2),tblDaily[WardCode],"MAE")),"")</f>
        <v>3</v>
      </c>
      <c r="D9" s="13" t="str">
        <f>IFERROR(IF(SUMIFS(tblDaily[Deaths],tblDaily[EntryDate],DATE(2026,1,2),tblDaily[WardCode],"MAE")=0,"",SUMIFS(tblDaily[Deaths],tblDaily[EntryDate],DATE(2026,1,2),tblDaily[WardCode],"MAE")),"")</f>
        <v/>
      </c>
      <c r="E9" s="13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3" t="str">
        <f>IFERROR(IF(SUMIFS(tblDaily[TransfersIn],tblDaily[EntryDate],DATE(2026,1,2),tblDaily[WardCode],"MAE")=0,"",SUMIFS(tblDaily[TransfersIn],tblDaily[EntryDate],DATE(2026,1,2),tblDaily[WardCode],"MAE")),"")</f>
        <v/>
      </c>
      <c r="G9" s="13" t="str">
        <f>IFERROR(IF(SUMIFS(tblDaily[TransfersOut],tblDaily[EntryDate],DATE(2026,1,2),tblDaily[WardCode],"MAE")=0,"",SUMIFS(tblDaily[TransfersOut],tblDaily[EntryDate],DATE(2026,1,2),tblDaily[WardCode],"MAE")),"")</f>
        <v/>
      </c>
      <c r="H9" s="13">
        <f>IFERROR(IF(SUMIFS(tblDaily[Remaining],tblDaily[EntryDate],DATE(2026,1,2),tblDaily[WardCode],"MAE")=0,"",SUMIFS(tblDaily[Remaining],tblDaily[EntryDate],DATE(2026,1,2),tblDaily[WardCode],"MAE")),"")</f>
        <v>9</v>
      </c>
      <c r="I9" s="13">
        <f>IFERROR(IF(SUMIFS(tblDaily[Admissions],tblDaily[EntryDate],DATE(2026,1,2),tblDaily[WardCode],"FAE")=0,"",SUMIFS(tblDaily[Admissions],tblDaily[EntryDate],DATE(2026,1,2),tblDaily[WardCode],"FAE")),"")</f>
        <v>1</v>
      </c>
      <c r="J9" s="13" t="str">
        <f>IFERROR(IF(SUMIFS(tblDaily[Discharges],tblDaily[EntryDate],DATE(2026,1,2),tblDaily[WardCode],"FAE")=0,"",SUMIFS(tblDaily[Discharges],tblDaily[EntryDate],DATE(2026,1,2),tblDaily[WardCode],"FAE")),"")</f>
        <v/>
      </c>
      <c r="K9" s="13" t="str">
        <f>IFERROR(IF(SUMIFS(tblDaily[Deaths],tblDaily[EntryDate],DATE(2026,1,2),tblDaily[WardCode],"FAE")=0,"",SUMIFS(tblDaily[Deaths],tblDaily[EntryDate],DATE(2026,1,2),tblDaily[WardCode],"FAE")),"")</f>
        <v/>
      </c>
      <c r="L9" s="13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3" t="str">
        <f>IFERROR(IF(SUMIFS(tblDaily[TransfersIn],tblDaily[EntryDate],DATE(2026,1,2),tblDaily[WardCode],"FAE")=0,"",SUMIFS(tblDaily[TransfersIn],tblDaily[EntryDate],DATE(2026,1,2),tblDaily[WardCode],"FAE")),"")</f>
        <v/>
      </c>
      <c r="N9" s="13" t="str">
        <f>IFERROR(IF(SUMIFS(tblDaily[TransfersOut],tblDaily[EntryDate],DATE(2026,1,2),tblDaily[WardCode],"FAE")=0,"",SUMIFS(tblDaily[TransfersOut],tblDaily[EntryDate],DATE(2026,1,2),tblDaily[WardCode],"FAE")),"")</f>
        <v/>
      </c>
      <c r="O9" s="13">
        <f>IFERROR(IF(SUMIFS(tblDaily[Remaining],tblDaily[EntryDate],DATE(2026,1,2),tblDaily[WardCode],"FAE")=0,"",SUMIFS(tblDaily[Remaining],tblDaily[EntryDate],DATE(2026,1,2),tblDaily[WardCode],"FAE")),"")</f>
        <v>1</v>
      </c>
    </row>
    <row r="10" spans="1:15" x14ac:dyDescent="0.25">
      <c r="A10" s="13">
        <v>3</v>
      </c>
      <c r="B10" s="13">
        <f>IFERROR(IF(SUMIFS(tblDaily[Admissions],tblDaily[EntryDate],DATE(2026,1,3),tblDaily[WardCode],"MAE")=0,"",SUMIFS(tblDaily[Admissions],tblDaily[EntryDate],DATE(2026,1,3),tblDaily[WardCode],"MAE")),"")</f>
        <v>5</v>
      </c>
      <c r="C10" s="13">
        <f>IFERROR(IF(SUMIFS(tblDaily[Discharges],tblDaily[EntryDate],DATE(2026,1,3),tblDaily[WardCode],"MAE")=0,"",SUMIFS(tblDaily[Discharges],tblDaily[EntryDate],DATE(2026,1,3),tblDaily[WardCode],"MAE")),"")</f>
        <v>2</v>
      </c>
      <c r="D10" s="13" t="str">
        <f>IFERROR(IF(SUMIFS(tblDaily[Deaths],tblDaily[EntryDate],DATE(2026,1,3),tblDaily[WardCode],"MAE")=0,"",SUMIFS(tblDaily[Deaths],tblDaily[EntryDate],DATE(2026,1,3),tblDaily[WardCode],"MAE")),"")</f>
        <v/>
      </c>
      <c r="E10" s="13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3" t="str">
        <f>IFERROR(IF(SUMIFS(tblDaily[TransfersIn],tblDaily[EntryDate],DATE(2026,1,3),tblDaily[WardCode],"MAE")=0,"",SUMIFS(tblDaily[TransfersIn],tblDaily[EntryDate],DATE(2026,1,3),tblDaily[WardCode],"MAE")),"")</f>
        <v/>
      </c>
      <c r="G10" s="13">
        <f>IFERROR(IF(SUMIFS(tblDaily[TransfersOut],tblDaily[EntryDate],DATE(2026,1,3),tblDaily[WardCode],"MAE")=0,"",SUMIFS(tblDaily[TransfersOut],tblDaily[EntryDate],DATE(2026,1,3),tblDaily[WardCode],"MAE")),"")</f>
        <v>2</v>
      </c>
      <c r="H10" s="13">
        <f>IFERROR(IF(SUMIFS(tblDaily[Remaining],tblDaily[EntryDate],DATE(2026,1,3),tblDaily[WardCode],"MAE")=0,"",SUMIFS(tblDaily[Remaining],tblDaily[EntryDate],DATE(2026,1,3),tblDaily[WardCode],"MAE")),"")</f>
        <v>10</v>
      </c>
      <c r="I10" s="13" t="str">
        <f>IFERROR(IF(SUMIFS(tblDaily[Admissions],tblDaily[EntryDate],DATE(2026,1,3),tblDaily[WardCode],"FAE")=0,"",SUMIFS(tblDaily[Admissions],tblDaily[EntryDate],DATE(2026,1,3),tblDaily[WardCode],"FAE")),"")</f>
        <v/>
      </c>
      <c r="J10" s="13" t="str">
        <f>IFERROR(IF(SUMIFS(tblDaily[Discharges],tblDaily[EntryDate],DATE(2026,1,3),tblDaily[WardCode],"FAE")=0,"",SUMIFS(tblDaily[Discharges],tblDaily[EntryDate],DATE(2026,1,3),tblDaily[WardCode],"FAE")),"")</f>
        <v/>
      </c>
      <c r="K10" s="13" t="str">
        <f>IFERROR(IF(SUMIFS(tblDaily[Deaths],tblDaily[EntryDate],DATE(2026,1,3),tblDaily[WardCode],"FAE")=0,"",SUMIFS(tblDaily[Deaths],tblDaily[EntryDate],DATE(2026,1,3),tblDaily[WardCode],"FAE")),"")</f>
        <v/>
      </c>
      <c r="L10" s="13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3" t="str">
        <f>IFERROR(IF(SUMIFS(tblDaily[TransfersIn],tblDaily[EntryDate],DATE(2026,1,3),tblDaily[WardCode],"FAE")=0,"",SUMIFS(tblDaily[TransfersIn],tblDaily[EntryDate],DATE(2026,1,3),tblDaily[WardCode],"FAE")),"")</f>
        <v/>
      </c>
      <c r="N10" s="13">
        <f>IFERROR(IF(SUMIFS(tblDaily[TransfersOut],tblDaily[EntryDate],DATE(2026,1,3),tblDaily[WardCode],"FAE")=0,"",SUMIFS(tblDaily[TransfersOut],tblDaily[EntryDate],DATE(2026,1,3),tblDaily[WardCode],"FAE")),"")</f>
        <v>1</v>
      </c>
      <c r="O10" s="13" t="str">
        <f>IFERROR(IF(SUMIFS(tblDaily[Remaining],tblDaily[EntryDate],DATE(2026,1,3),tblDaily[WardCode],"FAE")=0,"",SUMIFS(tblDaily[Remaining],tblDaily[EntryDate],DATE(2026,1,3),tblDaily[WardCode],"FAE")),"")</f>
        <v/>
      </c>
    </row>
    <row r="11" spans="1:15" x14ac:dyDescent="0.25">
      <c r="A11" s="13">
        <v>4</v>
      </c>
      <c r="B11" s="13">
        <f>IFERROR(IF(SUMIFS(tblDaily[Admissions],tblDaily[EntryDate],DATE(2026,1,4),tblDaily[WardCode],"MAE")=0,"",SUMIFS(tblDaily[Admissions],tblDaily[EntryDate],DATE(2026,1,4),tblDaily[WardCode],"MAE")),"")</f>
        <v>4</v>
      </c>
      <c r="C11" s="13">
        <f>IFERROR(IF(SUMIFS(tblDaily[Discharges],tblDaily[EntryDate],DATE(2026,1,4),tblDaily[WardCode],"MAE")=0,"",SUMIFS(tblDaily[Discharges],tblDaily[EntryDate],DATE(2026,1,4),tblDaily[WardCode],"MAE")),"")</f>
        <v>1</v>
      </c>
      <c r="D11" s="13" t="str">
        <f>IFERROR(IF(SUMIFS(tblDaily[Deaths],tblDaily[EntryDate],DATE(2026,1,4),tblDaily[WardCode],"MAE")=0,"",SUMIFS(tblDaily[Deaths],tblDaily[EntryDate],DATE(2026,1,4),tblDaily[WardCode],"MAE")),"")</f>
        <v/>
      </c>
      <c r="E11" s="13">
        <f>IFERROR(IF(SUMIFS(tblDaily[DeathsUnder24Hrs],tblDaily[EntryDate],DATE(2026,1,4),tblDaily[WardCode],"MAE")=0,"",SUMIFS(tblDaily[DeathsUnder24Hrs],tblDaily[EntryDate],DATE(2026,1,4),tblDaily[WardCode],"MAE")),"")</f>
        <v>1</v>
      </c>
      <c r="F11" s="13" t="str">
        <f>IFERROR(IF(SUMIFS(tblDaily[TransfersIn],tblDaily[EntryDate],DATE(2026,1,4),tblDaily[WardCode],"MAE")=0,"",SUMIFS(tblDaily[TransfersIn],tblDaily[EntryDate],DATE(2026,1,4),tblDaily[WardCode],"MAE")),"")</f>
        <v/>
      </c>
      <c r="G11" s="13">
        <f>IFERROR(IF(SUMIFS(tblDaily[TransfersOut],tblDaily[EntryDate],DATE(2026,1,4),tblDaily[WardCode],"MAE")=0,"",SUMIFS(tblDaily[TransfersOut],tblDaily[EntryDate],DATE(2026,1,4),tblDaily[WardCode],"MAE")),"")</f>
        <v>3</v>
      </c>
      <c r="H11" s="13">
        <f>IFERROR(IF(SUMIFS(tblDaily[Remaining],tblDaily[EntryDate],DATE(2026,1,4),tblDaily[WardCode],"MAE")=0,"",SUMIFS(tblDaily[Remaining],tblDaily[EntryDate],DATE(2026,1,4),tblDaily[WardCode],"MAE")),"")</f>
        <v>9</v>
      </c>
      <c r="I11" s="13" t="str">
        <f>IFERROR(IF(SUMIFS(tblDaily[Admissions],tblDaily[EntryDate],DATE(2026,1,4),tblDaily[WardCode],"FAE")=0,"",SUMIFS(tblDaily[Admissions],tblDaily[EntryDate],DATE(2026,1,4),tblDaily[WardCode],"FAE")),"")</f>
        <v/>
      </c>
      <c r="J11" s="13" t="str">
        <f>IFERROR(IF(SUMIFS(tblDaily[Discharges],tblDaily[EntryDate],DATE(2026,1,4),tblDaily[WardCode],"FAE")=0,"",SUMIFS(tblDaily[Discharges],tblDaily[EntryDate],DATE(2026,1,4),tblDaily[WardCode],"FAE")),"")</f>
        <v/>
      </c>
      <c r="K11" s="13" t="str">
        <f>IFERROR(IF(SUMIFS(tblDaily[Deaths],tblDaily[EntryDate],DATE(2026,1,4),tblDaily[WardCode],"FAE")=0,"",SUMIFS(tblDaily[Deaths],tblDaily[EntryDate],DATE(2026,1,4),tblDaily[WardCode],"FAE")),"")</f>
        <v/>
      </c>
      <c r="L11" s="13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3" t="str">
        <f>IFERROR(IF(SUMIFS(tblDaily[TransfersIn],tblDaily[EntryDate],DATE(2026,1,4),tblDaily[WardCode],"FAE")=0,"",SUMIFS(tblDaily[TransfersIn],tblDaily[EntryDate],DATE(2026,1,4),tblDaily[WardCode],"FAE")),"")</f>
        <v/>
      </c>
      <c r="N11" s="13" t="str">
        <f>IFERROR(IF(SUMIFS(tblDaily[TransfersOut],tblDaily[EntryDate],DATE(2026,1,4),tblDaily[WardCode],"FAE")=0,"",SUMIFS(tblDaily[TransfersOut],tblDaily[EntryDate],DATE(2026,1,4),tblDaily[WardCode],"FAE")),"")</f>
        <v/>
      </c>
      <c r="O11" s="13" t="str">
        <f>IFERROR(IF(SUMIFS(tblDaily[Remaining],tblDaily[EntryDate],DATE(2026,1,4),tblDaily[WardCode],"FAE")=0,"",SUMIFS(tblDaily[Remaining],tblDaily[EntryDate],DATE(2026,1,4),tblDaily[WardCode],"FAE")),"")</f>
        <v/>
      </c>
    </row>
    <row r="12" spans="1:15" x14ac:dyDescent="0.25">
      <c r="A12" s="13">
        <v>5</v>
      </c>
      <c r="B12" s="13">
        <f>IFERROR(IF(SUMIFS(tblDaily[Admissions],tblDaily[EntryDate],DATE(2026,1,5),tblDaily[WardCode],"MAE")=0,"",SUMIFS(tblDaily[Admissions],tblDaily[EntryDate],DATE(2026,1,5),tblDaily[WardCode],"MAE")),"")</f>
        <v>1</v>
      </c>
      <c r="C12" s="13">
        <f>IFERROR(IF(SUMIFS(tblDaily[Discharges],tblDaily[EntryDate],DATE(2026,1,5),tblDaily[WardCode],"MAE")=0,"",SUMIFS(tblDaily[Discharges],tblDaily[EntryDate],DATE(2026,1,5),tblDaily[WardCode],"MAE")),"")</f>
        <v>8</v>
      </c>
      <c r="D12" s="13" t="str">
        <f>IFERROR(IF(SUMIFS(tblDaily[Deaths],tblDaily[EntryDate],DATE(2026,1,5),tblDaily[WardCode],"MAE")=0,"",SUMIFS(tblDaily[Deaths],tblDaily[EntryDate],DATE(2026,1,5),tblDaily[WardCode],"MAE")),"")</f>
        <v/>
      </c>
      <c r="E12" s="13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3" t="str">
        <f>IFERROR(IF(SUMIFS(tblDaily[TransfersIn],tblDaily[EntryDate],DATE(2026,1,5),tblDaily[WardCode],"MAE")=0,"",SUMIFS(tblDaily[TransfersIn],tblDaily[EntryDate],DATE(2026,1,5),tblDaily[WardCode],"MAE")),"")</f>
        <v/>
      </c>
      <c r="G12" s="13" t="str">
        <f>IFERROR(IF(SUMIFS(tblDaily[TransfersOut],tblDaily[EntryDate],DATE(2026,1,5),tblDaily[WardCode],"MAE")=0,"",SUMIFS(tblDaily[TransfersOut],tblDaily[EntryDate],DATE(2026,1,5),tblDaily[WardCode],"MAE")),"")</f>
        <v/>
      </c>
      <c r="H12" s="13">
        <f>IFERROR(IF(SUMIFS(tblDaily[Remaining],tblDaily[EntryDate],DATE(2026,1,5),tblDaily[WardCode],"MAE")=0,"",SUMIFS(tblDaily[Remaining],tblDaily[EntryDate],DATE(2026,1,5),tblDaily[WardCode],"MAE")),"")</f>
        <v>2</v>
      </c>
      <c r="I12" s="13">
        <f>IFERROR(IF(SUMIFS(tblDaily[Admissions],tblDaily[EntryDate],DATE(2026,1,5),tblDaily[WardCode],"FAE")=0,"",SUMIFS(tblDaily[Admissions],tblDaily[EntryDate],DATE(2026,1,5),tblDaily[WardCode],"FAE")),"")</f>
        <v>4</v>
      </c>
      <c r="J12" s="13" t="str">
        <f>IFERROR(IF(SUMIFS(tblDaily[Discharges],tblDaily[EntryDate],DATE(2026,1,5),tblDaily[WardCode],"FAE")=0,"",SUMIFS(tblDaily[Discharges],tblDaily[EntryDate],DATE(2026,1,5),tblDaily[WardCode],"FAE")),"")</f>
        <v/>
      </c>
      <c r="K12" s="13" t="str">
        <f>IFERROR(IF(SUMIFS(tblDaily[Deaths],tblDaily[EntryDate],DATE(2026,1,5),tblDaily[WardCode],"FAE")=0,"",SUMIFS(tblDaily[Deaths],tblDaily[EntryDate],DATE(2026,1,5),tblDaily[WardCode],"FAE")),"")</f>
        <v/>
      </c>
      <c r="L12" s="13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3" t="str">
        <f>IFERROR(IF(SUMIFS(tblDaily[TransfersIn],tblDaily[EntryDate],DATE(2026,1,5),tblDaily[WardCode],"FAE")=0,"",SUMIFS(tblDaily[TransfersIn],tblDaily[EntryDate],DATE(2026,1,5),tblDaily[WardCode],"FAE")),"")</f>
        <v/>
      </c>
      <c r="N12" s="13">
        <f>IFERROR(IF(SUMIFS(tblDaily[TransfersOut],tblDaily[EntryDate],DATE(2026,1,5),tblDaily[WardCode],"FAE")=0,"",SUMIFS(tblDaily[TransfersOut],tblDaily[EntryDate],DATE(2026,1,5),tblDaily[WardCode],"FAE")),"")</f>
        <v>3</v>
      </c>
      <c r="O12" s="13">
        <f>IFERROR(IF(SUMIFS(tblDaily[Remaining],tblDaily[EntryDate],DATE(2026,1,5),tblDaily[WardCode],"FAE")=0,"",SUMIFS(tblDaily[Remaining],tblDaily[EntryDate],DATE(2026,1,5),tblDaily[WardCode],"FAE")),"")</f>
        <v>1</v>
      </c>
    </row>
    <row r="13" spans="1:15" x14ac:dyDescent="0.25">
      <c r="A13" s="13">
        <v>6</v>
      </c>
      <c r="B13" s="13">
        <f>IFERROR(IF(SUMIFS(tblDaily[Admissions],tblDaily[EntryDate],DATE(2026,1,6),tblDaily[WardCode],"MAE")=0,"",SUMIFS(tblDaily[Admissions],tblDaily[EntryDate],DATE(2026,1,6),tblDaily[WardCode],"MAE")),"")</f>
        <v>2</v>
      </c>
      <c r="C13" s="13">
        <f>IFERROR(IF(SUMIFS(tblDaily[Discharges],tblDaily[EntryDate],DATE(2026,1,6),tblDaily[WardCode],"MAE")=0,"",SUMIFS(tblDaily[Discharges],tblDaily[EntryDate],DATE(2026,1,6),tblDaily[WardCode],"MAE")),"")</f>
        <v>1</v>
      </c>
      <c r="D13" s="13" t="str">
        <f>IFERROR(IF(SUMIFS(tblDaily[Deaths],tblDaily[EntryDate],DATE(2026,1,6),tblDaily[WardCode],"MAE")=0,"",SUMIFS(tblDaily[Deaths],tblDaily[EntryDate],DATE(2026,1,6),tblDaily[WardCode],"MAE")),"")</f>
        <v/>
      </c>
      <c r="E13" s="13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3" t="str">
        <f>IFERROR(IF(SUMIFS(tblDaily[TransfersIn],tblDaily[EntryDate],DATE(2026,1,6),tblDaily[WardCode],"MAE")=0,"",SUMIFS(tblDaily[TransfersIn],tblDaily[EntryDate],DATE(2026,1,6),tblDaily[WardCode],"MAE")),"")</f>
        <v/>
      </c>
      <c r="G13" s="13">
        <f>IFERROR(IF(SUMIFS(tblDaily[TransfersOut],tblDaily[EntryDate],DATE(2026,1,6),tblDaily[WardCode],"MAE")=0,"",SUMIFS(tblDaily[TransfersOut],tblDaily[EntryDate],DATE(2026,1,6),tblDaily[WardCode],"MAE")),"")</f>
        <v>2</v>
      </c>
      <c r="H13" s="13">
        <f>IFERROR(IF(SUMIFS(tblDaily[Remaining],tblDaily[EntryDate],DATE(2026,1,6),tblDaily[WardCode],"MAE")=0,"",SUMIFS(tblDaily[Remaining],tblDaily[EntryDate],DATE(2026,1,6),tblDaily[WardCode],"MAE")),"")</f>
        <v>1</v>
      </c>
      <c r="I13" s="13">
        <f>IFERROR(IF(SUMIFS(tblDaily[Admissions],tblDaily[EntryDate],DATE(2026,1,6),tblDaily[WardCode],"FAE")=0,"",SUMIFS(tblDaily[Admissions],tblDaily[EntryDate],DATE(2026,1,6),tblDaily[WardCode],"FAE")),"")</f>
        <v>1</v>
      </c>
      <c r="J13" s="13" t="str">
        <f>IFERROR(IF(SUMIFS(tblDaily[Discharges],tblDaily[EntryDate],DATE(2026,1,6),tblDaily[WardCode],"FAE")=0,"",SUMIFS(tblDaily[Discharges],tblDaily[EntryDate],DATE(2026,1,6),tblDaily[WardCode],"FAE")),"")</f>
        <v/>
      </c>
      <c r="K13" s="13" t="str">
        <f>IFERROR(IF(SUMIFS(tblDaily[Deaths],tblDaily[EntryDate],DATE(2026,1,6),tblDaily[WardCode],"FAE")=0,"",SUMIFS(tblDaily[Deaths],tblDaily[EntryDate],DATE(2026,1,6),tblDaily[WardCode],"FAE")),"")</f>
        <v/>
      </c>
      <c r="L13" s="13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3" t="str">
        <f>IFERROR(IF(SUMIFS(tblDaily[TransfersIn],tblDaily[EntryDate],DATE(2026,1,6),tblDaily[WardCode],"FAE")=0,"",SUMIFS(tblDaily[TransfersIn],tblDaily[EntryDate],DATE(2026,1,6),tblDaily[WardCode],"FAE")),"")</f>
        <v/>
      </c>
      <c r="N13" s="13" t="str">
        <f>IFERROR(IF(SUMIFS(tblDaily[TransfersOut],tblDaily[EntryDate],DATE(2026,1,6),tblDaily[WardCode],"FAE")=0,"",SUMIFS(tblDaily[TransfersOut],tblDaily[EntryDate],DATE(2026,1,6),tblDaily[WardCode],"FAE")),"")</f>
        <v/>
      </c>
      <c r="O13" s="13">
        <f>IFERROR(IF(SUMIFS(tblDaily[Remaining],tblDaily[EntryDate],DATE(2026,1,6),tblDaily[WardCode],"FAE")=0,"",SUMIFS(tblDaily[Remaining],tblDaily[EntryDate],DATE(2026,1,6),tblDaily[WardCode],"FAE")),"")</f>
        <v>2</v>
      </c>
    </row>
    <row r="14" spans="1:15" x14ac:dyDescent="0.25">
      <c r="A14" s="13">
        <v>7</v>
      </c>
      <c r="B14" s="13">
        <f>IFERROR(IF(SUMIFS(tblDaily[Admissions],tblDaily[EntryDate],DATE(2026,1,7),tblDaily[WardCode],"MAE")=0,"",SUMIFS(tblDaily[Admissions],tblDaily[EntryDate],DATE(2026,1,7),tblDaily[WardCode],"MAE")),"")</f>
        <v>3</v>
      </c>
      <c r="C14" s="13">
        <f>IFERROR(IF(SUMIFS(tblDaily[Discharges],tblDaily[EntryDate],DATE(2026,1,7),tblDaily[WardCode],"MAE")=0,"",SUMIFS(tblDaily[Discharges],tblDaily[EntryDate],DATE(2026,1,7),tblDaily[WardCode],"MAE")),"")</f>
        <v>1</v>
      </c>
      <c r="D14" s="13" t="str">
        <f>IFERROR(IF(SUMIFS(tblDaily[Deaths],tblDaily[EntryDate],DATE(2026,1,7),tblDaily[WardCode],"MAE")=0,"",SUMIFS(tblDaily[Deaths],tblDaily[EntryDate],DATE(2026,1,7),tblDaily[WardCode],"MAE")),"")</f>
        <v/>
      </c>
      <c r="E14" s="13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3" t="str">
        <f>IFERROR(IF(SUMIFS(tblDaily[TransfersIn],tblDaily[EntryDate],DATE(2026,1,7),tblDaily[WardCode],"MAE")=0,"",SUMIFS(tblDaily[TransfersIn],tblDaily[EntryDate],DATE(2026,1,7),tblDaily[WardCode],"MAE")),"")</f>
        <v/>
      </c>
      <c r="G14" s="13">
        <f>IFERROR(IF(SUMIFS(tblDaily[TransfersOut],tblDaily[EntryDate],DATE(2026,1,7),tblDaily[WardCode],"MAE")=0,"",SUMIFS(tblDaily[TransfersOut],tblDaily[EntryDate],DATE(2026,1,7),tblDaily[WardCode],"MAE")),"")</f>
        <v>1</v>
      </c>
      <c r="H14" s="13">
        <f>IFERROR(IF(SUMIFS(tblDaily[Remaining],tblDaily[EntryDate],DATE(2026,1,7),tblDaily[WardCode],"MAE")=0,"",SUMIFS(tblDaily[Remaining],tblDaily[EntryDate],DATE(2026,1,7),tblDaily[WardCode],"MAE")),"")</f>
        <v>2</v>
      </c>
      <c r="I14" s="13" t="str">
        <f>IFERROR(IF(SUMIFS(tblDaily[Admissions],tblDaily[EntryDate],DATE(2026,1,7),tblDaily[WardCode],"FAE")=0,"",SUMIFS(tblDaily[Admissions],tblDaily[EntryDate],DATE(2026,1,7),tblDaily[WardCode],"FAE")),"")</f>
        <v/>
      </c>
      <c r="J14" s="13" t="str">
        <f>IFERROR(IF(SUMIFS(tblDaily[Discharges],tblDaily[EntryDate],DATE(2026,1,7),tblDaily[WardCode],"FAE")=0,"",SUMIFS(tblDaily[Discharges],tblDaily[EntryDate],DATE(2026,1,7),tblDaily[WardCode],"FAE")),"")</f>
        <v/>
      </c>
      <c r="K14" s="13" t="str">
        <f>IFERROR(IF(SUMIFS(tblDaily[Deaths],tblDaily[EntryDate],DATE(2026,1,7),tblDaily[WardCode],"FAE")=0,"",SUMIFS(tblDaily[Deaths],tblDaily[EntryDate],DATE(2026,1,7),tblDaily[WardCode],"FAE")),"")</f>
        <v/>
      </c>
      <c r="L14" s="13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3" t="str">
        <f>IFERROR(IF(SUMIFS(tblDaily[TransfersIn],tblDaily[EntryDate],DATE(2026,1,7),tblDaily[WardCode],"FAE")=0,"",SUMIFS(tblDaily[TransfersIn],tblDaily[EntryDate],DATE(2026,1,7),tblDaily[WardCode],"FAE")),"")</f>
        <v/>
      </c>
      <c r="N14" s="13" t="str">
        <f>IFERROR(IF(SUMIFS(tblDaily[TransfersOut],tblDaily[EntryDate],DATE(2026,1,7),tblDaily[WardCode],"FAE")=0,"",SUMIFS(tblDaily[TransfersOut],tblDaily[EntryDate],DATE(2026,1,7),tblDaily[WardCode],"FAE")),"")</f>
        <v/>
      </c>
      <c r="O14" s="13">
        <f>IFERROR(IF(SUMIFS(tblDaily[Remaining],tblDaily[EntryDate],DATE(2026,1,7),tblDaily[WardCode],"FAE")=0,"",SUMIFS(tblDaily[Remaining],tblDaily[EntryDate],DATE(2026,1,7),tblDaily[WardCode],"FAE")),"")</f>
        <v>2</v>
      </c>
    </row>
    <row r="15" spans="1:15" x14ac:dyDescent="0.25">
      <c r="A15" s="13">
        <v>8</v>
      </c>
      <c r="B15" s="13">
        <f>IFERROR(IF(SUMIFS(tblDaily[Admissions],tblDaily[EntryDate],DATE(2026,1,8),tblDaily[WardCode],"MAE")=0,"",SUMIFS(tblDaily[Admissions],tblDaily[EntryDate],DATE(2026,1,8),tblDaily[WardCode],"MAE")),"")</f>
        <v>5</v>
      </c>
      <c r="C15" s="13">
        <f>IFERROR(IF(SUMIFS(tblDaily[Discharges],tblDaily[EntryDate],DATE(2026,1,8),tblDaily[WardCode],"MAE")=0,"",SUMIFS(tblDaily[Discharges],tblDaily[EntryDate],DATE(2026,1,8),tblDaily[WardCode],"MAE")),"")</f>
        <v>1</v>
      </c>
      <c r="D15" s="13" t="str">
        <f>IFERROR(IF(SUMIFS(tblDaily[Deaths],tblDaily[EntryDate],DATE(2026,1,8),tblDaily[WardCode],"MAE")=0,"",SUMIFS(tblDaily[Deaths],tblDaily[EntryDate],DATE(2026,1,8),tblDaily[WardCode],"MAE")),"")</f>
        <v/>
      </c>
      <c r="E15" s="13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3" t="str">
        <f>IFERROR(IF(SUMIFS(tblDaily[TransfersIn],tblDaily[EntryDate],DATE(2026,1,8),tblDaily[WardCode],"MAE")=0,"",SUMIFS(tblDaily[TransfersIn],tblDaily[EntryDate],DATE(2026,1,8),tblDaily[WardCode],"MAE")),"")</f>
        <v/>
      </c>
      <c r="G15" s="13" t="str">
        <f>IFERROR(IF(SUMIFS(tblDaily[TransfersOut],tblDaily[EntryDate],DATE(2026,1,8),tblDaily[WardCode],"MAE")=0,"",SUMIFS(tblDaily[TransfersOut],tblDaily[EntryDate],DATE(2026,1,8),tblDaily[WardCode],"MAE")),"")</f>
        <v/>
      </c>
      <c r="H15" s="13">
        <f>IFERROR(IF(SUMIFS(tblDaily[Remaining],tblDaily[EntryDate],DATE(2026,1,8),tblDaily[WardCode],"MAE")=0,"",SUMIFS(tblDaily[Remaining],tblDaily[EntryDate],DATE(2026,1,8),tblDaily[WardCode],"MAE")),"")</f>
        <v>6</v>
      </c>
      <c r="I15" s="13" t="str">
        <f>IFERROR(IF(SUMIFS(tblDaily[Admissions],tblDaily[EntryDate],DATE(2026,1,8),tblDaily[WardCode],"FAE")=0,"",SUMIFS(tblDaily[Admissions],tblDaily[EntryDate],DATE(2026,1,8),tblDaily[WardCode],"FAE")),"")</f>
        <v/>
      </c>
      <c r="J15" s="13" t="str">
        <f>IFERROR(IF(SUMIFS(tblDaily[Discharges],tblDaily[EntryDate],DATE(2026,1,8),tblDaily[WardCode],"FAE")=0,"",SUMIFS(tblDaily[Discharges],tblDaily[EntryDate],DATE(2026,1,8),tblDaily[WardCode],"FAE")),"")</f>
        <v/>
      </c>
      <c r="K15" s="13" t="str">
        <f>IFERROR(IF(SUMIFS(tblDaily[Deaths],tblDaily[EntryDate],DATE(2026,1,8),tblDaily[WardCode],"FAE")=0,"",SUMIFS(tblDaily[Deaths],tblDaily[EntryDate],DATE(2026,1,8),tblDaily[WardCode],"FAE")),"")</f>
        <v/>
      </c>
      <c r="L15" s="13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3" t="str">
        <f>IFERROR(IF(SUMIFS(tblDaily[TransfersIn],tblDaily[EntryDate],DATE(2026,1,8),tblDaily[WardCode],"FAE")=0,"",SUMIFS(tblDaily[TransfersIn],tblDaily[EntryDate],DATE(2026,1,8),tblDaily[WardCode],"FAE")),"")</f>
        <v/>
      </c>
      <c r="N15" s="13">
        <f>IFERROR(IF(SUMIFS(tblDaily[TransfersOut],tblDaily[EntryDate],DATE(2026,1,8),tblDaily[WardCode],"FAE")=0,"",SUMIFS(tblDaily[TransfersOut],tblDaily[EntryDate],DATE(2026,1,8),tblDaily[WardCode],"FAE")),"")</f>
        <v>2</v>
      </c>
      <c r="O15" s="13" t="str">
        <f>IFERROR(IF(SUMIFS(tblDaily[Remaining],tblDaily[EntryDate],DATE(2026,1,8),tblDaily[WardCode],"FAE")=0,"",SUMIFS(tblDaily[Remaining],tblDaily[EntryDate],DATE(2026,1,8),tblDaily[WardCode],"FAE")),"")</f>
        <v/>
      </c>
    </row>
    <row r="16" spans="1:15" x14ac:dyDescent="0.25">
      <c r="A16" s="13">
        <v>9</v>
      </c>
      <c r="B16" s="13" t="str">
        <f>IFERROR(IF(SUMIFS(tblDaily[Admissions],tblDaily[EntryDate],DATE(2026,1,9),tblDaily[WardCode],"MAE")=0,"",SUMIFS(tblDaily[Admissions],tblDaily[EntryDate],DATE(2026,1,9),tblDaily[WardCode],"MAE")),"")</f>
        <v/>
      </c>
      <c r="C16" s="13">
        <f>IFERROR(IF(SUMIFS(tblDaily[Discharges],tblDaily[EntryDate],DATE(2026,1,9),tblDaily[WardCode],"MAE")=0,"",SUMIFS(tblDaily[Discharges],tblDaily[EntryDate],DATE(2026,1,9),tblDaily[WardCode],"MAE")),"")</f>
        <v>2</v>
      </c>
      <c r="D16" s="13" t="str">
        <f>IFERROR(IF(SUMIFS(tblDaily[Deaths],tblDaily[EntryDate],DATE(2026,1,9),tblDaily[WardCode],"MAE")=0,"",SUMIFS(tblDaily[Deaths],tblDaily[EntryDate],DATE(2026,1,9),tblDaily[WardCode],"MAE")),"")</f>
        <v/>
      </c>
      <c r="E16" s="13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3" t="str">
        <f>IFERROR(IF(SUMIFS(tblDaily[TransfersIn],tblDaily[EntryDate],DATE(2026,1,9),tblDaily[WardCode],"MAE")=0,"",SUMIFS(tblDaily[TransfersIn],tblDaily[EntryDate],DATE(2026,1,9),tblDaily[WardCode],"MAE")),"")</f>
        <v/>
      </c>
      <c r="G16" s="13">
        <f>IFERROR(IF(SUMIFS(tblDaily[TransfersOut],tblDaily[EntryDate],DATE(2026,1,9),tblDaily[WardCode],"MAE")=0,"",SUMIFS(tblDaily[TransfersOut],tblDaily[EntryDate],DATE(2026,1,9),tblDaily[WardCode],"MAE")),"")</f>
        <v>2</v>
      </c>
      <c r="H16" s="13">
        <f>IFERROR(IF(SUMIFS(tblDaily[Remaining],tblDaily[EntryDate],DATE(2026,1,9),tblDaily[WardCode],"MAE")=0,"",SUMIFS(tblDaily[Remaining],tblDaily[EntryDate],DATE(2026,1,9),tblDaily[WardCode],"MAE")),"")</f>
        <v>2</v>
      </c>
      <c r="I16" s="13">
        <f>IFERROR(IF(SUMIFS(tblDaily[Admissions],tblDaily[EntryDate],DATE(2026,1,9),tblDaily[WardCode],"FAE")=0,"",SUMIFS(tblDaily[Admissions],tblDaily[EntryDate],DATE(2026,1,9),tblDaily[WardCode],"FAE")),"")</f>
        <v>1</v>
      </c>
      <c r="J16" s="13" t="str">
        <f>IFERROR(IF(SUMIFS(tblDaily[Discharges],tblDaily[EntryDate],DATE(2026,1,9),tblDaily[WardCode],"FAE")=0,"",SUMIFS(tblDaily[Discharges],tblDaily[EntryDate],DATE(2026,1,9),tblDaily[WardCode],"FAE")),"")</f>
        <v/>
      </c>
      <c r="K16" s="13" t="str">
        <f>IFERROR(IF(SUMIFS(tblDaily[Deaths],tblDaily[EntryDate],DATE(2026,1,9),tblDaily[WardCode],"FAE")=0,"",SUMIFS(tblDaily[Deaths],tblDaily[EntryDate],DATE(2026,1,9),tblDaily[WardCode],"FAE")),"")</f>
        <v/>
      </c>
      <c r="L16" s="13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3" t="str">
        <f>IFERROR(IF(SUMIFS(tblDaily[TransfersIn],tblDaily[EntryDate],DATE(2026,1,9),tblDaily[WardCode],"FAE")=0,"",SUMIFS(tblDaily[TransfersIn],tblDaily[EntryDate],DATE(2026,1,9),tblDaily[WardCode],"FAE")),"")</f>
        <v/>
      </c>
      <c r="N16" s="13" t="str">
        <f>IFERROR(IF(SUMIFS(tblDaily[TransfersOut],tblDaily[EntryDate],DATE(2026,1,9),tblDaily[WardCode],"FAE")=0,"",SUMIFS(tblDaily[TransfersOut],tblDaily[EntryDate],DATE(2026,1,9),tblDaily[WardCode],"FAE")),"")</f>
        <v/>
      </c>
      <c r="O16" s="13">
        <f>IFERROR(IF(SUMIFS(tblDaily[Remaining],tblDaily[EntryDate],DATE(2026,1,9),tblDaily[WardCode],"FAE")=0,"",SUMIFS(tblDaily[Remaining],tblDaily[EntryDate],DATE(2026,1,9),tblDaily[WardCode],"FAE")),"")</f>
        <v>1</v>
      </c>
    </row>
    <row r="17" spans="1:15" x14ac:dyDescent="0.25">
      <c r="A17" s="13">
        <v>10</v>
      </c>
      <c r="B17" s="13">
        <f>IFERROR(IF(SUMIFS(tblDaily[Admissions],tblDaily[EntryDate],DATE(2026,1,10),tblDaily[WardCode],"MAE")=0,"",SUMIFS(tblDaily[Admissions],tblDaily[EntryDate],DATE(2026,1,10),tblDaily[WardCode],"MAE")),"")</f>
        <v>2</v>
      </c>
      <c r="C17" s="13" t="str">
        <f>IFERROR(IF(SUMIFS(tblDaily[Discharges],tblDaily[EntryDate],DATE(2026,1,10),tblDaily[WardCode],"MAE")=0,"",SUMIFS(tblDaily[Discharges],tblDaily[EntryDate],DATE(2026,1,10),tblDaily[WardCode],"MAE")),"")</f>
        <v/>
      </c>
      <c r="D17" s="13" t="str">
        <f>IFERROR(IF(SUMIFS(tblDaily[Deaths],tblDaily[EntryDate],DATE(2026,1,10),tblDaily[WardCode],"MAE")=0,"",SUMIFS(tblDaily[Deaths],tblDaily[EntryDate],DATE(2026,1,10),tblDaily[WardCode],"MAE")),"")</f>
        <v/>
      </c>
      <c r="E17" s="13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3" t="str">
        <f>IFERROR(IF(SUMIFS(tblDaily[TransfersIn],tblDaily[EntryDate],DATE(2026,1,10),tblDaily[WardCode],"MAE")=0,"",SUMIFS(tblDaily[TransfersIn],tblDaily[EntryDate],DATE(2026,1,10),tblDaily[WardCode],"MAE")),"")</f>
        <v/>
      </c>
      <c r="G17" s="13" t="str">
        <f>IFERROR(IF(SUMIFS(tblDaily[TransfersOut],tblDaily[EntryDate],DATE(2026,1,10),tblDaily[WardCode],"MAE")=0,"",SUMIFS(tblDaily[TransfersOut],tblDaily[EntryDate],DATE(2026,1,10),tblDaily[WardCode],"MAE")),"")</f>
        <v/>
      </c>
      <c r="H17" s="13">
        <f>IFERROR(IF(SUMIFS(tblDaily[Remaining],tblDaily[EntryDate],DATE(2026,1,10),tblDaily[WardCode],"MAE")=0,"",SUMIFS(tblDaily[Remaining],tblDaily[EntryDate],DATE(2026,1,10),tblDaily[WardCode],"MAE")),"")</f>
        <v>4</v>
      </c>
      <c r="I17" s="13">
        <f>IFERROR(IF(SUMIFS(tblDaily[Admissions],tblDaily[EntryDate],DATE(2026,1,10),tblDaily[WardCode],"FAE")=0,"",SUMIFS(tblDaily[Admissions],tblDaily[EntryDate],DATE(2026,1,10),tblDaily[WardCode],"FAE")),"")</f>
        <v>3</v>
      </c>
      <c r="J17" s="13" t="str">
        <f>IFERROR(IF(SUMIFS(tblDaily[Discharges],tblDaily[EntryDate],DATE(2026,1,10),tblDaily[WardCode],"FAE")=0,"",SUMIFS(tblDaily[Discharges],tblDaily[EntryDate],DATE(2026,1,10),tblDaily[WardCode],"FAE")),"")</f>
        <v/>
      </c>
      <c r="K17" s="13" t="str">
        <f>IFERROR(IF(SUMIFS(tblDaily[Deaths],tblDaily[EntryDate],DATE(2026,1,10),tblDaily[WardCode],"FAE")=0,"",SUMIFS(tblDaily[Deaths],tblDaily[EntryDate],DATE(2026,1,10),tblDaily[WardCode],"FAE")),"")</f>
        <v/>
      </c>
      <c r="L17" s="13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3" t="str">
        <f>IFERROR(IF(SUMIFS(tblDaily[TransfersIn],tblDaily[EntryDate],DATE(2026,1,10),tblDaily[WardCode],"FAE")=0,"",SUMIFS(tblDaily[TransfersIn],tblDaily[EntryDate],DATE(2026,1,10),tblDaily[WardCode],"FAE")),"")</f>
        <v/>
      </c>
      <c r="N17" s="13" t="str">
        <f>IFERROR(IF(SUMIFS(tblDaily[TransfersOut],tblDaily[EntryDate],DATE(2026,1,10),tblDaily[WardCode],"FAE")=0,"",SUMIFS(tblDaily[TransfersOut],tblDaily[EntryDate],DATE(2026,1,10),tblDaily[WardCode],"FAE")),"")</f>
        <v/>
      </c>
      <c r="O17" s="13">
        <f>IFERROR(IF(SUMIFS(tblDaily[Remaining],tblDaily[EntryDate],DATE(2026,1,10),tblDaily[WardCode],"FAE")=0,"",SUMIFS(tblDaily[Remaining],tblDaily[EntryDate],DATE(2026,1,10),tblDaily[WardCode],"FAE")),"")</f>
        <v>4</v>
      </c>
    </row>
    <row r="18" spans="1:15" x14ac:dyDescent="0.25">
      <c r="A18" s="13">
        <v>11</v>
      </c>
      <c r="B18" s="13">
        <f>IFERROR(IF(SUMIFS(tblDaily[Admissions],tblDaily[EntryDate],DATE(2026,1,11),tblDaily[WardCode],"MAE")=0,"",SUMIFS(tblDaily[Admissions],tblDaily[EntryDate],DATE(2026,1,11),tblDaily[WardCode],"MAE")),"")</f>
        <v>4</v>
      </c>
      <c r="C18" s="13">
        <f>IFERROR(IF(SUMIFS(tblDaily[Discharges],tblDaily[EntryDate],DATE(2026,1,11),tblDaily[WardCode],"MAE")=0,"",SUMIFS(tblDaily[Discharges],tblDaily[EntryDate],DATE(2026,1,11),tblDaily[WardCode],"MAE")),"")</f>
        <v>1</v>
      </c>
      <c r="D18" s="13" t="str">
        <f>IFERROR(IF(SUMIFS(tblDaily[Deaths],tblDaily[EntryDate],DATE(2026,1,11),tblDaily[WardCode],"MAE")=0,"",SUMIFS(tblDaily[Deaths],tblDaily[EntryDate],DATE(2026,1,11),tblDaily[WardCode],"MAE")),"")</f>
        <v/>
      </c>
      <c r="E18" s="13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3" t="str">
        <f>IFERROR(IF(SUMIFS(tblDaily[TransfersIn],tblDaily[EntryDate],DATE(2026,1,11),tblDaily[WardCode],"MAE")=0,"",SUMIFS(tblDaily[TransfersIn],tblDaily[EntryDate],DATE(2026,1,11),tblDaily[WardCode],"MAE")),"")</f>
        <v/>
      </c>
      <c r="G18" s="13">
        <f>IFERROR(IF(SUMIFS(tblDaily[TransfersOut],tblDaily[EntryDate],DATE(2026,1,11),tblDaily[WardCode],"MAE")=0,"",SUMIFS(tblDaily[TransfersOut],tblDaily[EntryDate],DATE(2026,1,11),tblDaily[WardCode],"MAE")),"")</f>
        <v>4</v>
      </c>
      <c r="H18" s="13">
        <f>IFERROR(IF(SUMIFS(tblDaily[Remaining],tblDaily[EntryDate],DATE(2026,1,11),tblDaily[WardCode],"MAE")=0,"",SUMIFS(tblDaily[Remaining],tblDaily[EntryDate],DATE(2026,1,11),tblDaily[WardCode],"MAE")),"")</f>
        <v>3</v>
      </c>
      <c r="I18" s="13" t="str">
        <f>IFERROR(IF(SUMIFS(tblDaily[Admissions],tblDaily[EntryDate],DATE(2026,1,11),tblDaily[WardCode],"FAE")=0,"",SUMIFS(tblDaily[Admissions],tblDaily[EntryDate],DATE(2026,1,11),tblDaily[WardCode],"FAE")),"")</f>
        <v/>
      </c>
      <c r="J18" s="13">
        <f>IFERROR(IF(SUMIFS(tblDaily[Discharges],tblDaily[EntryDate],DATE(2026,1,11),tblDaily[WardCode],"FAE")=0,"",SUMIFS(tblDaily[Discharges],tblDaily[EntryDate],DATE(2026,1,11),tblDaily[WardCode],"FAE")),"")</f>
        <v>1</v>
      </c>
      <c r="K18" s="13" t="str">
        <f>IFERROR(IF(SUMIFS(tblDaily[Deaths],tblDaily[EntryDate],DATE(2026,1,11),tblDaily[WardCode],"FAE")=0,"",SUMIFS(tblDaily[Deaths],tblDaily[EntryDate],DATE(2026,1,11),tblDaily[WardCode],"FAE")),"")</f>
        <v/>
      </c>
      <c r="L18" s="13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3" t="str">
        <f>IFERROR(IF(SUMIFS(tblDaily[TransfersIn],tblDaily[EntryDate],DATE(2026,1,11),tblDaily[WardCode],"FAE")=0,"",SUMIFS(tblDaily[TransfersIn],tblDaily[EntryDate],DATE(2026,1,11),tblDaily[WardCode],"FAE")),"")</f>
        <v/>
      </c>
      <c r="N18" s="13">
        <f>IFERROR(IF(SUMIFS(tblDaily[TransfersOut],tblDaily[EntryDate],DATE(2026,1,11),tblDaily[WardCode],"FAE")=0,"",SUMIFS(tblDaily[TransfersOut],tblDaily[EntryDate],DATE(2026,1,11),tblDaily[WardCode],"FAE")),"")</f>
        <v>1</v>
      </c>
      <c r="O18" s="13">
        <f>IFERROR(IF(SUMIFS(tblDaily[Remaining],tblDaily[EntryDate],DATE(2026,1,11),tblDaily[WardCode],"FAE")=0,"",SUMIFS(tblDaily[Remaining],tblDaily[EntryDate],DATE(2026,1,11),tblDaily[WardCode],"FAE")),"")</f>
        <v>2</v>
      </c>
    </row>
    <row r="19" spans="1:15" x14ac:dyDescent="0.25">
      <c r="A19" s="13">
        <v>12</v>
      </c>
      <c r="B19" s="13">
        <f>IFERROR(IF(SUMIFS(tblDaily[Admissions],tblDaily[EntryDate],DATE(2026,1,12),tblDaily[WardCode],"MAE")=0,"",SUMIFS(tblDaily[Admissions],tblDaily[EntryDate],DATE(2026,1,12),tblDaily[WardCode],"MAE")),"")</f>
        <v>1</v>
      </c>
      <c r="C19" s="13" t="str">
        <f>IFERROR(IF(SUMIFS(tblDaily[Discharges],tblDaily[EntryDate],DATE(2026,1,12),tblDaily[WardCode],"MAE")=0,"",SUMIFS(tblDaily[Discharges],tblDaily[EntryDate],DATE(2026,1,12),tblDaily[WardCode],"MAE")),"")</f>
        <v/>
      </c>
      <c r="D19" s="13" t="str">
        <f>IFERROR(IF(SUMIFS(tblDaily[Deaths],tblDaily[EntryDate],DATE(2026,1,12),tblDaily[WardCode],"MAE")=0,"",SUMIFS(tblDaily[Deaths],tblDaily[EntryDate],DATE(2026,1,12),tblDaily[WardCode],"MAE")),"")</f>
        <v/>
      </c>
      <c r="E19" s="13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3" t="str">
        <f>IFERROR(IF(SUMIFS(tblDaily[TransfersIn],tblDaily[EntryDate],DATE(2026,1,12),tblDaily[WardCode],"MAE")=0,"",SUMIFS(tblDaily[TransfersIn],tblDaily[EntryDate],DATE(2026,1,12),tblDaily[WardCode],"MAE")),"")</f>
        <v/>
      </c>
      <c r="G19" s="13">
        <f>IFERROR(IF(SUMIFS(tblDaily[TransfersOut],tblDaily[EntryDate],DATE(2026,1,12),tblDaily[WardCode],"MAE")=0,"",SUMIFS(tblDaily[TransfersOut],tblDaily[EntryDate],DATE(2026,1,12),tblDaily[WardCode],"MAE")),"")</f>
        <v>3</v>
      </c>
      <c r="H19" s="13">
        <f>IFERROR(IF(SUMIFS(tblDaily[Remaining],tblDaily[EntryDate],DATE(2026,1,12),tblDaily[WardCode],"MAE")=0,"",SUMIFS(tblDaily[Remaining],tblDaily[EntryDate],DATE(2026,1,12),tblDaily[WardCode],"MAE")),"")</f>
        <v>1</v>
      </c>
      <c r="I19" s="13" t="str">
        <f>IFERROR(IF(SUMIFS(tblDaily[Admissions],tblDaily[EntryDate],DATE(2026,1,12),tblDaily[WardCode],"FAE")=0,"",SUMIFS(tblDaily[Admissions],tblDaily[EntryDate],DATE(2026,1,12),tblDaily[WardCode],"FAE")),"")</f>
        <v/>
      </c>
      <c r="J19" s="13">
        <f>IFERROR(IF(SUMIFS(tblDaily[Discharges],tblDaily[EntryDate],DATE(2026,1,12),tblDaily[WardCode],"FAE")=0,"",SUMIFS(tblDaily[Discharges],tblDaily[EntryDate],DATE(2026,1,12),tblDaily[WardCode],"FAE")),"")</f>
        <v>2</v>
      </c>
      <c r="K19" s="13" t="str">
        <f>IFERROR(IF(SUMIFS(tblDaily[Deaths],tblDaily[EntryDate],DATE(2026,1,12),tblDaily[WardCode],"FAE")=0,"",SUMIFS(tblDaily[Deaths],tblDaily[EntryDate],DATE(2026,1,12),tblDaily[WardCode],"FAE")),"")</f>
        <v/>
      </c>
      <c r="L19" s="13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3" t="str">
        <f>IFERROR(IF(SUMIFS(tblDaily[TransfersIn],tblDaily[EntryDate],DATE(2026,1,12),tblDaily[WardCode],"FAE")=0,"",SUMIFS(tblDaily[TransfersIn],tblDaily[EntryDate],DATE(2026,1,12),tblDaily[WardCode],"FAE")),"")</f>
        <v/>
      </c>
      <c r="N19" s="13" t="str">
        <f>IFERROR(IF(SUMIFS(tblDaily[TransfersOut],tblDaily[EntryDate],DATE(2026,1,12),tblDaily[WardCode],"FAE")=0,"",SUMIFS(tblDaily[TransfersOut],tblDaily[EntryDate],DATE(2026,1,12),tblDaily[WardCode],"FAE")),"")</f>
        <v/>
      </c>
      <c r="O19" s="13" t="str">
        <f>IFERROR(IF(SUMIFS(tblDaily[Remaining],tblDaily[EntryDate],DATE(2026,1,12),tblDaily[WardCode],"FAE")=0,"",SUMIFS(tblDaily[Remaining],tblDaily[EntryDate],DATE(2026,1,12),tblDaily[WardCode],"FAE")),"")</f>
        <v/>
      </c>
    </row>
    <row r="20" spans="1:15" x14ac:dyDescent="0.25">
      <c r="A20" s="13">
        <v>13</v>
      </c>
      <c r="B20" s="13">
        <f>IFERROR(IF(SUMIFS(tblDaily[Admissions],tblDaily[EntryDate],DATE(2026,1,13),tblDaily[WardCode],"MAE")=0,"",SUMIFS(tblDaily[Admissions],tblDaily[EntryDate],DATE(2026,1,13),tblDaily[WardCode],"MAE")),"")</f>
        <v>4</v>
      </c>
      <c r="C20" s="13" t="str">
        <f>IFERROR(IF(SUMIFS(tblDaily[Discharges],tblDaily[EntryDate],DATE(2026,1,13),tblDaily[WardCode],"MAE")=0,"",SUMIFS(tblDaily[Discharges],tblDaily[EntryDate],DATE(2026,1,13),tblDaily[WardCode],"MAE")),"")</f>
        <v/>
      </c>
      <c r="D20" s="13" t="str">
        <f>IFERROR(IF(SUMIFS(tblDaily[Deaths],tblDaily[EntryDate],DATE(2026,1,13),tblDaily[WardCode],"MAE")=0,"",SUMIFS(tblDaily[Deaths],tblDaily[EntryDate],DATE(2026,1,13),tblDaily[WardCode],"MAE")),"")</f>
        <v/>
      </c>
      <c r="E20" s="13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3" t="str">
        <f>IFERROR(IF(SUMIFS(tblDaily[TransfersIn],tblDaily[EntryDate],DATE(2026,1,13),tblDaily[WardCode],"MAE")=0,"",SUMIFS(tblDaily[TransfersIn],tblDaily[EntryDate],DATE(2026,1,13),tblDaily[WardCode],"MAE")),"")</f>
        <v/>
      </c>
      <c r="G20" s="13">
        <f>IFERROR(IF(SUMIFS(tblDaily[TransfersOut],tblDaily[EntryDate],DATE(2026,1,13),tblDaily[WardCode],"MAE")=0,"",SUMIFS(tblDaily[TransfersOut],tblDaily[EntryDate],DATE(2026,1,13),tblDaily[WardCode],"MAE")),"")</f>
        <v>2</v>
      </c>
      <c r="H20" s="13">
        <f>IFERROR(IF(SUMIFS(tblDaily[Remaining],tblDaily[EntryDate],DATE(2026,1,13),tblDaily[WardCode],"MAE")=0,"",SUMIFS(tblDaily[Remaining],tblDaily[EntryDate],DATE(2026,1,13),tblDaily[WardCode],"MAE")),"")</f>
        <v>3</v>
      </c>
      <c r="I20" s="13">
        <f>IFERROR(IF(SUMIFS(tblDaily[Admissions],tblDaily[EntryDate],DATE(2026,1,13),tblDaily[WardCode],"FAE")=0,"",SUMIFS(tblDaily[Admissions],tblDaily[EntryDate],DATE(2026,1,13),tblDaily[WardCode],"FAE")),"")</f>
        <v>1</v>
      </c>
      <c r="J20" s="13" t="str">
        <f>IFERROR(IF(SUMIFS(tblDaily[Discharges],tblDaily[EntryDate],DATE(2026,1,13),tblDaily[WardCode],"FAE")=0,"",SUMIFS(tblDaily[Discharges],tblDaily[EntryDate],DATE(2026,1,13),tblDaily[WardCode],"FAE")),"")</f>
        <v/>
      </c>
      <c r="K20" s="13" t="str">
        <f>IFERROR(IF(SUMIFS(tblDaily[Deaths],tblDaily[EntryDate],DATE(2026,1,13),tblDaily[WardCode],"FAE")=0,"",SUMIFS(tblDaily[Deaths],tblDaily[EntryDate],DATE(2026,1,13),tblDaily[WardCode],"FAE")),"")</f>
        <v/>
      </c>
      <c r="L20" s="13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3" t="str">
        <f>IFERROR(IF(SUMIFS(tblDaily[TransfersIn],tblDaily[EntryDate],DATE(2026,1,13),tblDaily[WardCode],"FAE")=0,"",SUMIFS(tblDaily[TransfersIn],tblDaily[EntryDate],DATE(2026,1,13),tblDaily[WardCode],"FAE")),"")</f>
        <v/>
      </c>
      <c r="N20" s="13" t="str">
        <f>IFERROR(IF(SUMIFS(tblDaily[TransfersOut],tblDaily[EntryDate],DATE(2026,1,13),tblDaily[WardCode],"FAE")=0,"",SUMIFS(tblDaily[TransfersOut],tblDaily[EntryDate],DATE(2026,1,13),tblDaily[WardCode],"FAE")),"")</f>
        <v/>
      </c>
      <c r="O20" s="13">
        <f>IFERROR(IF(SUMIFS(tblDaily[Remaining],tblDaily[EntryDate],DATE(2026,1,13),tblDaily[WardCode],"FAE")=0,"",SUMIFS(tblDaily[Remaining],tblDaily[EntryDate],DATE(2026,1,13),tblDaily[WardCode],"FAE")),"")</f>
        <v>1</v>
      </c>
    </row>
    <row r="21" spans="1:15" x14ac:dyDescent="0.25">
      <c r="A21" s="13">
        <v>14</v>
      </c>
      <c r="B21" s="13">
        <f>IFERROR(IF(SUMIFS(tblDaily[Admissions],tblDaily[EntryDate],DATE(2026,1,14),tblDaily[WardCode],"MAE")=0,"",SUMIFS(tblDaily[Admissions],tblDaily[EntryDate],DATE(2026,1,14),tblDaily[WardCode],"MAE")),"")</f>
        <v>4</v>
      </c>
      <c r="C21" s="13" t="str">
        <f>IFERROR(IF(SUMIFS(tblDaily[Discharges],tblDaily[EntryDate],DATE(2026,1,14),tblDaily[WardCode],"MAE")=0,"",SUMIFS(tblDaily[Discharges],tblDaily[EntryDate],DATE(2026,1,14),tblDaily[WardCode],"MAE")),"")</f>
        <v/>
      </c>
      <c r="D21" s="13" t="str">
        <f>IFERROR(IF(SUMIFS(tblDaily[Deaths],tblDaily[EntryDate],DATE(2026,1,14),tblDaily[WardCode],"MAE")=0,"",SUMIFS(tblDaily[Deaths],tblDaily[EntryDate],DATE(2026,1,14),tblDaily[WardCode],"MAE")),"")</f>
        <v/>
      </c>
      <c r="E21" s="13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3" t="str">
        <f>IFERROR(IF(SUMIFS(tblDaily[TransfersIn],tblDaily[EntryDate],DATE(2026,1,14),tblDaily[WardCode],"MAE")=0,"",SUMIFS(tblDaily[TransfersIn],tblDaily[EntryDate],DATE(2026,1,14),tblDaily[WardCode],"MAE")),"")</f>
        <v/>
      </c>
      <c r="G21" s="13">
        <f>IFERROR(IF(SUMIFS(tblDaily[TransfersOut],tblDaily[EntryDate],DATE(2026,1,14),tblDaily[WardCode],"MAE")=0,"",SUMIFS(tblDaily[TransfersOut],tblDaily[EntryDate],DATE(2026,1,14),tblDaily[WardCode],"MAE")),"")</f>
        <v>1</v>
      </c>
      <c r="H21" s="13">
        <f>IFERROR(IF(SUMIFS(tblDaily[Remaining],tblDaily[EntryDate],DATE(2026,1,14),tblDaily[WardCode],"MAE")=0,"",SUMIFS(tblDaily[Remaining],tblDaily[EntryDate],DATE(2026,1,14),tblDaily[WardCode],"MAE")),"")</f>
        <v>6</v>
      </c>
      <c r="I21" s="13">
        <f>IFERROR(IF(SUMIFS(tblDaily[Admissions],tblDaily[EntryDate],DATE(2026,1,14),tblDaily[WardCode],"FAE")=0,"",SUMIFS(tblDaily[Admissions],tblDaily[EntryDate],DATE(2026,1,14),tblDaily[WardCode],"FAE")),"")</f>
        <v>4</v>
      </c>
      <c r="J21" s="13">
        <f>IFERROR(IF(SUMIFS(tblDaily[Discharges],tblDaily[EntryDate],DATE(2026,1,14),tblDaily[WardCode],"FAE")=0,"",SUMIFS(tblDaily[Discharges],tblDaily[EntryDate],DATE(2026,1,14),tblDaily[WardCode],"FAE")),"")</f>
        <v>2</v>
      </c>
      <c r="K21" s="13" t="str">
        <f>IFERROR(IF(SUMIFS(tblDaily[Deaths],tblDaily[EntryDate],DATE(2026,1,14),tblDaily[WardCode],"FAE")=0,"",SUMIFS(tblDaily[Deaths],tblDaily[EntryDate],DATE(2026,1,14),tblDaily[WardCode],"FAE")),"")</f>
        <v/>
      </c>
      <c r="L21" s="13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3" t="str">
        <f>IFERROR(IF(SUMIFS(tblDaily[TransfersIn],tblDaily[EntryDate],DATE(2026,1,14),tblDaily[WardCode],"FAE")=0,"",SUMIFS(tblDaily[TransfersIn],tblDaily[EntryDate],DATE(2026,1,14),tblDaily[WardCode],"FAE")),"")</f>
        <v/>
      </c>
      <c r="N21" s="13">
        <f>IFERROR(IF(SUMIFS(tblDaily[TransfersOut],tblDaily[EntryDate],DATE(2026,1,14),tblDaily[WardCode],"FAE")=0,"",SUMIFS(tblDaily[TransfersOut],tblDaily[EntryDate],DATE(2026,1,14),tblDaily[WardCode],"FAE")),"")</f>
        <v>1</v>
      </c>
      <c r="O21" s="13">
        <f>IFERROR(IF(SUMIFS(tblDaily[Remaining],tblDaily[EntryDate],DATE(2026,1,14),tblDaily[WardCode],"FAE")=0,"",SUMIFS(tblDaily[Remaining],tblDaily[EntryDate],DATE(2026,1,14),tblDaily[WardCode],"FAE")),"")</f>
        <v>2</v>
      </c>
    </row>
    <row r="22" spans="1:15" x14ac:dyDescent="0.25">
      <c r="A22" s="13">
        <v>15</v>
      </c>
      <c r="B22" s="13">
        <f>IFERROR(IF(SUMIFS(tblDaily[Admissions],tblDaily[EntryDate],DATE(2026,1,15),tblDaily[WardCode],"MAE")=0,"",SUMIFS(tblDaily[Admissions],tblDaily[EntryDate],DATE(2026,1,15),tblDaily[WardCode],"MAE")),"")</f>
        <v>1</v>
      </c>
      <c r="C22" s="13">
        <f>IFERROR(IF(SUMIFS(tblDaily[Discharges],tblDaily[EntryDate],DATE(2026,1,15),tblDaily[WardCode],"MAE")=0,"",SUMIFS(tblDaily[Discharges],tblDaily[EntryDate],DATE(2026,1,15),tblDaily[WardCode],"MAE")),"")</f>
        <v>2</v>
      </c>
      <c r="D22" s="13" t="str">
        <f>IFERROR(IF(SUMIFS(tblDaily[Deaths],tblDaily[EntryDate],DATE(2026,1,15),tblDaily[WardCode],"MAE")=0,"",SUMIFS(tblDaily[Deaths],tblDaily[EntryDate],DATE(2026,1,15),tblDaily[WardCode],"MAE")),"")</f>
        <v/>
      </c>
      <c r="E22" s="13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3" t="str">
        <f>IFERROR(IF(SUMIFS(tblDaily[TransfersIn],tblDaily[EntryDate],DATE(2026,1,15),tblDaily[WardCode],"MAE")=0,"",SUMIFS(tblDaily[TransfersIn],tblDaily[EntryDate],DATE(2026,1,15),tblDaily[WardCode],"MAE")),"")</f>
        <v/>
      </c>
      <c r="G22" s="13" t="str">
        <f>IFERROR(IF(SUMIFS(tblDaily[TransfersOut],tblDaily[EntryDate],DATE(2026,1,15),tblDaily[WardCode],"MAE")=0,"",SUMIFS(tblDaily[TransfersOut],tblDaily[EntryDate],DATE(2026,1,15),tblDaily[WardCode],"MAE")),"")</f>
        <v/>
      </c>
      <c r="H22" s="13">
        <f>IFERROR(IF(SUMIFS(tblDaily[Remaining],tblDaily[EntryDate],DATE(2026,1,15),tblDaily[WardCode],"MAE")=0,"",SUMIFS(tblDaily[Remaining],tblDaily[EntryDate],DATE(2026,1,15),tblDaily[WardCode],"MAE")),"")</f>
        <v>5</v>
      </c>
      <c r="I22" s="13">
        <f>IFERROR(IF(SUMIFS(tblDaily[Admissions],tblDaily[EntryDate],DATE(2026,1,15),tblDaily[WardCode],"FAE")=0,"",SUMIFS(tblDaily[Admissions],tblDaily[EntryDate],DATE(2026,1,15),tblDaily[WardCode],"FAE")),"")</f>
        <v>3</v>
      </c>
      <c r="J22" s="13">
        <f>IFERROR(IF(SUMIFS(tblDaily[Discharges],tblDaily[EntryDate],DATE(2026,1,15),tblDaily[WardCode],"FAE")=0,"",SUMIFS(tblDaily[Discharges],tblDaily[EntryDate],DATE(2026,1,15),tblDaily[WardCode],"FAE")),"")</f>
        <v>2</v>
      </c>
      <c r="K22" s="13" t="str">
        <f>IFERROR(IF(SUMIFS(tblDaily[Deaths],tblDaily[EntryDate],DATE(2026,1,15),tblDaily[WardCode],"FAE")=0,"",SUMIFS(tblDaily[Deaths],tblDaily[EntryDate],DATE(2026,1,15),tblDaily[WardCode],"FAE")),"")</f>
        <v/>
      </c>
      <c r="L22" s="13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3" t="str">
        <f>IFERROR(IF(SUMIFS(tblDaily[TransfersIn],tblDaily[EntryDate],DATE(2026,1,15),tblDaily[WardCode],"FAE")=0,"",SUMIFS(tblDaily[TransfersIn],tblDaily[EntryDate],DATE(2026,1,15),tblDaily[WardCode],"FAE")),"")</f>
        <v/>
      </c>
      <c r="N22" s="13">
        <f>IFERROR(IF(SUMIFS(tblDaily[TransfersOut],tblDaily[EntryDate],DATE(2026,1,15),tblDaily[WardCode],"FAE")=0,"",SUMIFS(tblDaily[TransfersOut],tblDaily[EntryDate],DATE(2026,1,15),tblDaily[WardCode],"FAE")),"")</f>
        <v>2</v>
      </c>
      <c r="O22" s="13">
        <f>IFERROR(IF(SUMIFS(tblDaily[Remaining],tblDaily[EntryDate],DATE(2026,1,15),tblDaily[WardCode],"FAE")=0,"",SUMIFS(tblDaily[Remaining],tblDaily[EntryDate],DATE(2026,1,15),tblDaily[WardCode],"FAE")),"")</f>
        <v>1</v>
      </c>
    </row>
    <row r="23" spans="1:15" x14ac:dyDescent="0.25">
      <c r="A23" s="13">
        <v>16</v>
      </c>
      <c r="B23" s="13">
        <f>IFERROR(IF(SUMIFS(tblDaily[Admissions],tblDaily[EntryDate],DATE(2026,1,16),tblDaily[WardCode],"MAE")=0,"",SUMIFS(tblDaily[Admissions],tblDaily[EntryDate],DATE(2026,1,16),tblDaily[WardCode],"MAE")),"")</f>
        <v>6</v>
      </c>
      <c r="C23" s="13">
        <f>IFERROR(IF(SUMIFS(tblDaily[Discharges],tblDaily[EntryDate],DATE(2026,1,16),tblDaily[WardCode],"MAE")=0,"",SUMIFS(tblDaily[Discharges],tblDaily[EntryDate],DATE(2026,1,16),tblDaily[WardCode],"MAE")),"")</f>
        <v>1</v>
      </c>
      <c r="D23" s="13" t="str">
        <f>IFERROR(IF(SUMIFS(tblDaily[Deaths],tblDaily[EntryDate],DATE(2026,1,16),tblDaily[WardCode],"MAE")=0,"",SUMIFS(tblDaily[Deaths],tblDaily[EntryDate],DATE(2026,1,16),tblDaily[WardCode],"MAE")),"")</f>
        <v/>
      </c>
      <c r="E23" s="13">
        <f>IFERROR(IF(SUMIFS(tblDaily[DeathsUnder24Hrs],tblDaily[EntryDate],DATE(2026,1,16),tblDaily[WardCode],"MAE")=0,"",SUMIFS(tblDaily[DeathsUnder24Hrs],tblDaily[EntryDate],DATE(2026,1,16),tblDaily[WardCode],"MAE")),"")</f>
        <v>1</v>
      </c>
      <c r="F23" s="13" t="str">
        <f>IFERROR(IF(SUMIFS(tblDaily[TransfersIn],tblDaily[EntryDate],DATE(2026,1,16),tblDaily[WardCode],"MAE")=0,"",SUMIFS(tblDaily[TransfersIn],tblDaily[EntryDate],DATE(2026,1,16),tblDaily[WardCode],"MAE")),"")</f>
        <v/>
      </c>
      <c r="G23" s="13" t="str">
        <f>IFERROR(IF(SUMIFS(tblDaily[TransfersOut],tblDaily[EntryDate],DATE(2026,1,16),tblDaily[WardCode],"MAE")=0,"",SUMIFS(tblDaily[TransfersOut],tblDaily[EntryDate],DATE(2026,1,16),tblDaily[WardCode],"MAE")),"")</f>
        <v/>
      </c>
      <c r="H23" s="13">
        <f>IFERROR(IF(SUMIFS(tblDaily[Remaining],tblDaily[EntryDate],DATE(2026,1,16),tblDaily[WardCode],"MAE")=0,"",SUMIFS(tblDaily[Remaining],tblDaily[EntryDate],DATE(2026,1,16),tblDaily[WardCode],"MAE")),"")</f>
        <v>9</v>
      </c>
      <c r="I23" s="13">
        <f>IFERROR(IF(SUMIFS(tblDaily[Admissions],tblDaily[EntryDate],DATE(2026,1,16),tblDaily[WardCode],"FAE")=0,"",SUMIFS(tblDaily[Admissions],tblDaily[EntryDate],DATE(2026,1,16),tblDaily[WardCode],"FAE")),"")</f>
        <v>1</v>
      </c>
      <c r="J23" s="13" t="str">
        <f>IFERROR(IF(SUMIFS(tblDaily[Discharges],tblDaily[EntryDate],DATE(2026,1,16),tblDaily[WardCode],"FAE")=0,"",SUMIFS(tblDaily[Discharges],tblDaily[EntryDate],DATE(2026,1,16),tblDaily[WardCode],"FAE")),"")</f>
        <v/>
      </c>
      <c r="K23" s="13" t="str">
        <f>IFERROR(IF(SUMIFS(tblDaily[Deaths],tblDaily[EntryDate],DATE(2026,1,16),tblDaily[WardCode],"FAE")=0,"",SUMIFS(tblDaily[Deaths],tblDaily[EntryDate],DATE(2026,1,16),tblDaily[WardCode],"FAE")),"")</f>
        <v/>
      </c>
      <c r="L23" s="13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3" t="str">
        <f>IFERROR(IF(SUMIFS(tblDaily[TransfersIn],tblDaily[EntryDate],DATE(2026,1,16),tblDaily[WardCode],"FAE")=0,"",SUMIFS(tblDaily[TransfersIn],tblDaily[EntryDate],DATE(2026,1,16),tblDaily[WardCode],"FAE")),"")</f>
        <v/>
      </c>
      <c r="N23" s="13">
        <f>IFERROR(IF(SUMIFS(tblDaily[TransfersOut],tblDaily[EntryDate],DATE(2026,1,16),tblDaily[WardCode],"FAE")=0,"",SUMIFS(tblDaily[TransfersOut],tblDaily[EntryDate],DATE(2026,1,16),tblDaily[WardCode],"FAE")),"")</f>
        <v>2</v>
      </c>
      <c r="O23" s="13" t="str">
        <f>IFERROR(IF(SUMIFS(tblDaily[Remaining],tblDaily[EntryDate],DATE(2026,1,16),tblDaily[WardCode],"FAE")=0,"",SUMIFS(tblDaily[Remaining],tblDaily[EntryDate],DATE(2026,1,16),tblDaily[WardCode],"FAE")),"")</f>
        <v/>
      </c>
    </row>
    <row r="24" spans="1:15" x14ac:dyDescent="0.25">
      <c r="A24" s="13">
        <v>17</v>
      </c>
      <c r="B24" s="13">
        <f>IFERROR(IF(SUMIFS(tblDaily[Admissions],tblDaily[EntryDate],DATE(2026,1,17),tblDaily[WardCode],"MAE")=0,"",SUMIFS(tblDaily[Admissions],tblDaily[EntryDate],DATE(2026,1,17),tblDaily[WardCode],"MAE")),"")</f>
        <v>3</v>
      </c>
      <c r="C24" s="13" t="str">
        <f>IFERROR(IF(SUMIFS(tblDaily[Discharges],tblDaily[EntryDate],DATE(2026,1,17),tblDaily[WardCode],"MAE")=0,"",SUMIFS(tblDaily[Discharges],tblDaily[EntryDate],DATE(2026,1,17),tblDaily[WardCode],"MAE")),"")</f>
        <v/>
      </c>
      <c r="D24" s="13" t="str">
        <f>IFERROR(IF(SUMIFS(tblDaily[Deaths],tblDaily[EntryDate],DATE(2026,1,17),tblDaily[WardCode],"MAE")=0,"",SUMIFS(tblDaily[Deaths],tblDaily[EntryDate],DATE(2026,1,17),tblDaily[WardCode],"MAE")),"")</f>
        <v/>
      </c>
      <c r="E24" s="13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3" t="str">
        <f>IFERROR(IF(SUMIFS(tblDaily[TransfersIn],tblDaily[EntryDate],DATE(2026,1,17),tblDaily[WardCode],"MAE")=0,"",SUMIFS(tblDaily[TransfersIn],tblDaily[EntryDate],DATE(2026,1,17),tblDaily[WardCode],"MAE")),"")</f>
        <v/>
      </c>
      <c r="G24" s="13">
        <f>IFERROR(IF(SUMIFS(tblDaily[TransfersOut],tblDaily[EntryDate],DATE(2026,1,17),tblDaily[WardCode],"MAE")=0,"",SUMIFS(tblDaily[TransfersOut],tblDaily[EntryDate],DATE(2026,1,17),tblDaily[WardCode],"MAE")),"")</f>
        <v>3</v>
      </c>
      <c r="H24" s="13">
        <f>IFERROR(IF(SUMIFS(tblDaily[Remaining],tblDaily[EntryDate],DATE(2026,1,17),tblDaily[WardCode],"MAE")=0,"",SUMIFS(tblDaily[Remaining],tblDaily[EntryDate],DATE(2026,1,17),tblDaily[WardCode],"MAE")),"")</f>
        <v>9</v>
      </c>
      <c r="I24" s="13">
        <f>IFERROR(IF(SUMIFS(tblDaily[Admissions],tblDaily[EntryDate],DATE(2026,1,17),tblDaily[WardCode],"FAE")=0,"",SUMIFS(tblDaily[Admissions],tblDaily[EntryDate],DATE(2026,1,17),tblDaily[WardCode],"FAE")),"")</f>
        <v>3</v>
      </c>
      <c r="J24" s="13" t="str">
        <f>IFERROR(IF(SUMIFS(tblDaily[Discharges],tblDaily[EntryDate],DATE(2026,1,17),tblDaily[WardCode],"FAE")=0,"",SUMIFS(tblDaily[Discharges],tblDaily[EntryDate],DATE(2026,1,17),tblDaily[WardCode],"FAE")),"")</f>
        <v/>
      </c>
      <c r="K24" s="13" t="str">
        <f>IFERROR(IF(SUMIFS(tblDaily[Deaths],tblDaily[EntryDate],DATE(2026,1,17),tblDaily[WardCode],"FAE")=0,"",SUMIFS(tblDaily[Deaths],tblDaily[EntryDate],DATE(2026,1,17),tblDaily[WardCode],"FAE")),"")</f>
        <v/>
      </c>
      <c r="L24" s="13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3" t="str">
        <f>IFERROR(IF(SUMIFS(tblDaily[TransfersIn],tblDaily[EntryDate],DATE(2026,1,17),tblDaily[WardCode],"FAE")=0,"",SUMIFS(tblDaily[TransfersIn],tblDaily[EntryDate],DATE(2026,1,17),tblDaily[WardCode],"FAE")),"")</f>
        <v/>
      </c>
      <c r="N24" s="13">
        <f>IFERROR(IF(SUMIFS(tblDaily[TransfersOut],tblDaily[EntryDate],DATE(2026,1,17),tblDaily[WardCode],"FAE")=0,"",SUMIFS(tblDaily[TransfersOut],tblDaily[EntryDate],DATE(2026,1,17),tblDaily[WardCode],"FAE")),"")</f>
        <v>2</v>
      </c>
      <c r="O24" s="13">
        <f>IFERROR(IF(SUMIFS(tblDaily[Remaining],tblDaily[EntryDate],DATE(2026,1,17),tblDaily[WardCode],"FAE")=0,"",SUMIFS(tblDaily[Remaining],tblDaily[EntryDate],DATE(2026,1,17),tblDaily[WardCode],"FAE")),"")</f>
        <v>1</v>
      </c>
    </row>
    <row r="25" spans="1:15" x14ac:dyDescent="0.25">
      <c r="A25" s="13">
        <v>18</v>
      </c>
      <c r="B25" s="13" t="str">
        <f>IFERROR(IF(SUMIFS(tblDaily[Admissions],tblDaily[EntryDate],DATE(2026,1,18),tblDaily[WardCode],"MAE")=0,"",SUMIFS(tblDaily[Admissions],tblDaily[EntryDate],DATE(2026,1,18),tblDaily[WardCode],"MAE")),"")</f>
        <v/>
      </c>
      <c r="C25" s="13">
        <f>IFERROR(IF(SUMIFS(tblDaily[Discharges],tblDaily[EntryDate],DATE(2026,1,18),tblDaily[WardCode],"MAE")=0,"",SUMIFS(tblDaily[Discharges],tblDaily[EntryDate],DATE(2026,1,18),tblDaily[WardCode],"MAE")),"")</f>
        <v>1</v>
      </c>
      <c r="D25" s="13" t="str">
        <f>IFERROR(IF(SUMIFS(tblDaily[Deaths],tblDaily[EntryDate],DATE(2026,1,18),tblDaily[WardCode],"MAE")=0,"",SUMIFS(tblDaily[Deaths],tblDaily[EntryDate],DATE(2026,1,18),tblDaily[WardCode],"MAE")),"")</f>
        <v/>
      </c>
      <c r="E25" s="13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3" t="str">
        <f>IFERROR(IF(SUMIFS(tblDaily[TransfersIn],tblDaily[EntryDate],DATE(2026,1,18),tblDaily[WardCode],"MAE")=0,"",SUMIFS(tblDaily[TransfersIn],tblDaily[EntryDate],DATE(2026,1,18),tblDaily[WardCode],"MAE")),"")</f>
        <v/>
      </c>
      <c r="G25" s="13">
        <f>IFERROR(IF(SUMIFS(tblDaily[TransfersOut],tblDaily[EntryDate],DATE(2026,1,18),tblDaily[WardCode],"MAE")=0,"",SUMIFS(tblDaily[TransfersOut],tblDaily[EntryDate],DATE(2026,1,18),tblDaily[WardCode],"MAE")),"")</f>
        <v>2</v>
      </c>
      <c r="H25" s="13">
        <f>IFERROR(IF(SUMIFS(tblDaily[Remaining],tblDaily[EntryDate],DATE(2026,1,18),tblDaily[WardCode],"MAE")=0,"",SUMIFS(tblDaily[Remaining],tblDaily[EntryDate],DATE(2026,1,18),tblDaily[WardCode],"MAE")),"")</f>
        <v>6</v>
      </c>
      <c r="I25" s="13">
        <f>IFERROR(IF(SUMIFS(tblDaily[Admissions],tblDaily[EntryDate],DATE(2026,1,18),tblDaily[WardCode],"FAE")=0,"",SUMIFS(tblDaily[Admissions],tblDaily[EntryDate],DATE(2026,1,18),tblDaily[WardCode],"FAE")),"")</f>
        <v>4</v>
      </c>
      <c r="J25" s="13" t="str">
        <f>IFERROR(IF(SUMIFS(tblDaily[Discharges],tblDaily[EntryDate],DATE(2026,1,18),tblDaily[WardCode],"FAE")=0,"",SUMIFS(tblDaily[Discharges],tblDaily[EntryDate],DATE(2026,1,18),tblDaily[WardCode],"FAE")),"")</f>
        <v/>
      </c>
      <c r="K25" s="13" t="str">
        <f>IFERROR(IF(SUMIFS(tblDaily[Deaths],tblDaily[EntryDate],DATE(2026,1,18),tblDaily[WardCode],"FAE")=0,"",SUMIFS(tblDaily[Deaths],tblDaily[EntryDate],DATE(2026,1,18),tblDaily[WardCode],"FAE")),"")</f>
        <v/>
      </c>
      <c r="L25" s="13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3" t="str">
        <f>IFERROR(IF(SUMIFS(tblDaily[TransfersIn],tblDaily[EntryDate],DATE(2026,1,18),tblDaily[WardCode],"FAE")=0,"",SUMIFS(tblDaily[TransfersIn],tblDaily[EntryDate],DATE(2026,1,18),tblDaily[WardCode],"FAE")),"")</f>
        <v/>
      </c>
      <c r="N25" s="13">
        <f>IFERROR(IF(SUMIFS(tblDaily[TransfersOut],tblDaily[EntryDate],DATE(2026,1,18),tblDaily[WardCode],"FAE")=0,"",SUMIFS(tblDaily[TransfersOut],tblDaily[EntryDate],DATE(2026,1,18),tblDaily[WardCode],"FAE")),"")</f>
        <v>1</v>
      </c>
      <c r="O25" s="13">
        <f>IFERROR(IF(SUMIFS(tblDaily[Remaining],tblDaily[EntryDate],DATE(2026,1,18),tblDaily[WardCode],"FAE")=0,"",SUMIFS(tblDaily[Remaining],tblDaily[EntryDate],DATE(2026,1,18),tblDaily[WardCode],"FAE")),"")</f>
        <v>4</v>
      </c>
    </row>
    <row r="26" spans="1:15" x14ac:dyDescent="0.25">
      <c r="A26" s="13">
        <v>19</v>
      </c>
      <c r="B26" s="13">
        <f>IFERROR(IF(SUMIFS(tblDaily[Admissions],tblDaily[EntryDate],DATE(2026,1,19),tblDaily[WardCode],"MAE")=0,"",SUMIFS(tblDaily[Admissions],tblDaily[EntryDate],DATE(2026,1,19),tblDaily[WardCode],"MAE")),"")</f>
        <v>2</v>
      </c>
      <c r="C26" s="13">
        <f>IFERROR(IF(SUMIFS(tblDaily[Discharges],tblDaily[EntryDate],DATE(2026,1,19),tblDaily[WardCode],"MAE")=0,"",SUMIFS(tblDaily[Discharges],tblDaily[EntryDate],DATE(2026,1,19),tblDaily[WardCode],"MAE")),"")</f>
        <v>4</v>
      </c>
      <c r="D26" s="13" t="str">
        <f>IFERROR(IF(SUMIFS(tblDaily[Deaths],tblDaily[EntryDate],DATE(2026,1,19),tblDaily[WardCode],"MAE")=0,"",SUMIFS(tblDaily[Deaths],tblDaily[EntryDate],DATE(2026,1,19),tblDaily[WardCode],"MAE")),"")</f>
        <v/>
      </c>
      <c r="E26" s="13">
        <f>IFERROR(IF(SUMIFS(tblDaily[DeathsUnder24Hrs],tblDaily[EntryDate],DATE(2026,1,19),tblDaily[WardCode],"MAE")=0,"",SUMIFS(tblDaily[DeathsUnder24Hrs],tblDaily[EntryDate],DATE(2026,1,19),tblDaily[WardCode],"MAE")),"")</f>
        <v>1</v>
      </c>
      <c r="F26" s="13" t="str">
        <f>IFERROR(IF(SUMIFS(tblDaily[TransfersIn],tblDaily[EntryDate],DATE(2026,1,19),tblDaily[WardCode],"MAE")=0,"",SUMIFS(tblDaily[TransfersIn],tblDaily[EntryDate],DATE(2026,1,19),tblDaily[WardCode],"MAE")),"")</f>
        <v/>
      </c>
      <c r="G26" s="13" t="str">
        <f>IFERROR(IF(SUMIFS(tblDaily[TransfersOut],tblDaily[EntryDate],DATE(2026,1,19),tblDaily[WardCode],"MAE")=0,"",SUMIFS(tblDaily[TransfersOut],tblDaily[EntryDate],DATE(2026,1,19),tblDaily[WardCode],"MAE")),"")</f>
        <v/>
      </c>
      <c r="H26" s="13">
        <f>IFERROR(IF(SUMIFS(tblDaily[Remaining],tblDaily[EntryDate],DATE(2026,1,19),tblDaily[WardCode],"MAE")=0,"",SUMIFS(tblDaily[Remaining],tblDaily[EntryDate],DATE(2026,1,19),tblDaily[WardCode],"MAE")),"")</f>
        <v>3</v>
      </c>
      <c r="I26" s="13">
        <f>IFERROR(IF(SUMIFS(tblDaily[Admissions],tblDaily[EntryDate],DATE(2026,1,19),tblDaily[WardCode],"FAE")=0,"",SUMIFS(tblDaily[Admissions],tblDaily[EntryDate],DATE(2026,1,19),tblDaily[WardCode],"FAE")),"")</f>
        <v>1</v>
      </c>
      <c r="J26" s="13">
        <f>IFERROR(IF(SUMIFS(tblDaily[Discharges],tblDaily[EntryDate],DATE(2026,1,19),tblDaily[WardCode],"FAE")=0,"",SUMIFS(tblDaily[Discharges],tblDaily[EntryDate],DATE(2026,1,19),tblDaily[WardCode],"FAE")),"")</f>
        <v>1</v>
      </c>
      <c r="K26" s="13" t="str">
        <f>IFERROR(IF(SUMIFS(tblDaily[Deaths],tblDaily[EntryDate],DATE(2026,1,19),tblDaily[WardCode],"FAE")=0,"",SUMIFS(tblDaily[Deaths],tblDaily[EntryDate],DATE(2026,1,19),tblDaily[WardCode],"FAE")),"")</f>
        <v/>
      </c>
      <c r="L26" s="13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3" t="str">
        <f>IFERROR(IF(SUMIFS(tblDaily[TransfersIn],tblDaily[EntryDate],DATE(2026,1,19),tblDaily[WardCode],"FAE")=0,"",SUMIFS(tblDaily[TransfersIn],tblDaily[EntryDate],DATE(2026,1,19),tblDaily[WardCode],"FAE")),"")</f>
        <v/>
      </c>
      <c r="N26" s="13">
        <f>IFERROR(IF(SUMIFS(tblDaily[TransfersOut],tblDaily[EntryDate],DATE(2026,1,19),tblDaily[WardCode],"FAE")=0,"",SUMIFS(tblDaily[TransfersOut],tblDaily[EntryDate],DATE(2026,1,19),tblDaily[WardCode],"FAE")),"")</f>
        <v>1</v>
      </c>
      <c r="O26" s="13">
        <f>IFERROR(IF(SUMIFS(tblDaily[Remaining],tblDaily[EntryDate],DATE(2026,1,19),tblDaily[WardCode],"FAE")=0,"",SUMIFS(tblDaily[Remaining],tblDaily[EntryDate],DATE(2026,1,19),tblDaily[WardCode],"FAE")),"")</f>
        <v>3</v>
      </c>
    </row>
    <row r="27" spans="1:15" x14ac:dyDescent="0.25">
      <c r="A27" s="13">
        <v>20</v>
      </c>
      <c r="B27" s="13">
        <f>IFERROR(IF(SUMIFS(tblDaily[Admissions],tblDaily[EntryDate],DATE(2026,1,20),tblDaily[WardCode],"MAE")=0,"",SUMIFS(tblDaily[Admissions],tblDaily[EntryDate],DATE(2026,1,20),tblDaily[WardCode],"MAE")),"")</f>
        <v>7</v>
      </c>
      <c r="C27" s="13">
        <f>IFERROR(IF(SUMIFS(tblDaily[Discharges],tblDaily[EntryDate],DATE(2026,1,20),tblDaily[WardCode],"MAE")=0,"",SUMIFS(tblDaily[Discharges],tblDaily[EntryDate],DATE(2026,1,20),tblDaily[WardCode],"MAE")),"")</f>
        <v>3</v>
      </c>
      <c r="D27" s="13" t="str">
        <f>IFERROR(IF(SUMIFS(tblDaily[Deaths],tblDaily[EntryDate],DATE(2026,1,20),tblDaily[WardCode],"MAE")=0,"",SUMIFS(tblDaily[Deaths],tblDaily[EntryDate],DATE(2026,1,20),tblDaily[WardCode],"MAE")),"")</f>
        <v/>
      </c>
      <c r="E27" s="13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3" t="str">
        <f>IFERROR(IF(SUMIFS(tblDaily[TransfersIn],tblDaily[EntryDate],DATE(2026,1,20),tblDaily[WardCode],"MAE")=0,"",SUMIFS(tblDaily[TransfersIn],tblDaily[EntryDate],DATE(2026,1,20),tblDaily[WardCode],"MAE")),"")</f>
        <v/>
      </c>
      <c r="G27" s="13">
        <f>IFERROR(IF(SUMIFS(tblDaily[TransfersOut],tblDaily[EntryDate],DATE(2026,1,20),tblDaily[WardCode],"MAE")=0,"",SUMIFS(tblDaily[TransfersOut],tblDaily[EntryDate],DATE(2026,1,20),tblDaily[WardCode],"MAE")),"")</f>
        <v>1</v>
      </c>
      <c r="H27" s="13">
        <f>IFERROR(IF(SUMIFS(tblDaily[Remaining],tblDaily[EntryDate],DATE(2026,1,20),tblDaily[WardCode],"MAE")=0,"",SUMIFS(tblDaily[Remaining],tblDaily[EntryDate],DATE(2026,1,20),tblDaily[WardCode],"MAE")),"")</f>
        <v>6</v>
      </c>
      <c r="I27" s="13">
        <f>IFERROR(IF(SUMIFS(tblDaily[Admissions],tblDaily[EntryDate],DATE(2026,1,20),tblDaily[WardCode],"FAE")=0,"",SUMIFS(tblDaily[Admissions],tblDaily[EntryDate],DATE(2026,1,20),tblDaily[WardCode],"FAE")),"")</f>
        <v>1</v>
      </c>
      <c r="J27" s="13" t="str">
        <f>IFERROR(IF(SUMIFS(tblDaily[Discharges],tblDaily[EntryDate],DATE(2026,1,20),tblDaily[WardCode],"FAE")=0,"",SUMIFS(tblDaily[Discharges],tblDaily[EntryDate],DATE(2026,1,20),tblDaily[WardCode],"FAE")),"")</f>
        <v/>
      </c>
      <c r="K27" s="13" t="str">
        <f>IFERROR(IF(SUMIFS(tblDaily[Deaths],tblDaily[EntryDate],DATE(2026,1,20),tblDaily[WardCode],"FAE")=0,"",SUMIFS(tblDaily[Deaths],tblDaily[EntryDate],DATE(2026,1,20),tblDaily[WardCode],"FAE")),"")</f>
        <v/>
      </c>
      <c r="L27" s="13">
        <f>IFERROR(IF(SUMIFS(tblDaily[DeathsUnder24Hrs],tblDaily[EntryDate],DATE(2026,1,20),tblDaily[WardCode],"FAE")=0,"",SUMIFS(tblDaily[DeathsUnder24Hrs],tblDaily[EntryDate],DATE(2026,1,20),tblDaily[WardCode],"FAE")),"")</f>
        <v>1</v>
      </c>
      <c r="M27" s="13" t="str">
        <f>IFERROR(IF(SUMIFS(tblDaily[TransfersIn],tblDaily[EntryDate],DATE(2026,1,20),tblDaily[WardCode],"FAE")=0,"",SUMIFS(tblDaily[TransfersIn],tblDaily[EntryDate],DATE(2026,1,20),tblDaily[WardCode],"FAE")),"")</f>
        <v/>
      </c>
      <c r="N27" s="13" t="str">
        <f>IFERROR(IF(SUMIFS(tblDaily[TransfersOut],tblDaily[EntryDate],DATE(2026,1,20),tblDaily[WardCode],"FAE")=0,"",SUMIFS(tblDaily[TransfersOut],tblDaily[EntryDate],DATE(2026,1,20),tblDaily[WardCode],"FAE")),"")</f>
        <v/>
      </c>
      <c r="O27" s="13">
        <f>IFERROR(IF(SUMIFS(tblDaily[Remaining],tblDaily[EntryDate],DATE(2026,1,20),tblDaily[WardCode],"FAE")=0,"",SUMIFS(tblDaily[Remaining],tblDaily[EntryDate],DATE(2026,1,20),tblDaily[WardCode],"FAE")),"")</f>
        <v>3</v>
      </c>
    </row>
    <row r="28" spans="1:15" x14ac:dyDescent="0.25">
      <c r="A28" s="13">
        <v>21</v>
      </c>
      <c r="B28" s="13">
        <f>IFERROR(IF(SUMIFS(tblDaily[Admissions],tblDaily[EntryDate],DATE(2026,1,21),tblDaily[WardCode],"MAE")=0,"",SUMIFS(tblDaily[Admissions],tblDaily[EntryDate],DATE(2026,1,21),tblDaily[WardCode],"MAE")),"")</f>
        <v>1</v>
      </c>
      <c r="C28" s="13">
        <f>IFERROR(IF(SUMIFS(tblDaily[Discharges],tblDaily[EntryDate],DATE(2026,1,21),tblDaily[WardCode],"MAE")=0,"",SUMIFS(tblDaily[Discharges],tblDaily[EntryDate],DATE(2026,1,21),tblDaily[WardCode],"MAE")),"")</f>
        <v>2</v>
      </c>
      <c r="D28" s="13" t="str">
        <f>IFERROR(IF(SUMIFS(tblDaily[Deaths],tblDaily[EntryDate],DATE(2026,1,21),tblDaily[WardCode],"MAE")=0,"",SUMIFS(tblDaily[Deaths],tblDaily[EntryDate],DATE(2026,1,21),tblDaily[WardCode],"MAE")),"")</f>
        <v/>
      </c>
      <c r="E28" s="13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3" t="str">
        <f>IFERROR(IF(SUMIFS(tblDaily[TransfersIn],tblDaily[EntryDate],DATE(2026,1,21),tblDaily[WardCode],"MAE")=0,"",SUMIFS(tblDaily[TransfersIn],tblDaily[EntryDate],DATE(2026,1,21),tblDaily[WardCode],"MAE")),"")</f>
        <v/>
      </c>
      <c r="G28" s="13">
        <f>IFERROR(IF(SUMIFS(tblDaily[TransfersOut],tblDaily[EntryDate],DATE(2026,1,21),tblDaily[WardCode],"MAE")=0,"",SUMIFS(tblDaily[TransfersOut],tblDaily[EntryDate],DATE(2026,1,21),tblDaily[WardCode],"MAE")),"")</f>
        <v>1</v>
      </c>
      <c r="H28" s="13">
        <f>IFERROR(IF(SUMIFS(tblDaily[Remaining],tblDaily[EntryDate],DATE(2026,1,21),tblDaily[WardCode],"MAE")=0,"",SUMIFS(tblDaily[Remaining],tblDaily[EntryDate],DATE(2026,1,21),tblDaily[WardCode],"MAE")),"")</f>
        <v>4</v>
      </c>
      <c r="I28" s="13">
        <f>IFERROR(IF(SUMIFS(tblDaily[Admissions],tblDaily[EntryDate],DATE(2026,1,21),tblDaily[WardCode],"FAE")=0,"",SUMIFS(tblDaily[Admissions],tblDaily[EntryDate],DATE(2026,1,21),tblDaily[WardCode],"FAE")),"")</f>
        <v>1</v>
      </c>
      <c r="J28" s="13" t="str">
        <f>IFERROR(IF(SUMIFS(tblDaily[Discharges],tblDaily[EntryDate],DATE(2026,1,21),tblDaily[WardCode],"FAE")=0,"",SUMIFS(tblDaily[Discharges],tblDaily[EntryDate],DATE(2026,1,21),tblDaily[WardCode],"FAE")),"")</f>
        <v/>
      </c>
      <c r="K28" s="13" t="str">
        <f>IFERROR(IF(SUMIFS(tblDaily[Deaths],tblDaily[EntryDate],DATE(2026,1,21),tblDaily[WardCode],"FAE")=0,"",SUMIFS(tblDaily[Deaths],tblDaily[EntryDate],DATE(2026,1,21),tblDaily[WardCode],"FAE")),"")</f>
        <v/>
      </c>
      <c r="L28" s="13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3" t="str">
        <f>IFERROR(IF(SUMIFS(tblDaily[TransfersIn],tblDaily[EntryDate],DATE(2026,1,21),tblDaily[WardCode],"FAE")=0,"",SUMIFS(tblDaily[TransfersIn],tblDaily[EntryDate],DATE(2026,1,21),tblDaily[WardCode],"FAE")),"")</f>
        <v/>
      </c>
      <c r="N28" s="13">
        <f>IFERROR(IF(SUMIFS(tblDaily[TransfersOut],tblDaily[EntryDate],DATE(2026,1,21),tblDaily[WardCode],"FAE")=0,"",SUMIFS(tblDaily[TransfersOut],tblDaily[EntryDate],DATE(2026,1,21),tblDaily[WardCode],"FAE")),"")</f>
        <v>1</v>
      </c>
      <c r="O28" s="13">
        <f>IFERROR(IF(SUMIFS(tblDaily[Remaining],tblDaily[EntryDate],DATE(2026,1,21),tblDaily[WardCode],"FAE")=0,"",SUMIFS(tblDaily[Remaining],tblDaily[EntryDate],DATE(2026,1,21),tblDaily[WardCode],"FAE")),"")</f>
        <v>3</v>
      </c>
    </row>
    <row r="29" spans="1:15" x14ac:dyDescent="0.25">
      <c r="A29" s="13">
        <v>22</v>
      </c>
      <c r="B29" s="13">
        <f>IFERROR(IF(SUMIFS(tblDaily[Admissions],tblDaily[EntryDate],DATE(2026,1,22),tblDaily[WardCode],"MAE")=0,"",SUMIFS(tblDaily[Admissions],tblDaily[EntryDate],DATE(2026,1,22),tblDaily[WardCode],"MAE")),"")</f>
        <v>5</v>
      </c>
      <c r="C29" s="13" t="str">
        <f>IFERROR(IF(SUMIFS(tblDaily[Discharges],tblDaily[EntryDate],DATE(2026,1,22),tblDaily[WardCode],"MAE")=0,"",SUMIFS(tblDaily[Discharges],tblDaily[EntryDate],DATE(2026,1,22),tblDaily[WardCode],"MAE")),"")</f>
        <v/>
      </c>
      <c r="D29" s="13" t="str">
        <f>IFERROR(IF(SUMIFS(tblDaily[Deaths],tblDaily[EntryDate],DATE(2026,1,22),tblDaily[WardCode],"MAE")=0,"",SUMIFS(tblDaily[Deaths],tblDaily[EntryDate],DATE(2026,1,22),tblDaily[WardCode],"MAE")),"")</f>
        <v/>
      </c>
      <c r="E29" s="13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3" t="str">
        <f>IFERROR(IF(SUMIFS(tblDaily[TransfersIn],tblDaily[EntryDate],DATE(2026,1,22),tblDaily[WardCode],"MAE")=0,"",SUMIFS(tblDaily[TransfersIn],tblDaily[EntryDate],DATE(2026,1,22),tblDaily[WardCode],"MAE")),"")</f>
        <v/>
      </c>
      <c r="G29" s="13">
        <f>IFERROR(IF(SUMIFS(tblDaily[TransfersOut],tblDaily[EntryDate],DATE(2026,1,22),tblDaily[WardCode],"MAE")=0,"",SUMIFS(tblDaily[TransfersOut],tblDaily[EntryDate],DATE(2026,1,22),tblDaily[WardCode],"MAE")),"")</f>
        <v>3</v>
      </c>
      <c r="H29" s="13">
        <f>IFERROR(IF(SUMIFS(tblDaily[Remaining],tblDaily[EntryDate],DATE(2026,1,22),tblDaily[WardCode],"MAE")=0,"",SUMIFS(tblDaily[Remaining],tblDaily[EntryDate],DATE(2026,1,22),tblDaily[WardCode],"MAE")),"")</f>
        <v>6</v>
      </c>
      <c r="I29" s="13">
        <f>IFERROR(IF(SUMIFS(tblDaily[Admissions],tblDaily[EntryDate],DATE(2026,1,22),tblDaily[WardCode],"FAE")=0,"",SUMIFS(tblDaily[Admissions],tblDaily[EntryDate],DATE(2026,1,22),tblDaily[WardCode],"FAE")),"")</f>
        <v>2</v>
      </c>
      <c r="J29" s="13" t="str">
        <f>IFERROR(IF(SUMIFS(tblDaily[Discharges],tblDaily[EntryDate],DATE(2026,1,22),tblDaily[WardCode],"FAE")=0,"",SUMIFS(tblDaily[Discharges],tblDaily[EntryDate],DATE(2026,1,22),tblDaily[WardCode],"FAE")),"")</f>
        <v/>
      </c>
      <c r="K29" s="13" t="str">
        <f>IFERROR(IF(SUMIFS(tblDaily[Deaths],tblDaily[EntryDate],DATE(2026,1,22),tblDaily[WardCode],"FAE")=0,"",SUMIFS(tblDaily[Deaths],tblDaily[EntryDate],DATE(2026,1,22),tblDaily[WardCode],"FAE")),"")</f>
        <v/>
      </c>
      <c r="L29" s="13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3" t="str">
        <f>IFERROR(IF(SUMIFS(tblDaily[TransfersIn],tblDaily[EntryDate],DATE(2026,1,22),tblDaily[WardCode],"FAE")=0,"",SUMIFS(tblDaily[TransfersIn],tblDaily[EntryDate],DATE(2026,1,22),tblDaily[WardCode],"FAE")),"")</f>
        <v/>
      </c>
      <c r="N29" s="13">
        <f>IFERROR(IF(SUMIFS(tblDaily[TransfersOut],tblDaily[EntryDate],DATE(2026,1,22),tblDaily[WardCode],"FAE")=0,"",SUMIFS(tblDaily[TransfersOut],tblDaily[EntryDate],DATE(2026,1,22),tblDaily[WardCode],"FAE")),"")</f>
        <v>2</v>
      </c>
      <c r="O29" s="13">
        <f>IFERROR(IF(SUMIFS(tblDaily[Remaining],tblDaily[EntryDate],DATE(2026,1,22),tblDaily[WardCode],"FAE")=0,"",SUMIFS(tblDaily[Remaining],tblDaily[EntryDate],DATE(2026,1,22),tblDaily[WardCode],"FAE")),"")</f>
        <v>3</v>
      </c>
    </row>
    <row r="30" spans="1:15" x14ac:dyDescent="0.25">
      <c r="A30" s="13">
        <v>23</v>
      </c>
      <c r="B30" s="13">
        <f>IFERROR(IF(SUMIFS(tblDaily[Admissions],tblDaily[EntryDate],DATE(2026,1,23),tblDaily[WardCode],"MAE")=0,"",SUMIFS(tblDaily[Admissions],tblDaily[EntryDate],DATE(2026,1,23),tblDaily[WardCode],"MAE")),"")</f>
        <v>4</v>
      </c>
      <c r="C30" s="13">
        <f>IFERROR(IF(SUMIFS(tblDaily[Discharges],tblDaily[EntryDate],DATE(2026,1,23),tblDaily[WardCode],"MAE")=0,"",SUMIFS(tblDaily[Discharges],tblDaily[EntryDate],DATE(2026,1,23),tblDaily[WardCode],"MAE")),"")</f>
        <v>1</v>
      </c>
      <c r="D30" s="13">
        <f>IFERROR(IF(SUMIFS(tblDaily[Deaths],tblDaily[EntryDate],DATE(2026,1,23),tblDaily[WardCode],"MAE")=0,"",SUMIFS(tblDaily[Deaths],tblDaily[EntryDate],DATE(2026,1,23),tblDaily[WardCode],"MAE")),"")</f>
        <v>1</v>
      </c>
      <c r="E30" s="13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3" t="str">
        <f>IFERROR(IF(SUMIFS(tblDaily[TransfersIn],tblDaily[EntryDate],DATE(2026,1,23),tblDaily[WardCode],"MAE")=0,"",SUMIFS(tblDaily[TransfersIn],tblDaily[EntryDate],DATE(2026,1,23),tblDaily[WardCode],"MAE")),"")</f>
        <v/>
      </c>
      <c r="G30" s="13">
        <f>IFERROR(IF(SUMIFS(tblDaily[TransfersOut],tblDaily[EntryDate],DATE(2026,1,23),tblDaily[WardCode],"MAE")=0,"",SUMIFS(tblDaily[TransfersOut],tblDaily[EntryDate],DATE(2026,1,23),tblDaily[WardCode],"MAE")),"")</f>
        <v>2</v>
      </c>
      <c r="H30" s="13">
        <f>IFERROR(IF(SUMIFS(tblDaily[Remaining],tblDaily[EntryDate],DATE(2026,1,23),tblDaily[WardCode],"MAE")=0,"",SUMIFS(tblDaily[Remaining],tblDaily[EntryDate],DATE(2026,1,23),tblDaily[WardCode],"MAE")),"")</f>
        <v>6</v>
      </c>
      <c r="I30" s="13">
        <f>IFERROR(IF(SUMIFS(tblDaily[Admissions],tblDaily[EntryDate],DATE(2026,1,23),tblDaily[WardCode],"FAE")=0,"",SUMIFS(tblDaily[Admissions],tblDaily[EntryDate],DATE(2026,1,23),tblDaily[WardCode],"FAE")),"")</f>
        <v>1</v>
      </c>
      <c r="J30" s="13">
        <f>IFERROR(IF(SUMIFS(tblDaily[Discharges],tblDaily[EntryDate],DATE(2026,1,23),tblDaily[WardCode],"FAE")=0,"",SUMIFS(tblDaily[Discharges],tblDaily[EntryDate],DATE(2026,1,23),tblDaily[WardCode],"FAE")),"")</f>
        <v>2</v>
      </c>
      <c r="K30" s="13" t="str">
        <f>IFERROR(IF(SUMIFS(tblDaily[Deaths],tblDaily[EntryDate],DATE(2026,1,23),tblDaily[WardCode],"FAE")=0,"",SUMIFS(tblDaily[Deaths],tblDaily[EntryDate],DATE(2026,1,23),tblDaily[WardCode],"FAE")),"")</f>
        <v/>
      </c>
      <c r="L30" s="13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3" t="str">
        <f>IFERROR(IF(SUMIFS(tblDaily[TransfersIn],tblDaily[EntryDate],DATE(2026,1,23),tblDaily[WardCode],"FAE")=0,"",SUMIFS(tblDaily[TransfersIn],tblDaily[EntryDate],DATE(2026,1,23),tblDaily[WardCode],"FAE")),"")</f>
        <v/>
      </c>
      <c r="N30" s="13" t="str">
        <f>IFERROR(IF(SUMIFS(tblDaily[TransfersOut],tblDaily[EntryDate],DATE(2026,1,23),tblDaily[WardCode],"FAE")=0,"",SUMIFS(tblDaily[TransfersOut],tblDaily[EntryDate],DATE(2026,1,23),tblDaily[WardCode],"FAE")),"")</f>
        <v/>
      </c>
      <c r="O30" s="13">
        <f>IFERROR(IF(SUMIFS(tblDaily[Remaining],tblDaily[EntryDate],DATE(2026,1,23),tblDaily[WardCode],"FAE")=0,"",SUMIFS(tblDaily[Remaining],tblDaily[EntryDate],DATE(2026,1,23),tblDaily[WardCode],"FAE")),"")</f>
        <v>2</v>
      </c>
    </row>
    <row r="31" spans="1:15" x14ac:dyDescent="0.25">
      <c r="A31" s="13">
        <v>24</v>
      </c>
      <c r="B31" s="13">
        <f>IFERROR(IF(SUMIFS(tblDaily[Admissions],tblDaily[EntryDate],DATE(2026,1,24),tblDaily[WardCode],"MAE")=0,"",SUMIFS(tblDaily[Admissions],tblDaily[EntryDate],DATE(2026,1,24),tblDaily[WardCode],"MAE")),"")</f>
        <v>3</v>
      </c>
      <c r="C31" s="13" t="str">
        <f>IFERROR(IF(SUMIFS(tblDaily[Discharges],tblDaily[EntryDate],DATE(2026,1,24),tblDaily[WardCode],"MAE")=0,"",SUMIFS(tblDaily[Discharges],tblDaily[EntryDate],DATE(2026,1,24),tblDaily[WardCode],"MAE")),"")</f>
        <v/>
      </c>
      <c r="D31" s="13">
        <f>IFERROR(IF(SUMIFS(tblDaily[Deaths],tblDaily[EntryDate],DATE(2026,1,24),tblDaily[WardCode],"MAE")=0,"",SUMIFS(tblDaily[Deaths],tblDaily[EntryDate],DATE(2026,1,24),tblDaily[WardCode],"MAE")),"")</f>
        <v>1</v>
      </c>
      <c r="E31" s="13">
        <f>IFERROR(IF(SUMIFS(tblDaily[DeathsUnder24Hrs],tblDaily[EntryDate],DATE(2026,1,24),tblDaily[WardCode],"MAE")=0,"",SUMIFS(tblDaily[DeathsUnder24Hrs],tblDaily[EntryDate],DATE(2026,1,24),tblDaily[WardCode],"MAE")),"")</f>
        <v>1</v>
      </c>
      <c r="F31" s="13" t="str">
        <f>IFERROR(IF(SUMIFS(tblDaily[TransfersIn],tblDaily[EntryDate],DATE(2026,1,24),tblDaily[WardCode],"MAE")=0,"",SUMIFS(tblDaily[TransfersIn],tblDaily[EntryDate],DATE(2026,1,24),tblDaily[WardCode],"MAE")),"")</f>
        <v/>
      </c>
      <c r="G31" s="13">
        <f>IFERROR(IF(SUMIFS(tblDaily[TransfersOut],tblDaily[EntryDate],DATE(2026,1,24),tblDaily[WardCode],"MAE")=0,"",SUMIFS(tblDaily[TransfersOut],tblDaily[EntryDate],DATE(2026,1,24),tblDaily[WardCode],"MAE")),"")</f>
        <v>2</v>
      </c>
      <c r="H31" s="13">
        <f>IFERROR(IF(SUMIFS(tblDaily[Remaining],tblDaily[EntryDate],DATE(2026,1,24),tblDaily[WardCode],"MAE")=0,"",SUMIFS(tblDaily[Remaining],tblDaily[EntryDate],DATE(2026,1,24),tblDaily[WardCode],"MAE")),"")</f>
        <v>5</v>
      </c>
      <c r="I31" s="13" t="str">
        <f>IFERROR(IF(SUMIFS(tblDaily[Admissions],tblDaily[EntryDate],DATE(2026,1,24),tblDaily[WardCode],"FAE")=0,"",SUMIFS(tblDaily[Admissions],tblDaily[EntryDate],DATE(2026,1,24),tblDaily[WardCode],"FAE")),"")</f>
        <v/>
      </c>
      <c r="J31" s="13">
        <f>IFERROR(IF(SUMIFS(tblDaily[Discharges],tblDaily[EntryDate],DATE(2026,1,24),tblDaily[WardCode],"FAE")=0,"",SUMIFS(tblDaily[Discharges],tblDaily[EntryDate],DATE(2026,1,24),tblDaily[WardCode],"FAE")),"")</f>
        <v>1</v>
      </c>
      <c r="K31" s="13" t="str">
        <f>IFERROR(IF(SUMIFS(tblDaily[Deaths],tblDaily[EntryDate],DATE(2026,1,24),tblDaily[WardCode],"FAE")=0,"",SUMIFS(tblDaily[Deaths],tblDaily[EntryDate],DATE(2026,1,24),tblDaily[WardCode],"FAE")),"")</f>
        <v/>
      </c>
      <c r="L31" s="13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3" t="str">
        <f>IFERROR(IF(SUMIFS(tblDaily[TransfersIn],tblDaily[EntryDate],DATE(2026,1,24),tblDaily[WardCode],"FAE")=0,"",SUMIFS(tblDaily[TransfersIn],tblDaily[EntryDate],DATE(2026,1,24),tblDaily[WardCode],"FAE")),"")</f>
        <v/>
      </c>
      <c r="N31" s="13">
        <f>IFERROR(IF(SUMIFS(tblDaily[TransfersOut],tblDaily[EntryDate],DATE(2026,1,24),tblDaily[WardCode],"FAE")=0,"",SUMIFS(tblDaily[TransfersOut],tblDaily[EntryDate],DATE(2026,1,24),tblDaily[WardCode],"FAE")),"")</f>
        <v>1</v>
      </c>
      <c r="O31" s="13" t="str">
        <f>IFERROR(IF(SUMIFS(tblDaily[Remaining],tblDaily[EntryDate],DATE(2026,1,24),tblDaily[WardCode],"FAE")=0,"",SUMIFS(tblDaily[Remaining],tblDaily[EntryDate],DATE(2026,1,24),tblDaily[WardCode],"FAE")),"")</f>
        <v/>
      </c>
    </row>
    <row r="32" spans="1:15" x14ac:dyDescent="0.25">
      <c r="A32" s="13">
        <v>25</v>
      </c>
      <c r="B32" s="13" t="str">
        <f>IFERROR(IF(SUMIFS(tblDaily[Admissions],tblDaily[EntryDate],DATE(2026,1,25),tblDaily[WardCode],"MAE")=0,"",SUMIFS(tblDaily[Admissions],tblDaily[EntryDate],DATE(2026,1,25),tblDaily[WardCode],"MAE")),"")</f>
        <v/>
      </c>
      <c r="C32" s="13">
        <f>IFERROR(IF(SUMIFS(tblDaily[Discharges],tblDaily[EntryDate],DATE(2026,1,25),tblDaily[WardCode],"MAE")=0,"",SUMIFS(tblDaily[Discharges],tblDaily[EntryDate],DATE(2026,1,25),tblDaily[WardCode],"MAE")),"")</f>
        <v>1</v>
      </c>
      <c r="D32" s="13" t="str">
        <f>IFERROR(IF(SUMIFS(tblDaily[Deaths],tblDaily[EntryDate],DATE(2026,1,25),tblDaily[WardCode],"MAE")=0,"",SUMIFS(tblDaily[Deaths],tblDaily[EntryDate],DATE(2026,1,25),tblDaily[WardCode],"MAE")),"")</f>
        <v/>
      </c>
      <c r="E32" s="13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3" t="str">
        <f>IFERROR(IF(SUMIFS(tblDaily[TransfersIn],tblDaily[EntryDate],DATE(2026,1,25),tblDaily[WardCode],"MAE")=0,"",SUMIFS(tblDaily[TransfersIn],tblDaily[EntryDate],DATE(2026,1,25),tblDaily[WardCode],"MAE")),"")</f>
        <v/>
      </c>
      <c r="G32" s="13">
        <f>IFERROR(IF(SUMIFS(tblDaily[TransfersOut],tblDaily[EntryDate],DATE(2026,1,25),tblDaily[WardCode],"MAE")=0,"",SUMIFS(tblDaily[TransfersOut],tblDaily[EntryDate],DATE(2026,1,25),tblDaily[WardCode],"MAE")),"")</f>
        <v>2</v>
      </c>
      <c r="H32" s="13">
        <f>IFERROR(IF(SUMIFS(tblDaily[Remaining],tblDaily[EntryDate],DATE(2026,1,25),tblDaily[WardCode],"MAE")=0,"",SUMIFS(tblDaily[Remaining],tblDaily[EntryDate],DATE(2026,1,25),tblDaily[WardCode],"MAE")),"")</f>
        <v>2</v>
      </c>
      <c r="I32" s="13">
        <f>IFERROR(IF(SUMIFS(tblDaily[Admissions],tblDaily[EntryDate],DATE(2026,1,25),tblDaily[WardCode],"FAE")=0,"",SUMIFS(tblDaily[Admissions],tblDaily[EntryDate],DATE(2026,1,25),tblDaily[WardCode],"FAE")),"")</f>
        <v>2</v>
      </c>
      <c r="J32" s="13" t="str">
        <f>IFERROR(IF(SUMIFS(tblDaily[Discharges],tblDaily[EntryDate],DATE(2026,1,25),tblDaily[WardCode],"FAE")=0,"",SUMIFS(tblDaily[Discharges],tblDaily[EntryDate],DATE(2026,1,25),tblDaily[WardCode],"FAE")),"")</f>
        <v/>
      </c>
      <c r="K32" s="13" t="str">
        <f>IFERROR(IF(SUMIFS(tblDaily[Deaths],tblDaily[EntryDate],DATE(2026,1,25),tblDaily[WardCode],"FAE")=0,"",SUMIFS(tblDaily[Deaths],tblDaily[EntryDate],DATE(2026,1,25),tblDaily[WardCode],"FAE")),"")</f>
        <v/>
      </c>
      <c r="L32" s="13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3" t="str">
        <f>IFERROR(IF(SUMIFS(tblDaily[TransfersIn],tblDaily[EntryDate],DATE(2026,1,25),tblDaily[WardCode],"FAE")=0,"",SUMIFS(tblDaily[TransfersIn],tblDaily[EntryDate],DATE(2026,1,25),tblDaily[WardCode],"FAE")),"")</f>
        <v/>
      </c>
      <c r="N32" s="13" t="str">
        <f>IFERROR(IF(SUMIFS(tblDaily[TransfersOut],tblDaily[EntryDate],DATE(2026,1,25),tblDaily[WardCode],"FAE")=0,"",SUMIFS(tblDaily[TransfersOut],tblDaily[EntryDate],DATE(2026,1,25),tblDaily[WardCode],"FAE")),"")</f>
        <v/>
      </c>
      <c r="O32" s="13">
        <f>IFERROR(IF(SUMIFS(tblDaily[Remaining],tblDaily[EntryDate],DATE(2026,1,25),tblDaily[WardCode],"FAE")=0,"",SUMIFS(tblDaily[Remaining],tblDaily[EntryDate],DATE(2026,1,25),tblDaily[WardCode],"FAE")),"")</f>
        <v>2</v>
      </c>
    </row>
    <row r="33" spans="1:15" x14ac:dyDescent="0.25">
      <c r="A33" s="13">
        <v>26</v>
      </c>
      <c r="B33" s="13">
        <f>IFERROR(IF(SUMIFS(tblDaily[Admissions],tblDaily[EntryDate],DATE(2026,1,26),tblDaily[WardCode],"MAE")=0,"",SUMIFS(tblDaily[Admissions],tblDaily[EntryDate],DATE(2026,1,26),tblDaily[WardCode],"MAE")),"")</f>
        <v>5</v>
      </c>
      <c r="C33" s="13">
        <f>IFERROR(IF(SUMIFS(tblDaily[Discharges],tblDaily[EntryDate],DATE(2026,1,26),tblDaily[WardCode],"MAE")=0,"",SUMIFS(tblDaily[Discharges],tblDaily[EntryDate],DATE(2026,1,26),tblDaily[WardCode],"MAE")),"")</f>
        <v>1</v>
      </c>
      <c r="D33" s="13" t="str">
        <f>IFERROR(IF(SUMIFS(tblDaily[Deaths],tblDaily[EntryDate],DATE(2026,1,26),tblDaily[WardCode],"MAE")=0,"",SUMIFS(tblDaily[Deaths],tblDaily[EntryDate],DATE(2026,1,26),tblDaily[WardCode],"MAE")),"")</f>
        <v/>
      </c>
      <c r="E33" s="13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3" t="str">
        <f>IFERROR(IF(SUMIFS(tblDaily[TransfersIn],tblDaily[EntryDate],DATE(2026,1,26),tblDaily[WardCode],"MAE")=0,"",SUMIFS(tblDaily[TransfersIn],tblDaily[EntryDate],DATE(2026,1,26),tblDaily[WardCode],"MAE")),"")</f>
        <v/>
      </c>
      <c r="G33" s="13">
        <f>IFERROR(IF(SUMIFS(tblDaily[TransfersOut],tblDaily[EntryDate],DATE(2026,1,26),tblDaily[WardCode],"MAE")=0,"",SUMIFS(tblDaily[TransfersOut],tblDaily[EntryDate],DATE(2026,1,26),tblDaily[WardCode],"MAE")),"")</f>
        <v>2</v>
      </c>
      <c r="H33" s="13">
        <f>IFERROR(IF(SUMIFS(tblDaily[Remaining],tblDaily[EntryDate],DATE(2026,1,26),tblDaily[WardCode],"MAE")=0,"",SUMIFS(tblDaily[Remaining],tblDaily[EntryDate],DATE(2026,1,26),tblDaily[WardCode],"MAE")),"")</f>
        <v>4</v>
      </c>
      <c r="I33" s="13" t="str">
        <f>IFERROR(IF(SUMIFS(tblDaily[Admissions],tblDaily[EntryDate],DATE(2026,1,26),tblDaily[WardCode],"FAE")=0,"",SUMIFS(tblDaily[Admissions],tblDaily[EntryDate],DATE(2026,1,26),tblDaily[WardCode],"FAE")),"")</f>
        <v/>
      </c>
      <c r="J33" s="13" t="str">
        <f>IFERROR(IF(SUMIFS(tblDaily[Discharges],tblDaily[EntryDate],DATE(2026,1,26),tblDaily[WardCode],"FAE")=0,"",SUMIFS(tblDaily[Discharges],tblDaily[EntryDate],DATE(2026,1,26),tblDaily[WardCode],"FAE")),"")</f>
        <v/>
      </c>
      <c r="K33" s="13" t="str">
        <f>IFERROR(IF(SUMIFS(tblDaily[Deaths],tblDaily[EntryDate],DATE(2026,1,26),tblDaily[WardCode],"FAE")=0,"",SUMIFS(tblDaily[Deaths],tblDaily[EntryDate],DATE(2026,1,26),tblDaily[WardCode],"FAE")),"")</f>
        <v/>
      </c>
      <c r="L33" s="13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3" t="str">
        <f>IFERROR(IF(SUMIFS(tblDaily[TransfersIn],tblDaily[EntryDate],DATE(2026,1,26),tblDaily[WardCode],"FAE")=0,"",SUMIFS(tblDaily[TransfersIn],tblDaily[EntryDate],DATE(2026,1,26),tblDaily[WardCode],"FAE")),"")</f>
        <v/>
      </c>
      <c r="N33" s="13">
        <f>IFERROR(IF(SUMIFS(tblDaily[TransfersOut],tblDaily[EntryDate],DATE(2026,1,26),tblDaily[WardCode],"FAE")=0,"",SUMIFS(tblDaily[TransfersOut],tblDaily[EntryDate],DATE(2026,1,26),tblDaily[WardCode],"FAE")),"")</f>
        <v>1</v>
      </c>
      <c r="O33" s="13">
        <f>IFERROR(IF(SUMIFS(tblDaily[Remaining],tblDaily[EntryDate],DATE(2026,1,26),tblDaily[WardCode],"FAE")=0,"",SUMIFS(tblDaily[Remaining],tblDaily[EntryDate],DATE(2026,1,26),tblDaily[WardCode],"FAE")),"")</f>
        <v>1</v>
      </c>
    </row>
    <row r="34" spans="1:15" x14ac:dyDescent="0.25">
      <c r="A34" s="13">
        <v>27</v>
      </c>
      <c r="B34" s="13">
        <f>IFERROR(IF(SUMIFS(tblDaily[Admissions],tblDaily[EntryDate],DATE(2026,1,27),tblDaily[WardCode],"MAE")=0,"",SUMIFS(tblDaily[Admissions],tblDaily[EntryDate],DATE(2026,1,27),tblDaily[WardCode],"MAE")),"")</f>
        <v>5</v>
      </c>
      <c r="C34" s="13" t="str">
        <f>IFERROR(IF(SUMIFS(tblDaily[Discharges],tblDaily[EntryDate],DATE(2026,1,27),tblDaily[WardCode],"MAE")=0,"",SUMIFS(tblDaily[Discharges],tblDaily[EntryDate],DATE(2026,1,27),tblDaily[WardCode],"MAE")),"")</f>
        <v/>
      </c>
      <c r="D34" s="13" t="str">
        <f>IFERROR(IF(SUMIFS(tblDaily[Deaths],tblDaily[EntryDate],DATE(2026,1,27),tblDaily[WardCode],"MAE")=0,"",SUMIFS(tblDaily[Deaths],tblDaily[EntryDate],DATE(2026,1,27),tblDaily[WardCode],"MAE")),"")</f>
        <v/>
      </c>
      <c r="E34" s="13">
        <f>IFERROR(IF(SUMIFS(tblDaily[DeathsUnder24Hrs],tblDaily[EntryDate],DATE(2026,1,27),tblDaily[WardCode],"MAE")=0,"",SUMIFS(tblDaily[DeathsUnder24Hrs],tblDaily[EntryDate],DATE(2026,1,27),tblDaily[WardCode],"MAE")),"")</f>
        <v>1</v>
      </c>
      <c r="F34" s="13" t="str">
        <f>IFERROR(IF(SUMIFS(tblDaily[TransfersIn],tblDaily[EntryDate],DATE(2026,1,27),tblDaily[WardCode],"MAE")=0,"",SUMIFS(tblDaily[TransfersIn],tblDaily[EntryDate],DATE(2026,1,27),tblDaily[WardCode],"MAE")),"")</f>
        <v/>
      </c>
      <c r="G34" s="13">
        <f>IFERROR(IF(SUMIFS(tblDaily[TransfersOut],tblDaily[EntryDate],DATE(2026,1,27),tblDaily[WardCode],"MAE")=0,"",SUMIFS(tblDaily[TransfersOut],tblDaily[EntryDate],DATE(2026,1,27),tblDaily[WardCode],"MAE")),"")</f>
        <v>2</v>
      </c>
      <c r="H34" s="13">
        <f>IFERROR(IF(SUMIFS(tblDaily[Remaining],tblDaily[EntryDate],DATE(2026,1,27),tblDaily[WardCode],"MAE")=0,"",SUMIFS(tblDaily[Remaining],tblDaily[EntryDate],DATE(2026,1,27),tblDaily[WardCode],"MAE")),"")</f>
        <v>6</v>
      </c>
      <c r="I34" s="13">
        <f>IFERROR(IF(SUMIFS(tblDaily[Admissions],tblDaily[EntryDate],DATE(2026,1,27),tblDaily[WardCode],"FAE")=0,"",SUMIFS(tblDaily[Admissions],tblDaily[EntryDate],DATE(2026,1,27),tblDaily[WardCode],"FAE")),"")</f>
        <v>1</v>
      </c>
      <c r="J34" s="13">
        <f>IFERROR(IF(SUMIFS(tblDaily[Discharges],tblDaily[EntryDate],DATE(2026,1,27),tblDaily[WardCode],"FAE")=0,"",SUMIFS(tblDaily[Discharges],tblDaily[EntryDate],DATE(2026,1,27),tblDaily[WardCode],"FAE")),"")</f>
        <v>1</v>
      </c>
      <c r="K34" s="13" t="str">
        <f>IFERROR(IF(SUMIFS(tblDaily[Deaths],tblDaily[EntryDate],DATE(2026,1,27),tblDaily[WardCode],"FAE")=0,"",SUMIFS(tblDaily[Deaths],tblDaily[EntryDate],DATE(2026,1,27),tblDaily[WardCode],"FAE")),"")</f>
        <v/>
      </c>
      <c r="L34" s="13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3" t="str">
        <f>IFERROR(IF(SUMIFS(tblDaily[TransfersIn],tblDaily[EntryDate],DATE(2026,1,27),tblDaily[WardCode],"FAE")=0,"",SUMIFS(tblDaily[TransfersIn],tblDaily[EntryDate],DATE(2026,1,27),tblDaily[WardCode],"FAE")),"")</f>
        <v/>
      </c>
      <c r="N34" s="13">
        <f>IFERROR(IF(SUMIFS(tblDaily[TransfersOut],tblDaily[EntryDate],DATE(2026,1,27),tblDaily[WardCode],"FAE")=0,"",SUMIFS(tblDaily[TransfersOut],tblDaily[EntryDate],DATE(2026,1,27),tblDaily[WardCode],"FAE")),"")</f>
        <v>1</v>
      </c>
      <c r="O34" s="13" t="str">
        <f>IFERROR(IF(SUMIFS(tblDaily[Remaining],tblDaily[EntryDate],DATE(2026,1,27),tblDaily[WardCode],"FAE")=0,"",SUMIFS(tblDaily[Remaining],tblDaily[EntryDate],DATE(2026,1,27),tblDaily[WardCode],"FAE")),"")</f>
        <v/>
      </c>
    </row>
    <row r="35" spans="1:15" x14ac:dyDescent="0.25">
      <c r="A35" s="13">
        <v>28</v>
      </c>
      <c r="B35" s="13">
        <f>IFERROR(IF(SUMIFS(tblDaily[Admissions],tblDaily[EntryDate],DATE(2026,1,28),tblDaily[WardCode],"MAE")=0,"",SUMIFS(tblDaily[Admissions],tblDaily[EntryDate],DATE(2026,1,28),tblDaily[WardCode],"MAE")),"")</f>
        <v>2</v>
      </c>
      <c r="C35" s="13">
        <f>IFERROR(IF(SUMIFS(tblDaily[Discharges],tblDaily[EntryDate],DATE(2026,1,28),tblDaily[WardCode],"MAE")=0,"",SUMIFS(tblDaily[Discharges],tblDaily[EntryDate],DATE(2026,1,28),tblDaily[WardCode],"MAE")),"")</f>
        <v>3</v>
      </c>
      <c r="D35" s="13" t="str">
        <f>IFERROR(IF(SUMIFS(tblDaily[Deaths],tblDaily[EntryDate],DATE(2026,1,28),tblDaily[WardCode],"MAE")=0,"",SUMIFS(tblDaily[Deaths],tblDaily[EntryDate],DATE(2026,1,28),tblDaily[WardCode],"MAE")),"")</f>
        <v/>
      </c>
      <c r="E35" s="13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3" t="str">
        <f>IFERROR(IF(SUMIFS(tblDaily[TransfersIn],tblDaily[EntryDate],DATE(2026,1,28),tblDaily[WardCode],"MAE")=0,"",SUMIFS(tblDaily[TransfersIn],tblDaily[EntryDate],DATE(2026,1,28),tblDaily[WardCode],"MAE")),"")</f>
        <v/>
      </c>
      <c r="G35" s="13">
        <f>IFERROR(IF(SUMIFS(tblDaily[TransfersOut],tblDaily[EntryDate],DATE(2026,1,28),tblDaily[WardCode],"MAE")=0,"",SUMIFS(tblDaily[TransfersOut],tblDaily[EntryDate],DATE(2026,1,28),tblDaily[WardCode],"MAE")),"")</f>
        <v>2</v>
      </c>
      <c r="H35" s="13">
        <f>IFERROR(IF(SUMIFS(tblDaily[Remaining],tblDaily[EntryDate],DATE(2026,1,28),tblDaily[WardCode],"MAE")=0,"",SUMIFS(tblDaily[Remaining],tblDaily[EntryDate],DATE(2026,1,28),tblDaily[WardCode],"MAE")),"")</f>
        <v>3</v>
      </c>
      <c r="I35" s="13">
        <f>IFERROR(IF(SUMIFS(tblDaily[Admissions],tblDaily[EntryDate],DATE(2026,1,28),tblDaily[WardCode],"FAE")=0,"",SUMIFS(tblDaily[Admissions],tblDaily[EntryDate],DATE(2026,1,28),tblDaily[WardCode],"FAE")),"")</f>
        <v>4</v>
      </c>
      <c r="J35" s="13" t="str">
        <f>IFERROR(IF(SUMIFS(tblDaily[Discharges],tblDaily[EntryDate],DATE(2026,1,28),tblDaily[WardCode],"FAE")=0,"",SUMIFS(tblDaily[Discharges],tblDaily[EntryDate],DATE(2026,1,28),tblDaily[WardCode],"FAE")),"")</f>
        <v/>
      </c>
      <c r="K35" s="13" t="str">
        <f>IFERROR(IF(SUMIFS(tblDaily[Deaths],tblDaily[EntryDate],DATE(2026,1,28),tblDaily[WardCode],"FAE")=0,"",SUMIFS(tblDaily[Deaths],tblDaily[EntryDate],DATE(2026,1,28),tblDaily[WardCode],"FAE")),"")</f>
        <v/>
      </c>
      <c r="L35" s="13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3" t="str">
        <f>IFERROR(IF(SUMIFS(tblDaily[TransfersIn],tblDaily[EntryDate],DATE(2026,1,28),tblDaily[WardCode],"FAE")=0,"",SUMIFS(tblDaily[TransfersIn],tblDaily[EntryDate],DATE(2026,1,28),tblDaily[WardCode],"FAE")),"")</f>
        <v/>
      </c>
      <c r="N35" s="13">
        <f>IFERROR(IF(SUMIFS(tblDaily[TransfersOut],tblDaily[EntryDate],DATE(2026,1,28),tblDaily[WardCode],"FAE")=0,"",SUMIFS(tblDaily[TransfersOut],tblDaily[EntryDate],DATE(2026,1,28),tblDaily[WardCode],"FAE")),"")</f>
        <v>1</v>
      </c>
      <c r="O35" s="13">
        <f>IFERROR(IF(SUMIFS(tblDaily[Remaining],tblDaily[EntryDate],DATE(2026,1,28),tblDaily[WardCode],"FAE")=0,"",SUMIFS(tblDaily[Remaining],tblDaily[EntryDate],DATE(2026,1,28),tblDaily[WardCode],"FAE")),"")</f>
        <v>3</v>
      </c>
    </row>
    <row r="36" spans="1:15" x14ac:dyDescent="0.25">
      <c r="A36" s="13">
        <v>29</v>
      </c>
      <c r="B36" s="13">
        <f>IFERROR(IF(SUMIFS(tblDaily[Admissions],tblDaily[EntryDate],DATE(2026,1,29),tblDaily[WardCode],"MAE")=0,"",SUMIFS(tblDaily[Admissions],tblDaily[EntryDate],DATE(2026,1,29),tblDaily[WardCode],"MAE")),"")</f>
        <v>1</v>
      </c>
      <c r="C36" s="13" t="str">
        <f>IFERROR(IF(SUMIFS(tblDaily[Discharges],tblDaily[EntryDate],DATE(2026,1,29),tblDaily[WardCode],"MAE")=0,"",SUMIFS(tblDaily[Discharges],tblDaily[EntryDate],DATE(2026,1,29),tblDaily[WardCode],"MAE")),"")</f>
        <v/>
      </c>
      <c r="D36" s="13" t="str">
        <f>IFERROR(IF(SUMIFS(tblDaily[Deaths],tblDaily[EntryDate],DATE(2026,1,29),tblDaily[WardCode],"MAE")=0,"",SUMIFS(tblDaily[Deaths],tblDaily[EntryDate],DATE(2026,1,29),tblDaily[WardCode],"MAE")),"")</f>
        <v/>
      </c>
      <c r="E36" s="13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3" t="str">
        <f>IFERROR(IF(SUMIFS(tblDaily[TransfersIn],tblDaily[EntryDate],DATE(2026,1,29),tblDaily[WardCode],"MAE")=0,"",SUMIFS(tblDaily[TransfersIn],tblDaily[EntryDate],DATE(2026,1,29),tblDaily[WardCode],"MAE")),"")</f>
        <v/>
      </c>
      <c r="G36" s="13" t="str">
        <f>IFERROR(IF(SUMIFS(tblDaily[TransfersOut],tblDaily[EntryDate],DATE(2026,1,29),tblDaily[WardCode],"MAE")=0,"",SUMIFS(tblDaily[TransfersOut],tblDaily[EntryDate],DATE(2026,1,29),tblDaily[WardCode],"MAE")),"")</f>
        <v/>
      </c>
      <c r="H36" s="13">
        <f>IFERROR(IF(SUMIFS(tblDaily[Remaining],tblDaily[EntryDate],DATE(2026,1,29),tblDaily[WardCode],"MAE")=0,"",SUMIFS(tblDaily[Remaining],tblDaily[EntryDate],DATE(2026,1,29),tblDaily[WardCode],"MAE")),"")</f>
        <v>4</v>
      </c>
      <c r="I36" s="13">
        <f>IFERROR(IF(SUMIFS(tblDaily[Admissions],tblDaily[EntryDate],DATE(2026,1,29),tblDaily[WardCode],"FAE")=0,"",SUMIFS(tblDaily[Admissions],tblDaily[EntryDate],DATE(2026,1,29),tblDaily[WardCode],"FAE")),"")</f>
        <v>2</v>
      </c>
      <c r="J36" s="13" t="str">
        <f>IFERROR(IF(SUMIFS(tblDaily[Discharges],tblDaily[EntryDate],DATE(2026,1,29),tblDaily[WardCode],"FAE")=0,"",SUMIFS(tblDaily[Discharges],tblDaily[EntryDate],DATE(2026,1,29),tblDaily[WardCode],"FAE")),"")</f>
        <v/>
      </c>
      <c r="K36" s="13" t="str">
        <f>IFERROR(IF(SUMIFS(tblDaily[Deaths],tblDaily[EntryDate],DATE(2026,1,29),tblDaily[WardCode],"FAE")=0,"",SUMIFS(tblDaily[Deaths],tblDaily[EntryDate],DATE(2026,1,29),tblDaily[WardCode],"FAE")),"")</f>
        <v/>
      </c>
      <c r="L36" s="13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3" t="str">
        <f>IFERROR(IF(SUMIFS(tblDaily[TransfersIn],tblDaily[EntryDate],DATE(2026,1,29),tblDaily[WardCode],"FAE")=0,"",SUMIFS(tblDaily[TransfersIn],tblDaily[EntryDate],DATE(2026,1,29),tblDaily[WardCode],"FAE")),"")</f>
        <v/>
      </c>
      <c r="N36" s="13">
        <f>IFERROR(IF(SUMIFS(tblDaily[TransfersOut],tblDaily[EntryDate],DATE(2026,1,29),tblDaily[WardCode],"FAE")=0,"",SUMIFS(tblDaily[TransfersOut],tblDaily[EntryDate],DATE(2026,1,29),tblDaily[WardCode],"FAE")),"")</f>
        <v>2</v>
      </c>
      <c r="O36" s="13">
        <f>IFERROR(IF(SUMIFS(tblDaily[Remaining],tblDaily[EntryDate],DATE(2026,1,29),tblDaily[WardCode],"FAE")=0,"",SUMIFS(tblDaily[Remaining],tblDaily[EntryDate],DATE(2026,1,29),tblDaily[WardCode],"FAE")),"")</f>
        <v>3</v>
      </c>
    </row>
    <row r="37" spans="1:15" x14ac:dyDescent="0.25">
      <c r="A37" s="13">
        <v>30</v>
      </c>
      <c r="B37" s="13">
        <f>IFERROR(IF(SUMIFS(tblDaily[Admissions],tblDaily[EntryDate],DATE(2026,1,30),tblDaily[WardCode],"MAE")=0,"",SUMIFS(tblDaily[Admissions],tblDaily[EntryDate],DATE(2026,1,30),tblDaily[WardCode],"MAE")),"")</f>
        <v>3</v>
      </c>
      <c r="C37" s="13">
        <f>IFERROR(IF(SUMIFS(tblDaily[Discharges],tblDaily[EntryDate],DATE(2026,1,30),tblDaily[WardCode],"MAE")=0,"",SUMIFS(tblDaily[Discharges],tblDaily[EntryDate],DATE(2026,1,30),tblDaily[WardCode],"MAE")),"")</f>
        <v>1</v>
      </c>
      <c r="D37" s="13">
        <f>IFERROR(IF(SUMIFS(tblDaily[Deaths],tblDaily[EntryDate],DATE(2026,1,30),tblDaily[WardCode],"MAE")=0,"",SUMIFS(tblDaily[Deaths],tblDaily[EntryDate],DATE(2026,1,30),tblDaily[WardCode],"MAE")),"")</f>
        <v>2</v>
      </c>
      <c r="E37" s="13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3" t="str">
        <f>IFERROR(IF(SUMIFS(tblDaily[TransfersIn],tblDaily[EntryDate],DATE(2026,1,30),tblDaily[WardCode],"MAE")=0,"",SUMIFS(tblDaily[TransfersIn],tblDaily[EntryDate],DATE(2026,1,30),tblDaily[WardCode],"MAE")),"")</f>
        <v/>
      </c>
      <c r="G37" s="13">
        <f>IFERROR(IF(SUMIFS(tblDaily[TransfersOut],tblDaily[EntryDate],DATE(2026,1,30),tblDaily[WardCode],"MAE")=0,"",SUMIFS(tblDaily[TransfersOut],tblDaily[EntryDate],DATE(2026,1,30),tblDaily[WardCode],"MAE")),"")</f>
        <v>1</v>
      </c>
      <c r="H37" s="13">
        <f>IFERROR(IF(SUMIFS(tblDaily[Remaining],tblDaily[EntryDate],DATE(2026,1,30),tblDaily[WardCode],"MAE")=0,"",SUMIFS(tblDaily[Remaining],tblDaily[EntryDate],DATE(2026,1,30),tblDaily[WardCode],"MAE")),"")</f>
        <v>3</v>
      </c>
      <c r="I37" s="13">
        <f>IFERROR(IF(SUMIFS(tblDaily[Admissions],tblDaily[EntryDate],DATE(2026,1,30),tblDaily[WardCode],"FAE")=0,"",SUMIFS(tblDaily[Admissions],tblDaily[EntryDate],DATE(2026,1,30),tblDaily[WardCode],"FAE")),"")</f>
        <v>5</v>
      </c>
      <c r="J37" s="13" t="str">
        <f>IFERROR(IF(SUMIFS(tblDaily[Discharges],tblDaily[EntryDate],DATE(2026,1,30),tblDaily[WardCode],"FAE")=0,"",SUMIFS(tblDaily[Discharges],tblDaily[EntryDate],DATE(2026,1,30),tblDaily[WardCode],"FAE")),"")</f>
        <v/>
      </c>
      <c r="K37" s="13" t="str">
        <f>IFERROR(IF(SUMIFS(tblDaily[Deaths],tblDaily[EntryDate],DATE(2026,1,30),tblDaily[WardCode],"FAE")=0,"",SUMIFS(tblDaily[Deaths],tblDaily[EntryDate],DATE(2026,1,30),tblDaily[WardCode],"FAE")),"")</f>
        <v/>
      </c>
      <c r="L37" s="13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3" t="str">
        <f>IFERROR(IF(SUMIFS(tblDaily[TransfersIn],tblDaily[EntryDate],DATE(2026,1,30),tblDaily[WardCode],"FAE")=0,"",SUMIFS(tblDaily[TransfersIn],tblDaily[EntryDate],DATE(2026,1,30),tblDaily[WardCode],"FAE")),"")</f>
        <v/>
      </c>
      <c r="N37" s="13">
        <f>IFERROR(IF(SUMIFS(tblDaily[TransfersOut],tblDaily[EntryDate],DATE(2026,1,30),tblDaily[WardCode],"FAE")=0,"",SUMIFS(tblDaily[TransfersOut],tblDaily[EntryDate],DATE(2026,1,30),tblDaily[WardCode],"FAE")),"")</f>
        <v>2</v>
      </c>
      <c r="O37" s="13">
        <f>IFERROR(IF(SUMIFS(tblDaily[Remaining],tblDaily[EntryDate],DATE(2026,1,30),tblDaily[WardCode],"FAE")=0,"",SUMIFS(tblDaily[Remaining],tblDaily[EntryDate],DATE(2026,1,30),tblDaily[WardCode],"FAE")),"")</f>
        <v>6</v>
      </c>
    </row>
    <row r="38" spans="1:15" x14ac:dyDescent="0.25">
      <c r="A38" s="13">
        <v>31</v>
      </c>
      <c r="B38" s="13">
        <f>IFERROR(IF(SUMIFS(tblDaily[Admissions],tblDaily[EntryDate],DATE(2026,1,31),tblDaily[WardCode],"MAE")=0,"",SUMIFS(tblDaily[Admissions],tblDaily[EntryDate],DATE(2026,1,31),tblDaily[WardCode],"MAE")),"")</f>
        <v>1</v>
      </c>
      <c r="C38" s="13" t="str">
        <f>IFERROR(IF(SUMIFS(tblDaily[Discharges],tblDaily[EntryDate],DATE(2026,1,31),tblDaily[WardCode],"MAE")=0,"",SUMIFS(tblDaily[Discharges],tblDaily[EntryDate],DATE(2026,1,31),tblDaily[WardCode],"MAE")),"")</f>
        <v/>
      </c>
      <c r="D38" s="13" t="str">
        <f>IFERROR(IF(SUMIFS(tblDaily[Deaths],tblDaily[EntryDate],DATE(2026,1,31),tblDaily[WardCode],"MAE")=0,"",SUMIFS(tblDaily[Deaths],tblDaily[EntryDate],DATE(2026,1,31),tblDaily[WardCode],"MAE")),"")</f>
        <v/>
      </c>
      <c r="E38" s="13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3" t="str">
        <f>IFERROR(IF(SUMIFS(tblDaily[TransfersIn],tblDaily[EntryDate],DATE(2026,1,31),tblDaily[WardCode],"MAE")=0,"",SUMIFS(tblDaily[TransfersIn],tblDaily[EntryDate],DATE(2026,1,31),tblDaily[WardCode],"MAE")),"")</f>
        <v/>
      </c>
      <c r="G38" s="13">
        <f>IFERROR(IF(SUMIFS(tblDaily[TransfersOut],tblDaily[EntryDate],DATE(2026,1,31),tblDaily[WardCode],"MAE")=0,"",SUMIFS(tblDaily[TransfersOut],tblDaily[EntryDate],DATE(2026,1,31),tblDaily[WardCode],"MAE")),"")</f>
        <v>3</v>
      </c>
      <c r="H38" s="13">
        <f>IFERROR(IF(SUMIFS(tblDaily[Remaining],tblDaily[EntryDate],DATE(2026,1,31),tblDaily[WardCode],"MAE")=0,"",SUMIFS(tblDaily[Remaining],tblDaily[EntryDate],DATE(2026,1,31),tblDaily[WardCode],"MAE")),"")</f>
        <v>1</v>
      </c>
      <c r="I38" s="13">
        <f>IFERROR(IF(SUMIFS(tblDaily[Admissions],tblDaily[EntryDate],DATE(2026,1,31),tblDaily[WardCode],"FAE")=0,"",SUMIFS(tblDaily[Admissions],tblDaily[EntryDate],DATE(2026,1,31),tblDaily[WardCode],"FAE")),"")</f>
        <v>1</v>
      </c>
      <c r="J38" s="13">
        <f>IFERROR(IF(SUMIFS(tblDaily[Discharges],tblDaily[EntryDate],DATE(2026,1,31),tblDaily[WardCode],"FAE")=0,"",SUMIFS(tblDaily[Discharges],tblDaily[EntryDate],DATE(2026,1,31),tblDaily[WardCode],"FAE")),"")</f>
        <v>1</v>
      </c>
      <c r="K38" s="13" t="str">
        <f>IFERROR(IF(SUMIFS(tblDaily[Deaths],tblDaily[EntryDate],DATE(2026,1,31),tblDaily[WardCode],"FAE")=0,"",SUMIFS(tblDaily[Deaths],tblDaily[EntryDate],DATE(2026,1,31),tblDaily[WardCode],"FAE")),"")</f>
        <v/>
      </c>
      <c r="L38" s="13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3" t="str">
        <f>IFERROR(IF(SUMIFS(tblDaily[TransfersIn],tblDaily[EntryDate],DATE(2026,1,31),tblDaily[WardCode],"FAE")=0,"",SUMIFS(tblDaily[TransfersIn],tblDaily[EntryDate],DATE(2026,1,31),tblDaily[WardCode],"FAE")),"")</f>
        <v/>
      </c>
      <c r="N38" s="13">
        <f>IFERROR(IF(SUMIFS(tblDaily[TransfersOut],tblDaily[EntryDate],DATE(2026,1,31),tblDaily[WardCode],"FAE")=0,"",SUMIFS(tblDaily[TransfersOut],tblDaily[EntryDate],DATE(2026,1,31),tblDaily[WardCode],"FAE")),"")</f>
        <v>2</v>
      </c>
      <c r="O38" s="13">
        <f>IFERROR(IF(SUMIFS(tblDaily[Remaining],tblDaily[EntryDate],DATE(2026,1,31),tblDaily[WardCode],"FAE")=0,"",SUMIFS(tblDaily[Remaining],tblDaily[EntryDate],DATE(2026,1,31),tblDaily[WardCode],"FAE")),"")</f>
        <v>4</v>
      </c>
    </row>
    <row r="39" spans="1:15" x14ac:dyDescent="0.25">
      <c r="A39" s="9" t="s">
        <v>110</v>
      </c>
      <c r="B39" s="9">
        <f>SUMIFS(tblDaily[Admissions],tblDaily[Month],1,tblDaily[WardCode],"MAE") - SUMIFS(tblDaily[DeathsUnder24Hrs],tblDaily[Month],1,tblDaily[WardCode],"MAE")</f>
        <v>86</v>
      </c>
      <c r="C39" s="9">
        <f>SUMIFS(tblDaily[Discharges],tblDaily[Month],1,tblDaily[WardCode],"MAE")</f>
        <v>43</v>
      </c>
      <c r="D39" s="9">
        <f>SUMIFS(tblDaily[Deaths],tblDaily[Month],1,tblDaily[WardCode],"MAE")</f>
        <v>4</v>
      </c>
      <c r="E39" s="9">
        <f>SUMIFS(tblDaily[DeathsUnder24Hrs],tblDaily[Month],1,tblDaily[WardCode],"MAE")</f>
        <v>5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47</v>
      </c>
      <c r="H39" s="9">
        <f>SUMIFS(tblDaily[Remaining],tblDaily[Month],1,tblDaily[WardCode],"MAE")</f>
        <v>148</v>
      </c>
      <c r="I39" s="9">
        <f>SUMIFS(tblDaily[Admissions],tblDaily[Month],1,tblDaily[WardCode],"FAE") - SUMIFS(tblDaily[DeathsUnder24Hrs],tblDaily[Month],1,tblDaily[WardCode],"FAE")</f>
        <v>46</v>
      </c>
      <c r="J39" s="9">
        <f>SUMIFS(tblDaily[Discharges],tblDaily[Month],1,tblDaily[WardCode],"FAE")</f>
        <v>13</v>
      </c>
      <c r="K39" s="9">
        <f>SUMIFS(tblDaily[Deaths],tblDaily[Month],1,tblDaily[WardCode],"FAE")</f>
        <v>0</v>
      </c>
      <c r="L39" s="9">
        <f>SUMIFS(tblDaily[DeathsUnder24Hrs],tblDaily[Month],1,tblDaily[WardCode],"FAE")</f>
        <v>1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30</v>
      </c>
      <c r="O39" s="9">
        <f>SUMIFS(tblDaily[Remaining],tblDaily[Month],1,tblDaily[WardCode],"FAE")</f>
        <v>55</v>
      </c>
    </row>
    <row r="41" spans="1:15" ht="18.75" x14ac:dyDescent="0.25">
      <c r="A41" s="36" t="s">
        <v>0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</row>
    <row r="42" spans="1:15" ht="15.75" x14ac:dyDescent="0.25">
      <c r="A42" s="34" t="s">
        <v>99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</row>
    <row r="43" spans="1:15" x14ac:dyDescent="0.25">
      <c r="A43" s="1" t="s">
        <v>4</v>
      </c>
      <c r="B43" s="2" t="s">
        <v>2</v>
      </c>
      <c r="E43" s="1" t="s">
        <v>100</v>
      </c>
      <c r="F43" s="1" t="s">
        <v>119</v>
      </c>
      <c r="M43" s="1" t="s">
        <v>102</v>
      </c>
      <c r="N43" s="1" t="s">
        <v>59</v>
      </c>
    </row>
    <row r="44" spans="1:15" x14ac:dyDescent="0.25">
      <c r="A44" s="1" t="s">
        <v>103</v>
      </c>
      <c r="B44" s="11">
        <f>IFERROR(SUMIFS(tblDaily[Remaining],tblDaily[EntryDate],DATE(2026,1,31),tblDaily[WardCode],"MAE"),0)</f>
        <v>1</v>
      </c>
      <c r="I44" s="11">
        <f>IFERROR(SUMIFS(tblDaily[Remaining],tblDaily[EntryDate],DATE(2026,1,31),tblDaily[WardCode],"FAE"),0)</f>
        <v>4</v>
      </c>
    </row>
    <row r="45" spans="1:15" x14ac:dyDescent="0.25">
      <c r="A45" s="1" t="s">
        <v>104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5" x14ac:dyDescent="0.25">
      <c r="A46" s="3" t="s">
        <v>120</v>
      </c>
      <c r="B46" s="35" t="s">
        <v>117</v>
      </c>
      <c r="C46" s="26"/>
      <c r="D46" s="26"/>
      <c r="E46" s="26"/>
      <c r="F46" s="26"/>
      <c r="G46" s="26"/>
      <c r="H46" s="26"/>
      <c r="I46" s="37" t="s">
        <v>118</v>
      </c>
      <c r="J46" s="26"/>
      <c r="K46" s="26"/>
      <c r="L46" s="26"/>
      <c r="M46" s="26"/>
      <c r="N46" s="26"/>
      <c r="O46" s="26"/>
    </row>
    <row r="47" spans="1:15" x14ac:dyDescent="0.25">
      <c r="A47" s="3" t="s">
        <v>120</v>
      </c>
      <c r="B47" s="3" t="s">
        <v>121</v>
      </c>
      <c r="C47" s="3" t="s">
        <v>122</v>
      </c>
      <c r="D47" s="3" t="s">
        <v>123</v>
      </c>
      <c r="E47" s="3" t="s">
        <v>124</v>
      </c>
      <c r="F47" s="3" t="s">
        <v>125</v>
      </c>
      <c r="G47" s="3" t="s">
        <v>126</v>
      </c>
      <c r="H47" s="3" t="s">
        <v>127</v>
      </c>
      <c r="I47" s="3" t="s">
        <v>121</v>
      </c>
      <c r="J47" s="3" t="s">
        <v>122</v>
      </c>
      <c r="K47" s="3" t="s">
        <v>123</v>
      </c>
      <c r="L47" s="3" t="s">
        <v>124</v>
      </c>
      <c r="M47" s="3" t="s">
        <v>125</v>
      </c>
      <c r="N47" s="3" t="s">
        <v>126</v>
      </c>
      <c r="O47" s="3" t="s">
        <v>127</v>
      </c>
    </row>
    <row r="48" spans="1:15" x14ac:dyDescent="0.25">
      <c r="A48" s="13">
        <v>1</v>
      </c>
      <c r="B48" s="13" t="str">
        <f>IFERROR(IF(SUMIFS(tblDaily[Admissions],tblDaily[EntryDate],DATE(2026,2,1),tblDaily[WardCode],"MAE")=0,"",SUMIFS(tblDaily[Admissions],tblDaily[EntryDate],DATE(2026,2,1),tblDaily[WardCode],"MAE")),"")</f>
        <v/>
      </c>
      <c r="C48" s="13" t="str">
        <f>IFERROR(IF(SUMIFS(tblDaily[Discharges],tblDaily[EntryDate],DATE(2026,2,1),tblDaily[WardCode],"MAE")=0,"",SUMIFS(tblDaily[Discharges],tblDaily[EntryDate],DATE(2026,2,1),tblDaily[WardCode],"MAE")),"")</f>
        <v/>
      </c>
      <c r="D48" s="13" t="str">
        <f>IFERROR(IF(SUMIFS(tblDaily[Deaths],tblDaily[EntryDate],DATE(2026,2,1),tblDaily[WardCode],"MAE")=0,"",SUMIFS(tblDaily[Deaths],tblDaily[EntryDate],DATE(2026,2,1),tblDaily[WardCode],"MAE")),"")</f>
        <v/>
      </c>
      <c r="E48" s="13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3" t="str">
        <f>IFERROR(IF(SUMIFS(tblDaily[TransfersIn],tblDaily[EntryDate],DATE(2026,2,1),tblDaily[WardCode],"MAE")=0,"",SUMIFS(tblDaily[TransfersIn],tblDaily[EntryDate],DATE(2026,2,1),tblDaily[WardCode],"MAE")),"")</f>
        <v/>
      </c>
      <c r="G48" s="13" t="str">
        <f>IFERROR(IF(SUMIFS(tblDaily[TransfersOut],tblDaily[EntryDate],DATE(2026,2,1),tblDaily[WardCode],"MAE")=0,"",SUMIFS(tblDaily[TransfersOut],tblDaily[EntryDate],DATE(2026,2,1),tblDaily[WardCode],"MAE")),"")</f>
        <v/>
      </c>
      <c r="H48" s="13" t="str">
        <f>IFERROR(IF(SUMIFS(tblDaily[Remaining],tblDaily[EntryDate],DATE(2026,2,1),tblDaily[WardCode],"MAE")=0,"",SUMIFS(tblDaily[Remaining],tblDaily[EntryDate],DATE(2026,2,1),tblDaily[WardCode],"MAE")),"")</f>
        <v/>
      </c>
      <c r="I48" s="13" t="str">
        <f>IFERROR(IF(SUMIFS(tblDaily[Admissions],tblDaily[EntryDate],DATE(2026,2,1),tblDaily[WardCode],"FAE")=0,"",SUMIFS(tblDaily[Admissions],tblDaily[EntryDate],DATE(2026,2,1),tblDaily[WardCode],"FAE")),"")</f>
        <v/>
      </c>
      <c r="J48" s="13" t="str">
        <f>IFERROR(IF(SUMIFS(tblDaily[Discharges],tblDaily[EntryDate],DATE(2026,2,1),tblDaily[WardCode],"FAE")=0,"",SUMIFS(tblDaily[Discharges],tblDaily[EntryDate],DATE(2026,2,1),tblDaily[WardCode],"FAE")),"")</f>
        <v/>
      </c>
      <c r="K48" s="13" t="str">
        <f>IFERROR(IF(SUMIFS(tblDaily[Deaths],tblDaily[EntryDate],DATE(2026,2,1),tblDaily[WardCode],"FAE")=0,"",SUMIFS(tblDaily[Deaths],tblDaily[EntryDate],DATE(2026,2,1),tblDaily[WardCode],"FAE")),"")</f>
        <v/>
      </c>
      <c r="L48" s="13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3" t="str">
        <f>IFERROR(IF(SUMIFS(tblDaily[TransfersIn],tblDaily[EntryDate],DATE(2026,2,1),tblDaily[WardCode],"FAE")=0,"",SUMIFS(tblDaily[TransfersIn],tblDaily[EntryDate],DATE(2026,2,1),tblDaily[WardCode],"FAE")),"")</f>
        <v/>
      </c>
      <c r="N48" s="13" t="str">
        <f>IFERROR(IF(SUMIFS(tblDaily[TransfersOut],tblDaily[EntryDate],DATE(2026,2,1),tblDaily[WardCode],"FAE")=0,"",SUMIFS(tblDaily[TransfersOut],tblDaily[EntryDate],DATE(2026,2,1),tblDaily[WardCode],"FAE")),"")</f>
        <v/>
      </c>
      <c r="O48" s="13" t="str">
        <f>IFERROR(IF(SUMIFS(tblDaily[Remaining],tblDaily[EntryDate],DATE(2026,2,1),tblDaily[WardCode],"FAE")=0,"",SUMIFS(tblDaily[Remaining],tblDaily[EntryDate],DATE(2026,2,1),tblDaily[WardCode],"FAE")),"")</f>
        <v/>
      </c>
    </row>
    <row r="49" spans="1:15" x14ac:dyDescent="0.25">
      <c r="A49" s="13">
        <v>2</v>
      </c>
      <c r="B49" s="13" t="str">
        <f>IFERROR(IF(SUMIFS(tblDaily[Admissions],tblDaily[EntryDate],DATE(2026,2,2),tblDaily[WardCode],"MAE")=0,"",SUMIFS(tblDaily[Admissions],tblDaily[EntryDate],DATE(2026,2,2),tblDaily[WardCode],"MAE")),"")</f>
        <v/>
      </c>
      <c r="C49" s="13" t="str">
        <f>IFERROR(IF(SUMIFS(tblDaily[Discharges],tblDaily[EntryDate],DATE(2026,2,2),tblDaily[WardCode],"MAE")=0,"",SUMIFS(tblDaily[Discharges],tblDaily[EntryDate],DATE(2026,2,2),tblDaily[WardCode],"MAE")),"")</f>
        <v/>
      </c>
      <c r="D49" s="13" t="str">
        <f>IFERROR(IF(SUMIFS(tblDaily[Deaths],tblDaily[EntryDate],DATE(2026,2,2),tblDaily[WardCode],"MAE")=0,"",SUMIFS(tblDaily[Deaths],tblDaily[EntryDate],DATE(2026,2,2),tblDaily[WardCode],"MAE")),"")</f>
        <v/>
      </c>
      <c r="E49" s="13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3" t="str">
        <f>IFERROR(IF(SUMIFS(tblDaily[TransfersIn],tblDaily[EntryDate],DATE(2026,2,2),tblDaily[WardCode],"MAE")=0,"",SUMIFS(tblDaily[TransfersIn],tblDaily[EntryDate],DATE(2026,2,2),tblDaily[WardCode],"MAE")),"")</f>
        <v/>
      </c>
      <c r="G49" s="13" t="str">
        <f>IFERROR(IF(SUMIFS(tblDaily[TransfersOut],tblDaily[EntryDate],DATE(2026,2,2),tblDaily[WardCode],"MAE")=0,"",SUMIFS(tblDaily[TransfersOut],tblDaily[EntryDate],DATE(2026,2,2),tblDaily[WardCode],"MAE")),"")</f>
        <v/>
      </c>
      <c r="H49" s="13" t="str">
        <f>IFERROR(IF(SUMIFS(tblDaily[Remaining],tblDaily[EntryDate],DATE(2026,2,2),tblDaily[WardCode],"MAE")=0,"",SUMIFS(tblDaily[Remaining],tblDaily[EntryDate],DATE(2026,2,2),tblDaily[WardCode],"MAE")),"")</f>
        <v/>
      </c>
      <c r="I49" s="13" t="str">
        <f>IFERROR(IF(SUMIFS(tblDaily[Admissions],tblDaily[EntryDate],DATE(2026,2,2),tblDaily[WardCode],"FAE")=0,"",SUMIFS(tblDaily[Admissions],tblDaily[EntryDate],DATE(2026,2,2),tblDaily[WardCode],"FAE")),"")</f>
        <v/>
      </c>
      <c r="J49" s="13" t="str">
        <f>IFERROR(IF(SUMIFS(tblDaily[Discharges],tblDaily[EntryDate],DATE(2026,2,2),tblDaily[WardCode],"FAE")=0,"",SUMIFS(tblDaily[Discharges],tblDaily[EntryDate],DATE(2026,2,2),tblDaily[WardCode],"FAE")),"")</f>
        <v/>
      </c>
      <c r="K49" s="13" t="str">
        <f>IFERROR(IF(SUMIFS(tblDaily[Deaths],tblDaily[EntryDate],DATE(2026,2,2),tblDaily[WardCode],"FAE")=0,"",SUMIFS(tblDaily[Deaths],tblDaily[EntryDate],DATE(2026,2,2),tblDaily[WardCode],"FAE")),"")</f>
        <v/>
      </c>
      <c r="L49" s="13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3" t="str">
        <f>IFERROR(IF(SUMIFS(tblDaily[TransfersIn],tblDaily[EntryDate],DATE(2026,2,2),tblDaily[WardCode],"FAE")=0,"",SUMIFS(tblDaily[TransfersIn],tblDaily[EntryDate],DATE(2026,2,2),tblDaily[WardCode],"FAE")),"")</f>
        <v/>
      </c>
      <c r="N49" s="13" t="str">
        <f>IFERROR(IF(SUMIFS(tblDaily[TransfersOut],tblDaily[EntryDate],DATE(2026,2,2),tblDaily[WardCode],"FAE")=0,"",SUMIFS(tblDaily[TransfersOut],tblDaily[EntryDate],DATE(2026,2,2),tblDaily[WardCode],"FAE")),"")</f>
        <v/>
      </c>
      <c r="O49" s="13" t="str">
        <f>IFERROR(IF(SUMIFS(tblDaily[Remaining],tblDaily[EntryDate],DATE(2026,2,2),tblDaily[WardCode],"FAE")=0,"",SUMIFS(tblDaily[Remaining],tblDaily[EntryDate],DATE(2026,2,2),tblDaily[WardCode],"FAE")),"")</f>
        <v/>
      </c>
    </row>
    <row r="50" spans="1:15" x14ac:dyDescent="0.25">
      <c r="A50" s="13">
        <v>3</v>
      </c>
      <c r="B50" s="13">
        <f>IFERROR(IF(SUMIFS(tblDaily[Admissions],tblDaily[EntryDate],DATE(2026,2,3),tblDaily[WardCode],"MAE")=0,"",SUMIFS(tblDaily[Admissions],tblDaily[EntryDate],DATE(2026,2,3),tblDaily[WardCode],"MAE")),"")</f>
        <v>3</v>
      </c>
      <c r="C50" s="13">
        <f>IFERROR(IF(SUMIFS(tblDaily[Discharges],tblDaily[EntryDate],DATE(2026,2,3),tblDaily[WardCode],"MAE")=0,"",SUMIFS(tblDaily[Discharges],tblDaily[EntryDate],DATE(2026,2,3),tblDaily[WardCode],"MAE")),"")</f>
        <v>3</v>
      </c>
      <c r="D50" s="13" t="str">
        <f>IFERROR(IF(SUMIFS(tblDaily[Deaths],tblDaily[EntryDate],DATE(2026,2,3),tblDaily[WardCode],"MAE")=0,"",SUMIFS(tblDaily[Deaths],tblDaily[EntryDate],DATE(2026,2,3),tblDaily[WardCode],"MAE")),"")</f>
        <v/>
      </c>
      <c r="E50" s="13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3">
        <f>IFERROR(IF(SUMIFS(tblDaily[TransfersIn],tblDaily[EntryDate],DATE(2026,2,3),tblDaily[WardCode],"MAE")=0,"",SUMIFS(tblDaily[TransfersIn],tblDaily[EntryDate],DATE(2026,2,3),tblDaily[WardCode],"MAE")),"")</f>
        <v>2</v>
      </c>
      <c r="G50" s="13" t="str">
        <f>IFERROR(IF(SUMIFS(tblDaily[TransfersOut],tblDaily[EntryDate],DATE(2026,2,3),tblDaily[WardCode],"MAE")=0,"",SUMIFS(tblDaily[TransfersOut],tblDaily[EntryDate],DATE(2026,2,3),tblDaily[WardCode],"MAE")),"")</f>
        <v/>
      </c>
      <c r="H50" s="13">
        <f>IFERROR(IF(SUMIFS(tblDaily[Remaining],tblDaily[EntryDate],DATE(2026,2,3),tblDaily[WardCode],"MAE")=0,"",SUMIFS(tblDaily[Remaining],tblDaily[EntryDate],DATE(2026,2,3),tblDaily[WardCode],"MAE")),"")</f>
        <v>3</v>
      </c>
      <c r="I50" s="13" t="str">
        <f>IFERROR(IF(SUMIFS(tblDaily[Admissions],tblDaily[EntryDate],DATE(2026,2,3),tblDaily[WardCode],"FAE")=0,"",SUMIFS(tblDaily[Admissions],tblDaily[EntryDate],DATE(2026,2,3),tblDaily[WardCode],"FAE")),"")</f>
        <v/>
      </c>
      <c r="J50" s="13" t="str">
        <f>IFERROR(IF(SUMIFS(tblDaily[Discharges],tblDaily[EntryDate],DATE(2026,2,3),tblDaily[WardCode],"FAE")=0,"",SUMIFS(tblDaily[Discharges],tblDaily[EntryDate],DATE(2026,2,3),tblDaily[WardCode],"FAE")),"")</f>
        <v/>
      </c>
      <c r="K50" s="13" t="str">
        <f>IFERROR(IF(SUMIFS(tblDaily[Deaths],tblDaily[EntryDate],DATE(2026,2,3),tblDaily[WardCode],"FAE")=0,"",SUMIFS(tblDaily[Deaths],tblDaily[EntryDate],DATE(2026,2,3),tblDaily[WardCode],"FAE")),"")</f>
        <v/>
      </c>
      <c r="L50" s="13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3" t="str">
        <f>IFERROR(IF(SUMIFS(tblDaily[TransfersIn],tblDaily[EntryDate],DATE(2026,2,3),tblDaily[WardCode],"FAE")=0,"",SUMIFS(tblDaily[TransfersIn],tblDaily[EntryDate],DATE(2026,2,3),tblDaily[WardCode],"FAE")),"")</f>
        <v/>
      </c>
      <c r="N50" s="13" t="str">
        <f>IFERROR(IF(SUMIFS(tblDaily[TransfersOut],tblDaily[EntryDate],DATE(2026,2,3),tblDaily[WardCode],"FAE")=0,"",SUMIFS(tblDaily[TransfersOut],tblDaily[EntryDate],DATE(2026,2,3),tblDaily[WardCode],"FAE")),"")</f>
        <v/>
      </c>
      <c r="O50" s="13" t="str">
        <f>IFERROR(IF(SUMIFS(tblDaily[Remaining],tblDaily[EntryDate],DATE(2026,2,3),tblDaily[WardCode],"FAE")=0,"",SUMIFS(tblDaily[Remaining],tblDaily[EntryDate],DATE(2026,2,3),tblDaily[WardCode],"FAE")),"")</f>
        <v/>
      </c>
    </row>
    <row r="51" spans="1:15" x14ac:dyDescent="0.25">
      <c r="A51" s="13">
        <v>4</v>
      </c>
      <c r="B51" s="13" t="str">
        <f>IFERROR(IF(SUMIFS(tblDaily[Admissions],tblDaily[EntryDate],DATE(2026,2,4),tblDaily[WardCode],"MAE")=0,"",SUMIFS(tblDaily[Admissions],tblDaily[EntryDate],DATE(2026,2,4),tblDaily[WardCode],"MAE")),"")</f>
        <v/>
      </c>
      <c r="C51" s="13" t="str">
        <f>IFERROR(IF(SUMIFS(tblDaily[Discharges],tblDaily[EntryDate],DATE(2026,2,4),tblDaily[WardCode],"MAE")=0,"",SUMIFS(tblDaily[Discharges],tblDaily[EntryDate],DATE(2026,2,4),tblDaily[WardCode],"MAE")),"")</f>
        <v/>
      </c>
      <c r="D51" s="13" t="str">
        <f>IFERROR(IF(SUMIFS(tblDaily[Deaths],tblDaily[EntryDate],DATE(2026,2,4),tblDaily[WardCode],"MAE")=0,"",SUMIFS(tblDaily[Deaths],tblDaily[EntryDate],DATE(2026,2,4),tblDaily[WardCode],"MAE")),"")</f>
        <v/>
      </c>
      <c r="E51" s="13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3" t="str">
        <f>IFERROR(IF(SUMIFS(tblDaily[TransfersIn],tblDaily[EntryDate],DATE(2026,2,4),tblDaily[WardCode],"MAE")=0,"",SUMIFS(tblDaily[TransfersIn],tblDaily[EntryDate],DATE(2026,2,4),tblDaily[WardCode],"MAE")),"")</f>
        <v/>
      </c>
      <c r="G51" s="13" t="str">
        <f>IFERROR(IF(SUMIFS(tblDaily[TransfersOut],tblDaily[EntryDate],DATE(2026,2,4),tblDaily[WardCode],"MAE")=0,"",SUMIFS(tblDaily[TransfersOut],tblDaily[EntryDate],DATE(2026,2,4),tblDaily[WardCode],"MAE")),"")</f>
        <v/>
      </c>
      <c r="H51" s="13" t="str">
        <f>IFERROR(IF(SUMIFS(tblDaily[Remaining],tblDaily[EntryDate],DATE(2026,2,4),tblDaily[WardCode],"MAE")=0,"",SUMIFS(tblDaily[Remaining],tblDaily[EntryDate],DATE(2026,2,4),tblDaily[WardCode],"MAE")),"")</f>
        <v/>
      </c>
      <c r="I51" s="13" t="str">
        <f>IFERROR(IF(SUMIFS(tblDaily[Admissions],tblDaily[EntryDate],DATE(2026,2,4),tblDaily[WardCode],"FAE")=0,"",SUMIFS(tblDaily[Admissions],tblDaily[EntryDate],DATE(2026,2,4),tblDaily[WardCode],"FAE")),"")</f>
        <v/>
      </c>
      <c r="J51" s="13" t="str">
        <f>IFERROR(IF(SUMIFS(tblDaily[Discharges],tblDaily[EntryDate],DATE(2026,2,4),tblDaily[WardCode],"FAE")=0,"",SUMIFS(tblDaily[Discharges],tblDaily[EntryDate],DATE(2026,2,4),tblDaily[WardCode],"FAE")),"")</f>
        <v/>
      </c>
      <c r="K51" s="13" t="str">
        <f>IFERROR(IF(SUMIFS(tblDaily[Deaths],tblDaily[EntryDate],DATE(2026,2,4),tblDaily[WardCode],"FAE")=0,"",SUMIFS(tblDaily[Deaths],tblDaily[EntryDate],DATE(2026,2,4),tblDaily[WardCode],"FAE")),"")</f>
        <v/>
      </c>
      <c r="L51" s="13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3" t="str">
        <f>IFERROR(IF(SUMIFS(tblDaily[TransfersIn],tblDaily[EntryDate],DATE(2026,2,4),tblDaily[WardCode],"FAE")=0,"",SUMIFS(tblDaily[TransfersIn],tblDaily[EntryDate],DATE(2026,2,4),tblDaily[WardCode],"FAE")),"")</f>
        <v/>
      </c>
      <c r="N51" s="13" t="str">
        <f>IFERROR(IF(SUMIFS(tblDaily[TransfersOut],tblDaily[EntryDate],DATE(2026,2,4),tblDaily[WardCode],"FAE")=0,"",SUMIFS(tblDaily[TransfersOut],tblDaily[EntryDate],DATE(2026,2,4),tblDaily[WardCode],"FAE")),"")</f>
        <v/>
      </c>
      <c r="O51" s="13" t="str">
        <f>IFERROR(IF(SUMIFS(tblDaily[Remaining],tblDaily[EntryDate],DATE(2026,2,4),tblDaily[WardCode],"FAE")=0,"",SUMIFS(tblDaily[Remaining],tblDaily[EntryDate],DATE(2026,2,4),tblDaily[WardCode],"FAE")),"")</f>
        <v/>
      </c>
    </row>
    <row r="52" spans="1:15" x14ac:dyDescent="0.25">
      <c r="A52" s="13">
        <v>5</v>
      </c>
      <c r="B52" s="13" t="str">
        <f>IFERROR(IF(SUMIFS(tblDaily[Admissions],tblDaily[EntryDate],DATE(2026,2,5),tblDaily[WardCode],"MAE")=0,"",SUMIFS(tblDaily[Admissions],tblDaily[EntryDate],DATE(2026,2,5),tblDaily[WardCode],"MAE")),"")</f>
        <v/>
      </c>
      <c r="C52" s="13" t="str">
        <f>IFERROR(IF(SUMIFS(tblDaily[Discharges],tblDaily[EntryDate],DATE(2026,2,5),tblDaily[WardCode],"MAE")=0,"",SUMIFS(tblDaily[Discharges],tblDaily[EntryDate],DATE(2026,2,5),tblDaily[WardCode],"MAE")),"")</f>
        <v/>
      </c>
      <c r="D52" s="13" t="str">
        <f>IFERROR(IF(SUMIFS(tblDaily[Deaths],tblDaily[EntryDate],DATE(2026,2,5),tblDaily[WardCode],"MAE")=0,"",SUMIFS(tblDaily[Deaths],tblDaily[EntryDate],DATE(2026,2,5),tblDaily[WardCode],"MAE")),"")</f>
        <v/>
      </c>
      <c r="E52" s="13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3" t="str">
        <f>IFERROR(IF(SUMIFS(tblDaily[TransfersIn],tblDaily[EntryDate],DATE(2026,2,5),tblDaily[WardCode],"MAE")=0,"",SUMIFS(tblDaily[TransfersIn],tblDaily[EntryDate],DATE(2026,2,5),tblDaily[WardCode],"MAE")),"")</f>
        <v/>
      </c>
      <c r="G52" s="13" t="str">
        <f>IFERROR(IF(SUMIFS(tblDaily[TransfersOut],tblDaily[EntryDate],DATE(2026,2,5),tblDaily[WardCode],"MAE")=0,"",SUMIFS(tblDaily[TransfersOut],tblDaily[EntryDate],DATE(2026,2,5),tblDaily[WardCode],"MAE")),"")</f>
        <v/>
      </c>
      <c r="H52" s="13" t="str">
        <f>IFERROR(IF(SUMIFS(tblDaily[Remaining],tblDaily[EntryDate],DATE(2026,2,5),tblDaily[WardCode],"MAE")=0,"",SUMIFS(tblDaily[Remaining],tblDaily[EntryDate],DATE(2026,2,5),tblDaily[WardCode],"MAE")),"")</f>
        <v/>
      </c>
      <c r="I52" s="13" t="str">
        <f>IFERROR(IF(SUMIFS(tblDaily[Admissions],tblDaily[EntryDate],DATE(2026,2,5),tblDaily[WardCode],"FAE")=0,"",SUMIFS(tblDaily[Admissions],tblDaily[EntryDate],DATE(2026,2,5),tblDaily[WardCode],"FAE")),"")</f>
        <v/>
      </c>
      <c r="J52" s="13" t="str">
        <f>IFERROR(IF(SUMIFS(tblDaily[Discharges],tblDaily[EntryDate],DATE(2026,2,5),tblDaily[WardCode],"FAE")=0,"",SUMIFS(tblDaily[Discharges],tblDaily[EntryDate],DATE(2026,2,5),tblDaily[WardCode],"FAE")),"")</f>
        <v/>
      </c>
      <c r="K52" s="13" t="str">
        <f>IFERROR(IF(SUMIFS(tblDaily[Deaths],tblDaily[EntryDate],DATE(2026,2,5),tblDaily[WardCode],"FAE")=0,"",SUMIFS(tblDaily[Deaths],tblDaily[EntryDate],DATE(2026,2,5),tblDaily[WardCode],"FAE")),"")</f>
        <v/>
      </c>
      <c r="L52" s="13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3" t="str">
        <f>IFERROR(IF(SUMIFS(tblDaily[TransfersIn],tblDaily[EntryDate],DATE(2026,2,5),tblDaily[WardCode],"FAE")=0,"",SUMIFS(tblDaily[TransfersIn],tblDaily[EntryDate],DATE(2026,2,5),tblDaily[WardCode],"FAE")),"")</f>
        <v/>
      </c>
      <c r="N52" s="13" t="str">
        <f>IFERROR(IF(SUMIFS(tblDaily[TransfersOut],tblDaily[EntryDate],DATE(2026,2,5),tblDaily[WardCode],"FAE")=0,"",SUMIFS(tblDaily[TransfersOut],tblDaily[EntryDate],DATE(2026,2,5),tblDaily[WardCode],"FAE")),"")</f>
        <v/>
      </c>
      <c r="O52" s="13" t="str">
        <f>IFERROR(IF(SUMIFS(tblDaily[Remaining],tblDaily[EntryDate],DATE(2026,2,5),tblDaily[WardCode],"FAE")=0,"",SUMIFS(tblDaily[Remaining],tblDaily[EntryDate],DATE(2026,2,5),tblDaily[WardCode],"FAE")),"")</f>
        <v/>
      </c>
    </row>
    <row r="53" spans="1:15" x14ac:dyDescent="0.25">
      <c r="A53" s="13">
        <v>6</v>
      </c>
      <c r="B53" s="13" t="str">
        <f>IFERROR(IF(SUMIFS(tblDaily[Admissions],tblDaily[EntryDate],DATE(2026,2,6),tblDaily[WardCode],"MAE")=0,"",SUMIFS(tblDaily[Admissions],tblDaily[EntryDate],DATE(2026,2,6),tblDaily[WardCode],"MAE")),"")</f>
        <v/>
      </c>
      <c r="C53" s="13" t="str">
        <f>IFERROR(IF(SUMIFS(tblDaily[Discharges],tblDaily[EntryDate],DATE(2026,2,6),tblDaily[WardCode],"MAE")=0,"",SUMIFS(tblDaily[Discharges],tblDaily[EntryDate],DATE(2026,2,6),tblDaily[WardCode],"MAE")),"")</f>
        <v/>
      </c>
      <c r="D53" s="13" t="str">
        <f>IFERROR(IF(SUMIFS(tblDaily[Deaths],tblDaily[EntryDate],DATE(2026,2,6),tblDaily[WardCode],"MAE")=0,"",SUMIFS(tblDaily[Deaths],tblDaily[EntryDate],DATE(2026,2,6),tblDaily[WardCode],"MAE")),"")</f>
        <v/>
      </c>
      <c r="E53" s="13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3" t="str">
        <f>IFERROR(IF(SUMIFS(tblDaily[TransfersIn],tblDaily[EntryDate],DATE(2026,2,6),tblDaily[WardCode],"MAE")=0,"",SUMIFS(tblDaily[TransfersIn],tblDaily[EntryDate],DATE(2026,2,6),tblDaily[WardCode],"MAE")),"")</f>
        <v/>
      </c>
      <c r="G53" s="13" t="str">
        <f>IFERROR(IF(SUMIFS(tblDaily[TransfersOut],tblDaily[EntryDate],DATE(2026,2,6),tblDaily[WardCode],"MAE")=0,"",SUMIFS(tblDaily[TransfersOut],tblDaily[EntryDate],DATE(2026,2,6),tblDaily[WardCode],"MAE")),"")</f>
        <v/>
      </c>
      <c r="H53" s="13" t="str">
        <f>IFERROR(IF(SUMIFS(tblDaily[Remaining],tblDaily[EntryDate],DATE(2026,2,6),tblDaily[WardCode],"MAE")=0,"",SUMIFS(tblDaily[Remaining],tblDaily[EntryDate],DATE(2026,2,6),tblDaily[WardCode],"MAE")),"")</f>
        <v/>
      </c>
      <c r="I53" s="13" t="str">
        <f>IFERROR(IF(SUMIFS(tblDaily[Admissions],tblDaily[EntryDate],DATE(2026,2,6),tblDaily[WardCode],"FAE")=0,"",SUMIFS(tblDaily[Admissions],tblDaily[EntryDate],DATE(2026,2,6),tblDaily[WardCode],"FAE")),"")</f>
        <v/>
      </c>
      <c r="J53" s="13" t="str">
        <f>IFERROR(IF(SUMIFS(tblDaily[Discharges],tblDaily[EntryDate],DATE(2026,2,6),tblDaily[WardCode],"FAE")=0,"",SUMIFS(tblDaily[Discharges],tblDaily[EntryDate],DATE(2026,2,6),tblDaily[WardCode],"FAE")),"")</f>
        <v/>
      </c>
      <c r="K53" s="13" t="str">
        <f>IFERROR(IF(SUMIFS(tblDaily[Deaths],tblDaily[EntryDate],DATE(2026,2,6),tblDaily[WardCode],"FAE")=0,"",SUMIFS(tblDaily[Deaths],tblDaily[EntryDate],DATE(2026,2,6),tblDaily[WardCode],"FAE")),"")</f>
        <v/>
      </c>
      <c r="L53" s="13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3" t="str">
        <f>IFERROR(IF(SUMIFS(tblDaily[TransfersIn],tblDaily[EntryDate],DATE(2026,2,6),tblDaily[WardCode],"FAE")=0,"",SUMIFS(tblDaily[TransfersIn],tblDaily[EntryDate],DATE(2026,2,6),tblDaily[WardCode],"FAE")),"")</f>
        <v/>
      </c>
      <c r="N53" s="13" t="str">
        <f>IFERROR(IF(SUMIFS(tblDaily[TransfersOut],tblDaily[EntryDate],DATE(2026,2,6),tblDaily[WardCode],"FAE")=0,"",SUMIFS(tblDaily[TransfersOut],tblDaily[EntryDate],DATE(2026,2,6),tblDaily[WardCode],"FAE")),"")</f>
        <v/>
      </c>
      <c r="O53" s="13" t="str">
        <f>IFERROR(IF(SUMIFS(tblDaily[Remaining],tblDaily[EntryDate],DATE(2026,2,6),tblDaily[WardCode],"FAE")=0,"",SUMIFS(tblDaily[Remaining],tblDaily[EntryDate],DATE(2026,2,6),tblDaily[WardCode],"FAE")),"")</f>
        <v/>
      </c>
    </row>
    <row r="54" spans="1:15" x14ac:dyDescent="0.25">
      <c r="A54" s="13">
        <v>7</v>
      </c>
      <c r="B54" s="13" t="str">
        <f>IFERROR(IF(SUMIFS(tblDaily[Admissions],tblDaily[EntryDate],DATE(2026,2,7),tblDaily[WardCode],"MAE")=0,"",SUMIFS(tblDaily[Admissions],tblDaily[EntryDate],DATE(2026,2,7),tblDaily[WardCode],"MAE")),"")</f>
        <v/>
      </c>
      <c r="C54" s="13" t="str">
        <f>IFERROR(IF(SUMIFS(tblDaily[Discharges],tblDaily[EntryDate],DATE(2026,2,7),tblDaily[WardCode],"MAE")=0,"",SUMIFS(tblDaily[Discharges],tblDaily[EntryDate],DATE(2026,2,7),tblDaily[WardCode],"MAE")),"")</f>
        <v/>
      </c>
      <c r="D54" s="13" t="str">
        <f>IFERROR(IF(SUMIFS(tblDaily[Deaths],tblDaily[EntryDate],DATE(2026,2,7),tblDaily[WardCode],"MAE")=0,"",SUMIFS(tblDaily[Deaths],tblDaily[EntryDate],DATE(2026,2,7),tblDaily[WardCode],"MAE")),"")</f>
        <v/>
      </c>
      <c r="E54" s="13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3" t="str">
        <f>IFERROR(IF(SUMIFS(tblDaily[TransfersIn],tblDaily[EntryDate],DATE(2026,2,7),tblDaily[WardCode],"MAE")=0,"",SUMIFS(tblDaily[TransfersIn],tblDaily[EntryDate],DATE(2026,2,7),tblDaily[WardCode],"MAE")),"")</f>
        <v/>
      </c>
      <c r="G54" s="13" t="str">
        <f>IFERROR(IF(SUMIFS(tblDaily[TransfersOut],tblDaily[EntryDate],DATE(2026,2,7),tblDaily[WardCode],"MAE")=0,"",SUMIFS(tblDaily[TransfersOut],tblDaily[EntryDate],DATE(2026,2,7),tblDaily[WardCode],"MAE")),"")</f>
        <v/>
      </c>
      <c r="H54" s="13" t="str">
        <f>IFERROR(IF(SUMIFS(tblDaily[Remaining],tblDaily[EntryDate],DATE(2026,2,7),tblDaily[WardCode],"MAE")=0,"",SUMIFS(tblDaily[Remaining],tblDaily[EntryDate],DATE(2026,2,7),tblDaily[WardCode],"MAE")),"")</f>
        <v/>
      </c>
      <c r="I54" s="13" t="str">
        <f>IFERROR(IF(SUMIFS(tblDaily[Admissions],tblDaily[EntryDate],DATE(2026,2,7),tblDaily[WardCode],"FAE")=0,"",SUMIFS(tblDaily[Admissions],tblDaily[EntryDate],DATE(2026,2,7),tblDaily[WardCode],"FAE")),"")</f>
        <v/>
      </c>
      <c r="J54" s="13" t="str">
        <f>IFERROR(IF(SUMIFS(tblDaily[Discharges],tblDaily[EntryDate],DATE(2026,2,7),tblDaily[WardCode],"FAE")=0,"",SUMIFS(tblDaily[Discharges],tblDaily[EntryDate],DATE(2026,2,7),tblDaily[WardCode],"FAE")),"")</f>
        <v/>
      </c>
      <c r="K54" s="13" t="str">
        <f>IFERROR(IF(SUMIFS(tblDaily[Deaths],tblDaily[EntryDate],DATE(2026,2,7),tblDaily[WardCode],"FAE")=0,"",SUMIFS(tblDaily[Deaths],tblDaily[EntryDate],DATE(2026,2,7),tblDaily[WardCode],"FAE")),"")</f>
        <v/>
      </c>
      <c r="L54" s="13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3" t="str">
        <f>IFERROR(IF(SUMIFS(tblDaily[TransfersIn],tblDaily[EntryDate],DATE(2026,2,7),tblDaily[WardCode],"FAE")=0,"",SUMIFS(tblDaily[TransfersIn],tblDaily[EntryDate],DATE(2026,2,7),tblDaily[WardCode],"FAE")),"")</f>
        <v/>
      </c>
      <c r="N54" s="13" t="str">
        <f>IFERROR(IF(SUMIFS(tblDaily[TransfersOut],tblDaily[EntryDate],DATE(2026,2,7),tblDaily[WardCode],"FAE")=0,"",SUMIFS(tblDaily[TransfersOut],tblDaily[EntryDate],DATE(2026,2,7),tblDaily[WardCode],"FAE")),"")</f>
        <v/>
      </c>
      <c r="O54" s="13" t="str">
        <f>IFERROR(IF(SUMIFS(tblDaily[Remaining],tblDaily[EntryDate],DATE(2026,2,7),tblDaily[WardCode],"FAE")=0,"",SUMIFS(tblDaily[Remaining],tblDaily[EntryDate],DATE(2026,2,7),tblDaily[WardCode],"FAE")),"")</f>
        <v/>
      </c>
    </row>
    <row r="55" spans="1:15" x14ac:dyDescent="0.25">
      <c r="A55" s="13">
        <v>8</v>
      </c>
      <c r="B55" s="13" t="str">
        <f>IFERROR(IF(SUMIFS(tblDaily[Admissions],tblDaily[EntryDate],DATE(2026,2,8),tblDaily[WardCode],"MAE")=0,"",SUMIFS(tblDaily[Admissions],tblDaily[EntryDate],DATE(2026,2,8),tblDaily[WardCode],"MAE")),"")</f>
        <v/>
      </c>
      <c r="C55" s="13" t="str">
        <f>IFERROR(IF(SUMIFS(tblDaily[Discharges],tblDaily[EntryDate],DATE(2026,2,8),tblDaily[WardCode],"MAE")=0,"",SUMIFS(tblDaily[Discharges],tblDaily[EntryDate],DATE(2026,2,8),tblDaily[WardCode],"MAE")),"")</f>
        <v/>
      </c>
      <c r="D55" s="13" t="str">
        <f>IFERROR(IF(SUMIFS(tblDaily[Deaths],tblDaily[EntryDate],DATE(2026,2,8),tblDaily[WardCode],"MAE")=0,"",SUMIFS(tblDaily[Deaths],tblDaily[EntryDate],DATE(2026,2,8),tblDaily[WardCode],"MAE")),"")</f>
        <v/>
      </c>
      <c r="E55" s="13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3" t="str">
        <f>IFERROR(IF(SUMIFS(tblDaily[TransfersIn],tblDaily[EntryDate],DATE(2026,2,8),tblDaily[WardCode],"MAE")=0,"",SUMIFS(tblDaily[TransfersIn],tblDaily[EntryDate],DATE(2026,2,8),tblDaily[WardCode],"MAE")),"")</f>
        <v/>
      </c>
      <c r="G55" s="13" t="str">
        <f>IFERROR(IF(SUMIFS(tblDaily[TransfersOut],tblDaily[EntryDate],DATE(2026,2,8),tblDaily[WardCode],"MAE")=0,"",SUMIFS(tblDaily[TransfersOut],tblDaily[EntryDate],DATE(2026,2,8),tblDaily[WardCode],"MAE")),"")</f>
        <v/>
      </c>
      <c r="H55" s="13" t="str">
        <f>IFERROR(IF(SUMIFS(tblDaily[Remaining],tblDaily[EntryDate],DATE(2026,2,8),tblDaily[WardCode],"MAE")=0,"",SUMIFS(tblDaily[Remaining],tblDaily[EntryDate],DATE(2026,2,8),tblDaily[WardCode],"MAE")),"")</f>
        <v/>
      </c>
      <c r="I55" s="13" t="str">
        <f>IFERROR(IF(SUMIFS(tblDaily[Admissions],tblDaily[EntryDate],DATE(2026,2,8),tblDaily[WardCode],"FAE")=0,"",SUMIFS(tblDaily[Admissions],tblDaily[EntryDate],DATE(2026,2,8),tblDaily[WardCode],"FAE")),"")</f>
        <v/>
      </c>
      <c r="J55" s="13" t="str">
        <f>IFERROR(IF(SUMIFS(tblDaily[Discharges],tblDaily[EntryDate],DATE(2026,2,8),tblDaily[WardCode],"FAE")=0,"",SUMIFS(tblDaily[Discharges],tblDaily[EntryDate],DATE(2026,2,8),tblDaily[WardCode],"FAE")),"")</f>
        <v/>
      </c>
      <c r="K55" s="13" t="str">
        <f>IFERROR(IF(SUMIFS(tblDaily[Deaths],tblDaily[EntryDate],DATE(2026,2,8),tblDaily[WardCode],"FAE")=0,"",SUMIFS(tblDaily[Deaths],tblDaily[EntryDate],DATE(2026,2,8),tblDaily[WardCode],"FAE")),"")</f>
        <v/>
      </c>
      <c r="L55" s="13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3" t="str">
        <f>IFERROR(IF(SUMIFS(tblDaily[TransfersIn],tblDaily[EntryDate],DATE(2026,2,8),tblDaily[WardCode],"FAE")=0,"",SUMIFS(tblDaily[TransfersIn],tblDaily[EntryDate],DATE(2026,2,8),tblDaily[WardCode],"FAE")),"")</f>
        <v/>
      </c>
      <c r="N55" s="13" t="str">
        <f>IFERROR(IF(SUMIFS(tblDaily[TransfersOut],tblDaily[EntryDate],DATE(2026,2,8),tblDaily[WardCode],"FAE")=0,"",SUMIFS(tblDaily[TransfersOut],tblDaily[EntryDate],DATE(2026,2,8),tblDaily[WardCode],"FAE")),"")</f>
        <v/>
      </c>
      <c r="O55" s="13" t="str">
        <f>IFERROR(IF(SUMIFS(tblDaily[Remaining],tblDaily[EntryDate],DATE(2026,2,8),tblDaily[WardCode],"FAE")=0,"",SUMIFS(tblDaily[Remaining],tblDaily[EntryDate],DATE(2026,2,8),tblDaily[WardCode],"FAE")),"")</f>
        <v/>
      </c>
    </row>
    <row r="56" spans="1:15" x14ac:dyDescent="0.25">
      <c r="A56" s="13">
        <v>9</v>
      </c>
      <c r="B56" s="13" t="str">
        <f>IFERROR(IF(SUMIFS(tblDaily[Admissions],tblDaily[EntryDate],DATE(2026,2,9),tblDaily[WardCode],"MAE")=0,"",SUMIFS(tblDaily[Admissions],tblDaily[EntryDate],DATE(2026,2,9),tblDaily[WardCode],"MAE")),"")</f>
        <v/>
      </c>
      <c r="C56" s="13" t="str">
        <f>IFERROR(IF(SUMIFS(tblDaily[Discharges],tblDaily[EntryDate],DATE(2026,2,9),tblDaily[WardCode],"MAE")=0,"",SUMIFS(tblDaily[Discharges],tblDaily[EntryDate],DATE(2026,2,9),tblDaily[WardCode],"MAE")),"")</f>
        <v/>
      </c>
      <c r="D56" s="13" t="str">
        <f>IFERROR(IF(SUMIFS(tblDaily[Deaths],tblDaily[EntryDate],DATE(2026,2,9),tblDaily[WardCode],"MAE")=0,"",SUMIFS(tblDaily[Deaths],tblDaily[EntryDate],DATE(2026,2,9),tblDaily[WardCode],"MAE")),"")</f>
        <v/>
      </c>
      <c r="E56" s="13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3" t="str">
        <f>IFERROR(IF(SUMIFS(tblDaily[TransfersIn],tblDaily[EntryDate],DATE(2026,2,9),tblDaily[WardCode],"MAE")=0,"",SUMIFS(tblDaily[TransfersIn],tblDaily[EntryDate],DATE(2026,2,9),tblDaily[WardCode],"MAE")),"")</f>
        <v/>
      </c>
      <c r="G56" s="13" t="str">
        <f>IFERROR(IF(SUMIFS(tblDaily[TransfersOut],tblDaily[EntryDate],DATE(2026,2,9),tblDaily[WardCode],"MAE")=0,"",SUMIFS(tblDaily[TransfersOut],tblDaily[EntryDate],DATE(2026,2,9),tblDaily[WardCode],"MAE")),"")</f>
        <v/>
      </c>
      <c r="H56" s="13" t="str">
        <f>IFERROR(IF(SUMIFS(tblDaily[Remaining],tblDaily[EntryDate],DATE(2026,2,9),tblDaily[WardCode],"MAE")=0,"",SUMIFS(tblDaily[Remaining],tblDaily[EntryDate],DATE(2026,2,9),tblDaily[WardCode],"MAE")),"")</f>
        <v/>
      </c>
      <c r="I56" s="13" t="str">
        <f>IFERROR(IF(SUMIFS(tblDaily[Admissions],tblDaily[EntryDate],DATE(2026,2,9),tblDaily[WardCode],"FAE")=0,"",SUMIFS(tblDaily[Admissions],tblDaily[EntryDate],DATE(2026,2,9),tblDaily[WardCode],"FAE")),"")</f>
        <v/>
      </c>
      <c r="J56" s="13" t="str">
        <f>IFERROR(IF(SUMIFS(tblDaily[Discharges],tblDaily[EntryDate],DATE(2026,2,9),tblDaily[WardCode],"FAE")=0,"",SUMIFS(tblDaily[Discharges],tblDaily[EntryDate],DATE(2026,2,9),tblDaily[WardCode],"FAE")),"")</f>
        <v/>
      </c>
      <c r="K56" s="13" t="str">
        <f>IFERROR(IF(SUMIFS(tblDaily[Deaths],tblDaily[EntryDate],DATE(2026,2,9),tblDaily[WardCode],"FAE")=0,"",SUMIFS(tblDaily[Deaths],tblDaily[EntryDate],DATE(2026,2,9),tblDaily[WardCode],"FAE")),"")</f>
        <v/>
      </c>
      <c r="L56" s="13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3" t="str">
        <f>IFERROR(IF(SUMIFS(tblDaily[TransfersIn],tblDaily[EntryDate],DATE(2026,2,9),tblDaily[WardCode],"FAE")=0,"",SUMIFS(tblDaily[TransfersIn],tblDaily[EntryDate],DATE(2026,2,9),tblDaily[WardCode],"FAE")),"")</f>
        <v/>
      </c>
      <c r="N56" s="13" t="str">
        <f>IFERROR(IF(SUMIFS(tblDaily[TransfersOut],tblDaily[EntryDate],DATE(2026,2,9),tblDaily[WardCode],"FAE")=0,"",SUMIFS(tblDaily[TransfersOut],tblDaily[EntryDate],DATE(2026,2,9),tblDaily[WardCode],"FAE")),"")</f>
        <v/>
      </c>
      <c r="O56" s="13" t="str">
        <f>IFERROR(IF(SUMIFS(tblDaily[Remaining],tblDaily[EntryDate],DATE(2026,2,9),tblDaily[WardCode],"FAE")=0,"",SUMIFS(tblDaily[Remaining],tblDaily[EntryDate],DATE(2026,2,9),tblDaily[WardCode],"FAE")),"")</f>
        <v/>
      </c>
    </row>
    <row r="57" spans="1:15" x14ac:dyDescent="0.25">
      <c r="A57" s="13">
        <v>10</v>
      </c>
      <c r="B57" s="13" t="str">
        <f>IFERROR(IF(SUMIFS(tblDaily[Admissions],tblDaily[EntryDate],DATE(2026,2,10),tblDaily[WardCode],"MAE")=0,"",SUMIFS(tblDaily[Admissions],tblDaily[EntryDate],DATE(2026,2,10),tblDaily[WardCode],"MAE")),"")</f>
        <v/>
      </c>
      <c r="C57" s="13" t="str">
        <f>IFERROR(IF(SUMIFS(tblDaily[Discharges],tblDaily[EntryDate],DATE(2026,2,10),tblDaily[WardCode],"MAE")=0,"",SUMIFS(tblDaily[Discharges],tblDaily[EntryDate],DATE(2026,2,10),tblDaily[WardCode],"MAE")),"")</f>
        <v/>
      </c>
      <c r="D57" s="13" t="str">
        <f>IFERROR(IF(SUMIFS(tblDaily[Deaths],tblDaily[EntryDate],DATE(2026,2,10),tblDaily[WardCode],"MAE")=0,"",SUMIFS(tblDaily[Deaths],tblDaily[EntryDate],DATE(2026,2,10),tblDaily[WardCode],"MAE")),"")</f>
        <v/>
      </c>
      <c r="E57" s="13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3" t="str">
        <f>IFERROR(IF(SUMIFS(tblDaily[TransfersIn],tblDaily[EntryDate],DATE(2026,2,10),tblDaily[WardCode],"MAE")=0,"",SUMIFS(tblDaily[TransfersIn],tblDaily[EntryDate],DATE(2026,2,10),tblDaily[WardCode],"MAE")),"")</f>
        <v/>
      </c>
      <c r="G57" s="13" t="str">
        <f>IFERROR(IF(SUMIFS(tblDaily[TransfersOut],tblDaily[EntryDate],DATE(2026,2,10),tblDaily[WardCode],"MAE")=0,"",SUMIFS(tblDaily[TransfersOut],tblDaily[EntryDate],DATE(2026,2,10),tblDaily[WardCode],"MAE")),"")</f>
        <v/>
      </c>
      <c r="H57" s="13" t="str">
        <f>IFERROR(IF(SUMIFS(tblDaily[Remaining],tblDaily[EntryDate],DATE(2026,2,10),tblDaily[WardCode],"MAE")=0,"",SUMIFS(tblDaily[Remaining],tblDaily[EntryDate],DATE(2026,2,10),tblDaily[WardCode],"MAE")),"")</f>
        <v/>
      </c>
      <c r="I57" s="13" t="str">
        <f>IFERROR(IF(SUMIFS(tblDaily[Admissions],tblDaily[EntryDate],DATE(2026,2,10),tblDaily[WardCode],"FAE")=0,"",SUMIFS(tblDaily[Admissions],tblDaily[EntryDate],DATE(2026,2,10),tblDaily[WardCode],"FAE")),"")</f>
        <v/>
      </c>
      <c r="J57" s="13" t="str">
        <f>IFERROR(IF(SUMIFS(tblDaily[Discharges],tblDaily[EntryDate],DATE(2026,2,10),tblDaily[WardCode],"FAE")=0,"",SUMIFS(tblDaily[Discharges],tblDaily[EntryDate],DATE(2026,2,10),tblDaily[WardCode],"FAE")),"")</f>
        <v/>
      </c>
      <c r="K57" s="13" t="str">
        <f>IFERROR(IF(SUMIFS(tblDaily[Deaths],tblDaily[EntryDate],DATE(2026,2,10),tblDaily[WardCode],"FAE")=0,"",SUMIFS(tblDaily[Deaths],tblDaily[EntryDate],DATE(2026,2,10),tblDaily[WardCode],"FAE")),"")</f>
        <v/>
      </c>
      <c r="L57" s="13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3" t="str">
        <f>IFERROR(IF(SUMIFS(tblDaily[TransfersIn],tblDaily[EntryDate],DATE(2026,2,10),tblDaily[WardCode],"FAE")=0,"",SUMIFS(tblDaily[TransfersIn],tblDaily[EntryDate],DATE(2026,2,10),tblDaily[WardCode],"FAE")),"")</f>
        <v/>
      </c>
      <c r="N57" s="13" t="str">
        <f>IFERROR(IF(SUMIFS(tblDaily[TransfersOut],tblDaily[EntryDate],DATE(2026,2,10),tblDaily[WardCode],"FAE")=0,"",SUMIFS(tblDaily[TransfersOut],tblDaily[EntryDate],DATE(2026,2,10),tblDaily[WardCode],"FAE")),"")</f>
        <v/>
      </c>
      <c r="O57" s="13" t="str">
        <f>IFERROR(IF(SUMIFS(tblDaily[Remaining],tblDaily[EntryDate],DATE(2026,2,10),tblDaily[WardCode],"FAE")=0,"",SUMIFS(tblDaily[Remaining],tblDaily[EntryDate],DATE(2026,2,10),tblDaily[WardCode],"FAE")),"")</f>
        <v/>
      </c>
    </row>
    <row r="58" spans="1:15" x14ac:dyDescent="0.25">
      <c r="A58" s="13">
        <v>11</v>
      </c>
      <c r="B58" s="13" t="str">
        <f>IFERROR(IF(SUMIFS(tblDaily[Admissions],tblDaily[EntryDate],DATE(2026,2,11),tblDaily[WardCode],"MAE")=0,"",SUMIFS(tblDaily[Admissions],tblDaily[EntryDate],DATE(2026,2,11),tblDaily[WardCode],"MAE")),"")</f>
        <v/>
      </c>
      <c r="C58" s="13" t="str">
        <f>IFERROR(IF(SUMIFS(tblDaily[Discharges],tblDaily[EntryDate],DATE(2026,2,11),tblDaily[WardCode],"MAE")=0,"",SUMIFS(tblDaily[Discharges],tblDaily[EntryDate],DATE(2026,2,11),tblDaily[WardCode],"MAE")),"")</f>
        <v/>
      </c>
      <c r="D58" s="13" t="str">
        <f>IFERROR(IF(SUMIFS(tblDaily[Deaths],tblDaily[EntryDate],DATE(2026,2,11),tblDaily[WardCode],"MAE")=0,"",SUMIFS(tblDaily[Deaths],tblDaily[EntryDate],DATE(2026,2,11),tblDaily[WardCode],"MAE")),"")</f>
        <v/>
      </c>
      <c r="E58" s="13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3" t="str">
        <f>IFERROR(IF(SUMIFS(tblDaily[TransfersIn],tblDaily[EntryDate],DATE(2026,2,11),tblDaily[WardCode],"MAE")=0,"",SUMIFS(tblDaily[TransfersIn],tblDaily[EntryDate],DATE(2026,2,11),tblDaily[WardCode],"MAE")),"")</f>
        <v/>
      </c>
      <c r="G58" s="13" t="str">
        <f>IFERROR(IF(SUMIFS(tblDaily[TransfersOut],tblDaily[EntryDate],DATE(2026,2,11),tblDaily[WardCode],"MAE")=0,"",SUMIFS(tblDaily[TransfersOut],tblDaily[EntryDate],DATE(2026,2,11),tblDaily[WardCode],"MAE")),"")</f>
        <v/>
      </c>
      <c r="H58" s="13" t="str">
        <f>IFERROR(IF(SUMIFS(tblDaily[Remaining],tblDaily[EntryDate],DATE(2026,2,11),tblDaily[WardCode],"MAE")=0,"",SUMIFS(tblDaily[Remaining],tblDaily[EntryDate],DATE(2026,2,11),tblDaily[WardCode],"MAE")),"")</f>
        <v/>
      </c>
      <c r="I58" s="13" t="str">
        <f>IFERROR(IF(SUMIFS(tblDaily[Admissions],tblDaily[EntryDate],DATE(2026,2,11),tblDaily[WardCode],"FAE")=0,"",SUMIFS(tblDaily[Admissions],tblDaily[EntryDate],DATE(2026,2,11),tblDaily[WardCode],"FAE")),"")</f>
        <v/>
      </c>
      <c r="J58" s="13" t="str">
        <f>IFERROR(IF(SUMIFS(tblDaily[Discharges],tblDaily[EntryDate],DATE(2026,2,11),tblDaily[WardCode],"FAE")=0,"",SUMIFS(tblDaily[Discharges],tblDaily[EntryDate],DATE(2026,2,11),tblDaily[WardCode],"FAE")),"")</f>
        <v/>
      </c>
      <c r="K58" s="13" t="str">
        <f>IFERROR(IF(SUMIFS(tblDaily[Deaths],tblDaily[EntryDate],DATE(2026,2,11),tblDaily[WardCode],"FAE")=0,"",SUMIFS(tblDaily[Deaths],tblDaily[EntryDate],DATE(2026,2,11),tblDaily[WardCode],"FAE")),"")</f>
        <v/>
      </c>
      <c r="L58" s="13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3" t="str">
        <f>IFERROR(IF(SUMIFS(tblDaily[TransfersIn],tblDaily[EntryDate],DATE(2026,2,11),tblDaily[WardCode],"FAE")=0,"",SUMIFS(tblDaily[TransfersIn],tblDaily[EntryDate],DATE(2026,2,11),tblDaily[WardCode],"FAE")),"")</f>
        <v/>
      </c>
      <c r="N58" s="13" t="str">
        <f>IFERROR(IF(SUMIFS(tblDaily[TransfersOut],tblDaily[EntryDate],DATE(2026,2,11),tblDaily[WardCode],"FAE")=0,"",SUMIFS(tblDaily[TransfersOut],tblDaily[EntryDate],DATE(2026,2,11),tblDaily[WardCode],"FAE")),"")</f>
        <v/>
      </c>
      <c r="O58" s="13" t="str">
        <f>IFERROR(IF(SUMIFS(tblDaily[Remaining],tblDaily[EntryDate],DATE(2026,2,11),tblDaily[WardCode],"FAE")=0,"",SUMIFS(tblDaily[Remaining],tblDaily[EntryDate],DATE(2026,2,11),tblDaily[WardCode],"FAE")),"")</f>
        <v/>
      </c>
    </row>
    <row r="59" spans="1:15" x14ac:dyDescent="0.25">
      <c r="A59" s="13">
        <v>12</v>
      </c>
      <c r="B59" s="13" t="str">
        <f>IFERROR(IF(SUMIFS(tblDaily[Admissions],tblDaily[EntryDate],DATE(2026,2,12),tblDaily[WardCode],"MAE")=0,"",SUMIFS(tblDaily[Admissions],tblDaily[EntryDate],DATE(2026,2,12),tblDaily[WardCode],"MAE")),"")</f>
        <v/>
      </c>
      <c r="C59" s="13" t="str">
        <f>IFERROR(IF(SUMIFS(tblDaily[Discharges],tblDaily[EntryDate],DATE(2026,2,12),tblDaily[WardCode],"MAE")=0,"",SUMIFS(tblDaily[Discharges],tblDaily[EntryDate],DATE(2026,2,12),tblDaily[WardCode],"MAE")),"")</f>
        <v/>
      </c>
      <c r="D59" s="13" t="str">
        <f>IFERROR(IF(SUMIFS(tblDaily[Deaths],tblDaily[EntryDate],DATE(2026,2,12),tblDaily[WardCode],"MAE")=0,"",SUMIFS(tblDaily[Deaths],tblDaily[EntryDate],DATE(2026,2,12),tblDaily[WardCode],"MAE")),"")</f>
        <v/>
      </c>
      <c r="E59" s="13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3" t="str">
        <f>IFERROR(IF(SUMIFS(tblDaily[TransfersIn],tblDaily[EntryDate],DATE(2026,2,12),tblDaily[WardCode],"MAE")=0,"",SUMIFS(tblDaily[TransfersIn],tblDaily[EntryDate],DATE(2026,2,12),tblDaily[WardCode],"MAE")),"")</f>
        <v/>
      </c>
      <c r="G59" s="13" t="str">
        <f>IFERROR(IF(SUMIFS(tblDaily[TransfersOut],tblDaily[EntryDate],DATE(2026,2,12),tblDaily[WardCode],"MAE")=0,"",SUMIFS(tblDaily[TransfersOut],tblDaily[EntryDate],DATE(2026,2,12),tblDaily[WardCode],"MAE")),"")</f>
        <v/>
      </c>
      <c r="H59" s="13" t="str">
        <f>IFERROR(IF(SUMIFS(tblDaily[Remaining],tblDaily[EntryDate],DATE(2026,2,12),tblDaily[WardCode],"MAE")=0,"",SUMIFS(tblDaily[Remaining],tblDaily[EntryDate],DATE(2026,2,12),tblDaily[WardCode],"MAE")),"")</f>
        <v/>
      </c>
      <c r="I59" s="13" t="str">
        <f>IFERROR(IF(SUMIFS(tblDaily[Admissions],tblDaily[EntryDate],DATE(2026,2,12),tblDaily[WardCode],"FAE")=0,"",SUMIFS(tblDaily[Admissions],tblDaily[EntryDate],DATE(2026,2,12),tblDaily[WardCode],"FAE")),"")</f>
        <v/>
      </c>
      <c r="J59" s="13" t="str">
        <f>IFERROR(IF(SUMIFS(tblDaily[Discharges],tblDaily[EntryDate],DATE(2026,2,12),tblDaily[WardCode],"FAE")=0,"",SUMIFS(tblDaily[Discharges],tblDaily[EntryDate],DATE(2026,2,12),tblDaily[WardCode],"FAE")),"")</f>
        <v/>
      </c>
      <c r="K59" s="13" t="str">
        <f>IFERROR(IF(SUMIFS(tblDaily[Deaths],tblDaily[EntryDate],DATE(2026,2,12),tblDaily[WardCode],"FAE")=0,"",SUMIFS(tblDaily[Deaths],tblDaily[EntryDate],DATE(2026,2,12),tblDaily[WardCode],"FAE")),"")</f>
        <v/>
      </c>
      <c r="L59" s="13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3" t="str">
        <f>IFERROR(IF(SUMIFS(tblDaily[TransfersIn],tblDaily[EntryDate],DATE(2026,2,12),tblDaily[WardCode],"FAE")=0,"",SUMIFS(tblDaily[TransfersIn],tblDaily[EntryDate],DATE(2026,2,12),tblDaily[WardCode],"FAE")),"")</f>
        <v/>
      </c>
      <c r="N59" s="13" t="str">
        <f>IFERROR(IF(SUMIFS(tblDaily[TransfersOut],tblDaily[EntryDate],DATE(2026,2,12),tblDaily[WardCode],"FAE")=0,"",SUMIFS(tblDaily[TransfersOut],tblDaily[EntryDate],DATE(2026,2,12),tblDaily[WardCode],"FAE")),"")</f>
        <v/>
      </c>
      <c r="O59" s="13" t="str">
        <f>IFERROR(IF(SUMIFS(tblDaily[Remaining],tblDaily[EntryDate],DATE(2026,2,12),tblDaily[WardCode],"FAE")=0,"",SUMIFS(tblDaily[Remaining],tblDaily[EntryDate],DATE(2026,2,12),tblDaily[WardCode],"FAE")),"")</f>
        <v/>
      </c>
    </row>
    <row r="60" spans="1:15" x14ac:dyDescent="0.25">
      <c r="A60" s="13">
        <v>13</v>
      </c>
      <c r="B60" s="13" t="str">
        <f>IFERROR(IF(SUMIFS(tblDaily[Admissions],tblDaily[EntryDate],DATE(2026,2,13),tblDaily[WardCode],"MAE")=0,"",SUMIFS(tblDaily[Admissions],tblDaily[EntryDate],DATE(2026,2,13),tblDaily[WardCode],"MAE")),"")</f>
        <v/>
      </c>
      <c r="C60" s="13" t="str">
        <f>IFERROR(IF(SUMIFS(tblDaily[Discharges],tblDaily[EntryDate],DATE(2026,2,13),tblDaily[WardCode],"MAE")=0,"",SUMIFS(tblDaily[Discharges],tblDaily[EntryDate],DATE(2026,2,13),tblDaily[WardCode],"MAE")),"")</f>
        <v/>
      </c>
      <c r="D60" s="13" t="str">
        <f>IFERROR(IF(SUMIFS(tblDaily[Deaths],tblDaily[EntryDate],DATE(2026,2,13),tblDaily[WardCode],"MAE")=0,"",SUMIFS(tblDaily[Deaths],tblDaily[EntryDate],DATE(2026,2,13),tblDaily[WardCode],"MAE")),"")</f>
        <v/>
      </c>
      <c r="E60" s="13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3" t="str">
        <f>IFERROR(IF(SUMIFS(tblDaily[TransfersIn],tblDaily[EntryDate],DATE(2026,2,13),tblDaily[WardCode],"MAE")=0,"",SUMIFS(tblDaily[TransfersIn],tblDaily[EntryDate],DATE(2026,2,13),tblDaily[WardCode],"MAE")),"")</f>
        <v/>
      </c>
      <c r="G60" s="13" t="str">
        <f>IFERROR(IF(SUMIFS(tblDaily[TransfersOut],tblDaily[EntryDate],DATE(2026,2,13),tblDaily[WardCode],"MAE")=0,"",SUMIFS(tblDaily[TransfersOut],tblDaily[EntryDate],DATE(2026,2,13),tblDaily[WardCode],"MAE")),"")</f>
        <v/>
      </c>
      <c r="H60" s="13" t="str">
        <f>IFERROR(IF(SUMIFS(tblDaily[Remaining],tblDaily[EntryDate],DATE(2026,2,13),tblDaily[WardCode],"MAE")=0,"",SUMIFS(tblDaily[Remaining],tblDaily[EntryDate],DATE(2026,2,13),tblDaily[WardCode],"MAE")),"")</f>
        <v/>
      </c>
      <c r="I60" s="13" t="str">
        <f>IFERROR(IF(SUMIFS(tblDaily[Admissions],tblDaily[EntryDate],DATE(2026,2,13),tblDaily[WardCode],"FAE")=0,"",SUMIFS(tblDaily[Admissions],tblDaily[EntryDate],DATE(2026,2,13),tblDaily[WardCode],"FAE")),"")</f>
        <v/>
      </c>
      <c r="J60" s="13" t="str">
        <f>IFERROR(IF(SUMIFS(tblDaily[Discharges],tblDaily[EntryDate],DATE(2026,2,13),tblDaily[WardCode],"FAE")=0,"",SUMIFS(tblDaily[Discharges],tblDaily[EntryDate],DATE(2026,2,13),tblDaily[WardCode],"FAE")),"")</f>
        <v/>
      </c>
      <c r="K60" s="13" t="str">
        <f>IFERROR(IF(SUMIFS(tblDaily[Deaths],tblDaily[EntryDate],DATE(2026,2,13),tblDaily[WardCode],"FAE")=0,"",SUMIFS(tblDaily[Deaths],tblDaily[EntryDate],DATE(2026,2,13),tblDaily[WardCode],"FAE")),"")</f>
        <v/>
      </c>
      <c r="L60" s="13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3" t="str">
        <f>IFERROR(IF(SUMIFS(tblDaily[TransfersIn],tblDaily[EntryDate],DATE(2026,2,13),tblDaily[WardCode],"FAE")=0,"",SUMIFS(tblDaily[TransfersIn],tblDaily[EntryDate],DATE(2026,2,13),tblDaily[WardCode],"FAE")),"")</f>
        <v/>
      </c>
      <c r="N60" s="13" t="str">
        <f>IFERROR(IF(SUMIFS(tblDaily[TransfersOut],tblDaily[EntryDate],DATE(2026,2,13),tblDaily[WardCode],"FAE")=0,"",SUMIFS(tblDaily[TransfersOut],tblDaily[EntryDate],DATE(2026,2,13),tblDaily[WardCode],"FAE")),"")</f>
        <v/>
      </c>
      <c r="O60" s="13" t="str">
        <f>IFERROR(IF(SUMIFS(tblDaily[Remaining],tblDaily[EntryDate],DATE(2026,2,13),tblDaily[WardCode],"FAE")=0,"",SUMIFS(tblDaily[Remaining],tblDaily[EntryDate],DATE(2026,2,13),tblDaily[WardCode],"FAE")),"")</f>
        <v/>
      </c>
    </row>
    <row r="61" spans="1:15" x14ac:dyDescent="0.25">
      <c r="A61" s="13">
        <v>14</v>
      </c>
      <c r="B61" s="13" t="str">
        <f>IFERROR(IF(SUMIFS(tblDaily[Admissions],tblDaily[EntryDate],DATE(2026,2,14),tblDaily[WardCode],"MAE")=0,"",SUMIFS(tblDaily[Admissions],tblDaily[EntryDate],DATE(2026,2,14),tblDaily[WardCode],"MAE")),"")</f>
        <v/>
      </c>
      <c r="C61" s="13" t="str">
        <f>IFERROR(IF(SUMIFS(tblDaily[Discharges],tblDaily[EntryDate],DATE(2026,2,14),tblDaily[WardCode],"MAE")=0,"",SUMIFS(tblDaily[Discharges],tblDaily[EntryDate],DATE(2026,2,14),tblDaily[WardCode],"MAE")),"")</f>
        <v/>
      </c>
      <c r="D61" s="13" t="str">
        <f>IFERROR(IF(SUMIFS(tblDaily[Deaths],tblDaily[EntryDate],DATE(2026,2,14),tblDaily[WardCode],"MAE")=0,"",SUMIFS(tblDaily[Deaths],tblDaily[EntryDate],DATE(2026,2,14),tblDaily[WardCode],"MAE")),"")</f>
        <v/>
      </c>
      <c r="E61" s="13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3" t="str">
        <f>IFERROR(IF(SUMIFS(tblDaily[TransfersIn],tblDaily[EntryDate],DATE(2026,2,14),tblDaily[WardCode],"MAE")=0,"",SUMIFS(tblDaily[TransfersIn],tblDaily[EntryDate],DATE(2026,2,14),tblDaily[WardCode],"MAE")),"")</f>
        <v/>
      </c>
      <c r="G61" s="13" t="str">
        <f>IFERROR(IF(SUMIFS(tblDaily[TransfersOut],tblDaily[EntryDate],DATE(2026,2,14),tblDaily[WardCode],"MAE")=0,"",SUMIFS(tblDaily[TransfersOut],tblDaily[EntryDate],DATE(2026,2,14),tblDaily[WardCode],"MAE")),"")</f>
        <v/>
      </c>
      <c r="H61" s="13" t="str">
        <f>IFERROR(IF(SUMIFS(tblDaily[Remaining],tblDaily[EntryDate],DATE(2026,2,14),tblDaily[WardCode],"MAE")=0,"",SUMIFS(tblDaily[Remaining],tblDaily[EntryDate],DATE(2026,2,14),tblDaily[WardCode],"MAE")),"")</f>
        <v/>
      </c>
      <c r="I61" s="13" t="str">
        <f>IFERROR(IF(SUMIFS(tblDaily[Admissions],tblDaily[EntryDate],DATE(2026,2,14),tblDaily[WardCode],"FAE")=0,"",SUMIFS(tblDaily[Admissions],tblDaily[EntryDate],DATE(2026,2,14),tblDaily[WardCode],"FAE")),"")</f>
        <v/>
      </c>
      <c r="J61" s="13" t="str">
        <f>IFERROR(IF(SUMIFS(tblDaily[Discharges],tblDaily[EntryDate],DATE(2026,2,14),tblDaily[WardCode],"FAE")=0,"",SUMIFS(tblDaily[Discharges],tblDaily[EntryDate],DATE(2026,2,14),tblDaily[WardCode],"FAE")),"")</f>
        <v/>
      </c>
      <c r="K61" s="13" t="str">
        <f>IFERROR(IF(SUMIFS(tblDaily[Deaths],tblDaily[EntryDate],DATE(2026,2,14),tblDaily[WardCode],"FAE")=0,"",SUMIFS(tblDaily[Deaths],tblDaily[EntryDate],DATE(2026,2,14),tblDaily[WardCode],"FAE")),"")</f>
        <v/>
      </c>
      <c r="L61" s="13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3" t="str">
        <f>IFERROR(IF(SUMIFS(tblDaily[TransfersIn],tblDaily[EntryDate],DATE(2026,2,14),tblDaily[WardCode],"FAE")=0,"",SUMIFS(tblDaily[TransfersIn],tblDaily[EntryDate],DATE(2026,2,14),tblDaily[WardCode],"FAE")),"")</f>
        <v/>
      </c>
      <c r="N61" s="13" t="str">
        <f>IFERROR(IF(SUMIFS(tblDaily[TransfersOut],tblDaily[EntryDate],DATE(2026,2,14),tblDaily[WardCode],"FAE")=0,"",SUMIFS(tblDaily[TransfersOut],tblDaily[EntryDate],DATE(2026,2,14),tblDaily[WardCode],"FAE")),"")</f>
        <v/>
      </c>
      <c r="O61" s="13" t="str">
        <f>IFERROR(IF(SUMIFS(tblDaily[Remaining],tblDaily[EntryDate],DATE(2026,2,14),tblDaily[WardCode],"FAE")=0,"",SUMIFS(tblDaily[Remaining],tblDaily[EntryDate],DATE(2026,2,14),tblDaily[WardCode],"FAE")),"")</f>
        <v/>
      </c>
    </row>
    <row r="62" spans="1:15" x14ac:dyDescent="0.25">
      <c r="A62" s="13">
        <v>15</v>
      </c>
      <c r="B62" s="13" t="str">
        <f>IFERROR(IF(SUMIFS(tblDaily[Admissions],tblDaily[EntryDate],DATE(2026,2,15),tblDaily[WardCode],"MAE")=0,"",SUMIFS(tblDaily[Admissions],tblDaily[EntryDate],DATE(2026,2,15),tblDaily[WardCode],"MAE")),"")</f>
        <v/>
      </c>
      <c r="C62" s="13" t="str">
        <f>IFERROR(IF(SUMIFS(tblDaily[Discharges],tblDaily[EntryDate],DATE(2026,2,15),tblDaily[WardCode],"MAE")=0,"",SUMIFS(tblDaily[Discharges],tblDaily[EntryDate],DATE(2026,2,15),tblDaily[WardCode],"MAE")),"")</f>
        <v/>
      </c>
      <c r="D62" s="13" t="str">
        <f>IFERROR(IF(SUMIFS(tblDaily[Deaths],tblDaily[EntryDate],DATE(2026,2,15),tblDaily[WardCode],"MAE")=0,"",SUMIFS(tblDaily[Deaths],tblDaily[EntryDate],DATE(2026,2,15),tblDaily[WardCode],"MAE")),"")</f>
        <v/>
      </c>
      <c r="E62" s="13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3" t="str">
        <f>IFERROR(IF(SUMIFS(tblDaily[TransfersIn],tblDaily[EntryDate],DATE(2026,2,15),tblDaily[WardCode],"MAE")=0,"",SUMIFS(tblDaily[TransfersIn],tblDaily[EntryDate],DATE(2026,2,15),tblDaily[WardCode],"MAE")),"")</f>
        <v/>
      </c>
      <c r="G62" s="13" t="str">
        <f>IFERROR(IF(SUMIFS(tblDaily[TransfersOut],tblDaily[EntryDate],DATE(2026,2,15),tblDaily[WardCode],"MAE")=0,"",SUMIFS(tblDaily[TransfersOut],tblDaily[EntryDate],DATE(2026,2,15),tblDaily[WardCode],"MAE")),"")</f>
        <v/>
      </c>
      <c r="H62" s="13" t="str">
        <f>IFERROR(IF(SUMIFS(tblDaily[Remaining],tblDaily[EntryDate],DATE(2026,2,15),tblDaily[WardCode],"MAE")=0,"",SUMIFS(tblDaily[Remaining],tblDaily[EntryDate],DATE(2026,2,15),tblDaily[WardCode],"MAE")),"")</f>
        <v/>
      </c>
      <c r="I62" s="13" t="str">
        <f>IFERROR(IF(SUMIFS(tblDaily[Admissions],tblDaily[EntryDate],DATE(2026,2,15),tblDaily[WardCode],"FAE")=0,"",SUMIFS(tblDaily[Admissions],tblDaily[EntryDate],DATE(2026,2,15),tblDaily[WardCode],"FAE")),"")</f>
        <v/>
      </c>
      <c r="J62" s="13" t="str">
        <f>IFERROR(IF(SUMIFS(tblDaily[Discharges],tblDaily[EntryDate],DATE(2026,2,15),tblDaily[WardCode],"FAE")=0,"",SUMIFS(tblDaily[Discharges],tblDaily[EntryDate],DATE(2026,2,15),tblDaily[WardCode],"FAE")),"")</f>
        <v/>
      </c>
      <c r="K62" s="13" t="str">
        <f>IFERROR(IF(SUMIFS(tblDaily[Deaths],tblDaily[EntryDate],DATE(2026,2,15),tblDaily[WardCode],"FAE")=0,"",SUMIFS(tblDaily[Deaths],tblDaily[EntryDate],DATE(2026,2,15),tblDaily[WardCode],"FAE")),"")</f>
        <v/>
      </c>
      <c r="L62" s="13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3" t="str">
        <f>IFERROR(IF(SUMIFS(tblDaily[TransfersIn],tblDaily[EntryDate],DATE(2026,2,15),tblDaily[WardCode],"FAE")=0,"",SUMIFS(tblDaily[TransfersIn],tblDaily[EntryDate],DATE(2026,2,15),tblDaily[WardCode],"FAE")),"")</f>
        <v/>
      </c>
      <c r="N62" s="13" t="str">
        <f>IFERROR(IF(SUMIFS(tblDaily[TransfersOut],tblDaily[EntryDate],DATE(2026,2,15),tblDaily[WardCode],"FAE")=0,"",SUMIFS(tblDaily[TransfersOut],tblDaily[EntryDate],DATE(2026,2,15),tblDaily[WardCode],"FAE")),"")</f>
        <v/>
      </c>
      <c r="O62" s="13" t="str">
        <f>IFERROR(IF(SUMIFS(tblDaily[Remaining],tblDaily[EntryDate],DATE(2026,2,15),tblDaily[WardCode],"FAE")=0,"",SUMIFS(tblDaily[Remaining],tblDaily[EntryDate],DATE(2026,2,15),tblDaily[WardCode],"FAE")),"")</f>
        <v/>
      </c>
    </row>
    <row r="63" spans="1:15" x14ac:dyDescent="0.25">
      <c r="A63" s="13">
        <v>16</v>
      </c>
      <c r="B63" s="13" t="str">
        <f>IFERROR(IF(SUMIFS(tblDaily[Admissions],tblDaily[EntryDate],DATE(2026,2,16),tblDaily[WardCode],"MAE")=0,"",SUMIFS(tblDaily[Admissions],tblDaily[EntryDate],DATE(2026,2,16),tblDaily[WardCode],"MAE")),"")</f>
        <v/>
      </c>
      <c r="C63" s="13" t="str">
        <f>IFERROR(IF(SUMIFS(tblDaily[Discharges],tblDaily[EntryDate],DATE(2026,2,16),tblDaily[WardCode],"MAE")=0,"",SUMIFS(tblDaily[Discharges],tblDaily[EntryDate],DATE(2026,2,16),tblDaily[WardCode],"MAE")),"")</f>
        <v/>
      </c>
      <c r="D63" s="13" t="str">
        <f>IFERROR(IF(SUMIFS(tblDaily[Deaths],tblDaily[EntryDate],DATE(2026,2,16),tblDaily[WardCode],"MAE")=0,"",SUMIFS(tblDaily[Deaths],tblDaily[EntryDate],DATE(2026,2,16),tblDaily[WardCode],"MAE")),"")</f>
        <v/>
      </c>
      <c r="E63" s="13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3" t="str">
        <f>IFERROR(IF(SUMIFS(tblDaily[TransfersIn],tblDaily[EntryDate],DATE(2026,2,16),tblDaily[WardCode],"MAE")=0,"",SUMIFS(tblDaily[TransfersIn],tblDaily[EntryDate],DATE(2026,2,16),tblDaily[WardCode],"MAE")),"")</f>
        <v/>
      </c>
      <c r="G63" s="13" t="str">
        <f>IFERROR(IF(SUMIFS(tblDaily[TransfersOut],tblDaily[EntryDate],DATE(2026,2,16),tblDaily[WardCode],"MAE")=0,"",SUMIFS(tblDaily[TransfersOut],tblDaily[EntryDate],DATE(2026,2,16),tblDaily[WardCode],"MAE")),"")</f>
        <v/>
      </c>
      <c r="H63" s="13" t="str">
        <f>IFERROR(IF(SUMIFS(tblDaily[Remaining],tblDaily[EntryDate],DATE(2026,2,16),tblDaily[WardCode],"MAE")=0,"",SUMIFS(tblDaily[Remaining],tblDaily[EntryDate],DATE(2026,2,16),tblDaily[WardCode],"MAE")),"")</f>
        <v/>
      </c>
      <c r="I63" s="13" t="str">
        <f>IFERROR(IF(SUMIFS(tblDaily[Admissions],tblDaily[EntryDate],DATE(2026,2,16),tblDaily[WardCode],"FAE")=0,"",SUMIFS(tblDaily[Admissions],tblDaily[EntryDate],DATE(2026,2,16),tblDaily[WardCode],"FAE")),"")</f>
        <v/>
      </c>
      <c r="J63" s="13" t="str">
        <f>IFERROR(IF(SUMIFS(tblDaily[Discharges],tblDaily[EntryDate],DATE(2026,2,16),tblDaily[WardCode],"FAE")=0,"",SUMIFS(tblDaily[Discharges],tblDaily[EntryDate],DATE(2026,2,16),tblDaily[WardCode],"FAE")),"")</f>
        <v/>
      </c>
      <c r="K63" s="13" t="str">
        <f>IFERROR(IF(SUMIFS(tblDaily[Deaths],tblDaily[EntryDate],DATE(2026,2,16),tblDaily[WardCode],"FAE")=0,"",SUMIFS(tblDaily[Deaths],tblDaily[EntryDate],DATE(2026,2,16),tblDaily[WardCode],"FAE")),"")</f>
        <v/>
      </c>
      <c r="L63" s="13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3" t="str">
        <f>IFERROR(IF(SUMIFS(tblDaily[TransfersIn],tblDaily[EntryDate],DATE(2026,2,16),tblDaily[WardCode],"FAE")=0,"",SUMIFS(tblDaily[TransfersIn],tblDaily[EntryDate],DATE(2026,2,16),tblDaily[WardCode],"FAE")),"")</f>
        <v/>
      </c>
      <c r="N63" s="13" t="str">
        <f>IFERROR(IF(SUMIFS(tblDaily[TransfersOut],tblDaily[EntryDate],DATE(2026,2,16),tblDaily[WardCode],"FAE")=0,"",SUMIFS(tblDaily[TransfersOut],tblDaily[EntryDate],DATE(2026,2,16),tblDaily[WardCode],"FAE")),"")</f>
        <v/>
      </c>
      <c r="O63" s="13" t="str">
        <f>IFERROR(IF(SUMIFS(tblDaily[Remaining],tblDaily[EntryDate],DATE(2026,2,16),tblDaily[WardCode],"FAE")=0,"",SUMIFS(tblDaily[Remaining],tblDaily[EntryDate],DATE(2026,2,16),tblDaily[WardCode],"FAE")),"")</f>
        <v/>
      </c>
    </row>
    <row r="64" spans="1:15" x14ac:dyDescent="0.25">
      <c r="A64" s="13">
        <v>17</v>
      </c>
      <c r="B64" s="13" t="str">
        <f>IFERROR(IF(SUMIFS(tblDaily[Admissions],tblDaily[EntryDate],DATE(2026,2,17),tblDaily[WardCode],"MAE")=0,"",SUMIFS(tblDaily[Admissions],tblDaily[EntryDate],DATE(2026,2,17),tblDaily[WardCode],"MAE")),"")</f>
        <v/>
      </c>
      <c r="C64" s="13" t="str">
        <f>IFERROR(IF(SUMIFS(tblDaily[Discharges],tblDaily[EntryDate],DATE(2026,2,17),tblDaily[WardCode],"MAE")=0,"",SUMIFS(tblDaily[Discharges],tblDaily[EntryDate],DATE(2026,2,17),tblDaily[WardCode],"MAE")),"")</f>
        <v/>
      </c>
      <c r="D64" s="13" t="str">
        <f>IFERROR(IF(SUMIFS(tblDaily[Deaths],tblDaily[EntryDate],DATE(2026,2,17),tblDaily[WardCode],"MAE")=0,"",SUMIFS(tblDaily[Deaths],tblDaily[EntryDate],DATE(2026,2,17),tblDaily[WardCode],"MAE")),"")</f>
        <v/>
      </c>
      <c r="E64" s="13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3" t="str">
        <f>IFERROR(IF(SUMIFS(tblDaily[TransfersIn],tblDaily[EntryDate],DATE(2026,2,17),tblDaily[WardCode],"MAE")=0,"",SUMIFS(tblDaily[TransfersIn],tblDaily[EntryDate],DATE(2026,2,17),tblDaily[WardCode],"MAE")),"")</f>
        <v/>
      </c>
      <c r="G64" s="13" t="str">
        <f>IFERROR(IF(SUMIFS(tblDaily[TransfersOut],tblDaily[EntryDate],DATE(2026,2,17),tblDaily[WardCode],"MAE")=0,"",SUMIFS(tblDaily[TransfersOut],tblDaily[EntryDate],DATE(2026,2,17),tblDaily[WardCode],"MAE")),"")</f>
        <v/>
      </c>
      <c r="H64" s="13" t="str">
        <f>IFERROR(IF(SUMIFS(tblDaily[Remaining],tblDaily[EntryDate],DATE(2026,2,17),tblDaily[WardCode],"MAE")=0,"",SUMIFS(tblDaily[Remaining],tblDaily[EntryDate],DATE(2026,2,17),tblDaily[WardCode],"MAE")),"")</f>
        <v/>
      </c>
      <c r="I64" s="13" t="str">
        <f>IFERROR(IF(SUMIFS(tblDaily[Admissions],tblDaily[EntryDate],DATE(2026,2,17),tblDaily[WardCode],"FAE")=0,"",SUMIFS(tblDaily[Admissions],tblDaily[EntryDate],DATE(2026,2,17),tblDaily[WardCode],"FAE")),"")</f>
        <v/>
      </c>
      <c r="J64" s="13" t="str">
        <f>IFERROR(IF(SUMIFS(tblDaily[Discharges],tblDaily[EntryDate],DATE(2026,2,17),tblDaily[WardCode],"FAE")=0,"",SUMIFS(tblDaily[Discharges],tblDaily[EntryDate],DATE(2026,2,17),tblDaily[WardCode],"FAE")),"")</f>
        <v/>
      </c>
      <c r="K64" s="13" t="str">
        <f>IFERROR(IF(SUMIFS(tblDaily[Deaths],tblDaily[EntryDate],DATE(2026,2,17),tblDaily[WardCode],"FAE")=0,"",SUMIFS(tblDaily[Deaths],tblDaily[EntryDate],DATE(2026,2,17),tblDaily[WardCode],"FAE")),"")</f>
        <v/>
      </c>
      <c r="L64" s="13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3" t="str">
        <f>IFERROR(IF(SUMIFS(tblDaily[TransfersIn],tblDaily[EntryDate],DATE(2026,2,17),tblDaily[WardCode],"FAE")=0,"",SUMIFS(tblDaily[TransfersIn],tblDaily[EntryDate],DATE(2026,2,17),tblDaily[WardCode],"FAE")),"")</f>
        <v/>
      </c>
      <c r="N64" s="13" t="str">
        <f>IFERROR(IF(SUMIFS(tblDaily[TransfersOut],tblDaily[EntryDate],DATE(2026,2,17),tblDaily[WardCode],"FAE")=0,"",SUMIFS(tblDaily[TransfersOut],tblDaily[EntryDate],DATE(2026,2,17),tblDaily[WardCode],"FAE")),"")</f>
        <v/>
      </c>
      <c r="O64" s="13" t="str">
        <f>IFERROR(IF(SUMIFS(tblDaily[Remaining],tblDaily[EntryDate],DATE(2026,2,17),tblDaily[WardCode],"FAE")=0,"",SUMIFS(tblDaily[Remaining],tblDaily[EntryDate],DATE(2026,2,17),tblDaily[WardCode],"FAE")),"")</f>
        <v/>
      </c>
    </row>
    <row r="65" spans="1:15" x14ac:dyDescent="0.25">
      <c r="A65" s="13">
        <v>18</v>
      </c>
      <c r="B65" s="13" t="str">
        <f>IFERROR(IF(SUMIFS(tblDaily[Admissions],tblDaily[EntryDate],DATE(2026,2,18),tblDaily[WardCode],"MAE")=0,"",SUMIFS(tblDaily[Admissions],tblDaily[EntryDate],DATE(2026,2,18),tblDaily[WardCode],"MAE")),"")</f>
        <v/>
      </c>
      <c r="C65" s="13" t="str">
        <f>IFERROR(IF(SUMIFS(tblDaily[Discharges],tblDaily[EntryDate],DATE(2026,2,18),tblDaily[WardCode],"MAE")=0,"",SUMIFS(tblDaily[Discharges],tblDaily[EntryDate],DATE(2026,2,18),tblDaily[WardCode],"MAE")),"")</f>
        <v/>
      </c>
      <c r="D65" s="13" t="str">
        <f>IFERROR(IF(SUMIFS(tblDaily[Deaths],tblDaily[EntryDate],DATE(2026,2,18),tblDaily[WardCode],"MAE")=0,"",SUMIFS(tblDaily[Deaths],tblDaily[EntryDate],DATE(2026,2,18),tblDaily[WardCode],"MAE")),"")</f>
        <v/>
      </c>
      <c r="E65" s="13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3" t="str">
        <f>IFERROR(IF(SUMIFS(tblDaily[TransfersIn],tblDaily[EntryDate],DATE(2026,2,18),tblDaily[WardCode],"MAE")=0,"",SUMIFS(tblDaily[TransfersIn],tblDaily[EntryDate],DATE(2026,2,18),tblDaily[WardCode],"MAE")),"")</f>
        <v/>
      </c>
      <c r="G65" s="13" t="str">
        <f>IFERROR(IF(SUMIFS(tblDaily[TransfersOut],tblDaily[EntryDate],DATE(2026,2,18),tblDaily[WardCode],"MAE")=0,"",SUMIFS(tblDaily[TransfersOut],tblDaily[EntryDate],DATE(2026,2,18),tblDaily[WardCode],"MAE")),"")</f>
        <v/>
      </c>
      <c r="H65" s="13" t="str">
        <f>IFERROR(IF(SUMIFS(tblDaily[Remaining],tblDaily[EntryDate],DATE(2026,2,18),tblDaily[WardCode],"MAE")=0,"",SUMIFS(tblDaily[Remaining],tblDaily[EntryDate],DATE(2026,2,18),tblDaily[WardCode],"MAE")),"")</f>
        <v/>
      </c>
      <c r="I65" s="13" t="str">
        <f>IFERROR(IF(SUMIFS(tblDaily[Admissions],tblDaily[EntryDate],DATE(2026,2,18),tblDaily[WardCode],"FAE")=0,"",SUMIFS(tblDaily[Admissions],tblDaily[EntryDate],DATE(2026,2,18),tblDaily[WardCode],"FAE")),"")</f>
        <v/>
      </c>
      <c r="J65" s="13" t="str">
        <f>IFERROR(IF(SUMIFS(tblDaily[Discharges],tblDaily[EntryDate],DATE(2026,2,18),tblDaily[WardCode],"FAE")=0,"",SUMIFS(tblDaily[Discharges],tblDaily[EntryDate],DATE(2026,2,18),tblDaily[WardCode],"FAE")),"")</f>
        <v/>
      </c>
      <c r="K65" s="13" t="str">
        <f>IFERROR(IF(SUMIFS(tblDaily[Deaths],tblDaily[EntryDate],DATE(2026,2,18),tblDaily[WardCode],"FAE")=0,"",SUMIFS(tblDaily[Deaths],tblDaily[EntryDate],DATE(2026,2,18),tblDaily[WardCode],"FAE")),"")</f>
        <v/>
      </c>
      <c r="L65" s="13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3" t="str">
        <f>IFERROR(IF(SUMIFS(tblDaily[TransfersIn],tblDaily[EntryDate],DATE(2026,2,18),tblDaily[WardCode],"FAE")=0,"",SUMIFS(tblDaily[TransfersIn],tblDaily[EntryDate],DATE(2026,2,18),tblDaily[WardCode],"FAE")),"")</f>
        <v/>
      </c>
      <c r="N65" s="13" t="str">
        <f>IFERROR(IF(SUMIFS(tblDaily[TransfersOut],tblDaily[EntryDate],DATE(2026,2,18),tblDaily[WardCode],"FAE")=0,"",SUMIFS(tblDaily[TransfersOut],tblDaily[EntryDate],DATE(2026,2,18),tblDaily[WardCode],"FAE")),"")</f>
        <v/>
      </c>
      <c r="O65" s="13" t="str">
        <f>IFERROR(IF(SUMIFS(tblDaily[Remaining],tblDaily[EntryDate],DATE(2026,2,18),tblDaily[WardCode],"FAE")=0,"",SUMIFS(tblDaily[Remaining],tblDaily[EntryDate],DATE(2026,2,18),tblDaily[WardCode],"FAE")),"")</f>
        <v/>
      </c>
    </row>
    <row r="66" spans="1:15" x14ac:dyDescent="0.25">
      <c r="A66" s="13">
        <v>19</v>
      </c>
      <c r="B66" s="13" t="str">
        <f>IFERROR(IF(SUMIFS(tblDaily[Admissions],tblDaily[EntryDate],DATE(2026,2,19),tblDaily[WardCode],"MAE")=0,"",SUMIFS(tblDaily[Admissions],tblDaily[EntryDate],DATE(2026,2,19),tblDaily[WardCode],"MAE")),"")</f>
        <v/>
      </c>
      <c r="C66" s="13" t="str">
        <f>IFERROR(IF(SUMIFS(tblDaily[Discharges],tblDaily[EntryDate],DATE(2026,2,19),tblDaily[WardCode],"MAE")=0,"",SUMIFS(tblDaily[Discharges],tblDaily[EntryDate],DATE(2026,2,19),tblDaily[WardCode],"MAE")),"")</f>
        <v/>
      </c>
      <c r="D66" s="13" t="str">
        <f>IFERROR(IF(SUMIFS(tblDaily[Deaths],tblDaily[EntryDate],DATE(2026,2,19),tblDaily[WardCode],"MAE")=0,"",SUMIFS(tblDaily[Deaths],tblDaily[EntryDate],DATE(2026,2,19),tblDaily[WardCode],"MAE")),"")</f>
        <v/>
      </c>
      <c r="E66" s="13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3" t="str">
        <f>IFERROR(IF(SUMIFS(tblDaily[TransfersIn],tblDaily[EntryDate],DATE(2026,2,19),tblDaily[WardCode],"MAE")=0,"",SUMIFS(tblDaily[TransfersIn],tblDaily[EntryDate],DATE(2026,2,19),tblDaily[WardCode],"MAE")),"")</f>
        <v/>
      </c>
      <c r="G66" s="13" t="str">
        <f>IFERROR(IF(SUMIFS(tblDaily[TransfersOut],tblDaily[EntryDate],DATE(2026,2,19),tblDaily[WardCode],"MAE")=0,"",SUMIFS(tblDaily[TransfersOut],tblDaily[EntryDate],DATE(2026,2,19),tblDaily[WardCode],"MAE")),"")</f>
        <v/>
      </c>
      <c r="H66" s="13" t="str">
        <f>IFERROR(IF(SUMIFS(tblDaily[Remaining],tblDaily[EntryDate],DATE(2026,2,19),tblDaily[WardCode],"MAE")=0,"",SUMIFS(tblDaily[Remaining],tblDaily[EntryDate],DATE(2026,2,19),tblDaily[WardCode],"MAE")),"")</f>
        <v/>
      </c>
      <c r="I66" s="13" t="str">
        <f>IFERROR(IF(SUMIFS(tblDaily[Admissions],tblDaily[EntryDate],DATE(2026,2,19),tblDaily[WardCode],"FAE")=0,"",SUMIFS(tblDaily[Admissions],tblDaily[EntryDate],DATE(2026,2,19),tblDaily[WardCode],"FAE")),"")</f>
        <v/>
      </c>
      <c r="J66" s="13" t="str">
        <f>IFERROR(IF(SUMIFS(tblDaily[Discharges],tblDaily[EntryDate],DATE(2026,2,19),tblDaily[WardCode],"FAE")=0,"",SUMIFS(tblDaily[Discharges],tblDaily[EntryDate],DATE(2026,2,19),tblDaily[WardCode],"FAE")),"")</f>
        <v/>
      </c>
      <c r="K66" s="13" t="str">
        <f>IFERROR(IF(SUMIFS(tblDaily[Deaths],tblDaily[EntryDate],DATE(2026,2,19),tblDaily[WardCode],"FAE")=0,"",SUMIFS(tblDaily[Deaths],tblDaily[EntryDate],DATE(2026,2,19),tblDaily[WardCode],"FAE")),"")</f>
        <v/>
      </c>
      <c r="L66" s="13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3" t="str">
        <f>IFERROR(IF(SUMIFS(tblDaily[TransfersIn],tblDaily[EntryDate],DATE(2026,2,19),tblDaily[WardCode],"FAE")=0,"",SUMIFS(tblDaily[TransfersIn],tblDaily[EntryDate],DATE(2026,2,19),tblDaily[WardCode],"FAE")),"")</f>
        <v/>
      </c>
      <c r="N66" s="13" t="str">
        <f>IFERROR(IF(SUMIFS(tblDaily[TransfersOut],tblDaily[EntryDate],DATE(2026,2,19),tblDaily[WardCode],"FAE")=0,"",SUMIFS(tblDaily[TransfersOut],tblDaily[EntryDate],DATE(2026,2,19),tblDaily[WardCode],"FAE")),"")</f>
        <v/>
      </c>
      <c r="O66" s="13" t="str">
        <f>IFERROR(IF(SUMIFS(tblDaily[Remaining],tblDaily[EntryDate],DATE(2026,2,19),tblDaily[WardCode],"FAE")=0,"",SUMIFS(tblDaily[Remaining],tblDaily[EntryDate],DATE(2026,2,19),tblDaily[WardCode],"FAE")),"")</f>
        <v/>
      </c>
    </row>
    <row r="67" spans="1:15" x14ac:dyDescent="0.25">
      <c r="A67" s="13">
        <v>20</v>
      </c>
      <c r="B67" s="13" t="str">
        <f>IFERROR(IF(SUMIFS(tblDaily[Admissions],tblDaily[EntryDate],DATE(2026,2,20),tblDaily[WardCode],"MAE")=0,"",SUMIFS(tblDaily[Admissions],tblDaily[EntryDate],DATE(2026,2,20),tblDaily[WardCode],"MAE")),"")</f>
        <v/>
      </c>
      <c r="C67" s="13" t="str">
        <f>IFERROR(IF(SUMIFS(tblDaily[Discharges],tblDaily[EntryDate],DATE(2026,2,20),tblDaily[WardCode],"MAE")=0,"",SUMIFS(tblDaily[Discharges],tblDaily[EntryDate],DATE(2026,2,20),tblDaily[WardCode],"MAE")),"")</f>
        <v/>
      </c>
      <c r="D67" s="13" t="str">
        <f>IFERROR(IF(SUMIFS(tblDaily[Deaths],tblDaily[EntryDate],DATE(2026,2,20),tblDaily[WardCode],"MAE")=0,"",SUMIFS(tblDaily[Deaths],tblDaily[EntryDate],DATE(2026,2,20),tblDaily[WardCode],"MAE")),"")</f>
        <v/>
      </c>
      <c r="E67" s="13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3" t="str">
        <f>IFERROR(IF(SUMIFS(tblDaily[TransfersIn],tblDaily[EntryDate],DATE(2026,2,20),tblDaily[WardCode],"MAE")=0,"",SUMIFS(tblDaily[TransfersIn],tblDaily[EntryDate],DATE(2026,2,20),tblDaily[WardCode],"MAE")),"")</f>
        <v/>
      </c>
      <c r="G67" s="13" t="str">
        <f>IFERROR(IF(SUMIFS(tblDaily[TransfersOut],tblDaily[EntryDate],DATE(2026,2,20),tblDaily[WardCode],"MAE")=0,"",SUMIFS(tblDaily[TransfersOut],tblDaily[EntryDate],DATE(2026,2,20),tblDaily[WardCode],"MAE")),"")</f>
        <v/>
      </c>
      <c r="H67" s="13" t="str">
        <f>IFERROR(IF(SUMIFS(tblDaily[Remaining],tblDaily[EntryDate],DATE(2026,2,20),tblDaily[WardCode],"MAE")=0,"",SUMIFS(tblDaily[Remaining],tblDaily[EntryDate],DATE(2026,2,20),tblDaily[WardCode],"MAE")),"")</f>
        <v/>
      </c>
      <c r="I67" s="13" t="str">
        <f>IFERROR(IF(SUMIFS(tblDaily[Admissions],tblDaily[EntryDate],DATE(2026,2,20),tblDaily[WardCode],"FAE")=0,"",SUMIFS(tblDaily[Admissions],tblDaily[EntryDate],DATE(2026,2,20),tblDaily[WardCode],"FAE")),"")</f>
        <v/>
      </c>
      <c r="J67" s="13" t="str">
        <f>IFERROR(IF(SUMIFS(tblDaily[Discharges],tblDaily[EntryDate],DATE(2026,2,20),tblDaily[WardCode],"FAE")=0,"",SUMIFS(tblDaily[Discharges],tblDaily[EntryDate],DATE(2026,2,20),tblDaily[WardCode],"FAE")),"")</f>
        <v/>
      </c>
      <c r="K67" s="13" t="str">
        <f>IFERROR(IF(SUMIFS(tblDaily[Deaths],tblDaily[EntryDate],DATE(2026,2,20),tblDaily[WardCode],"FAE")=0,"",SUMIFS(tblDaily[Deaths],tblDaily[EntryDate],DATE(2026,2,20),tblDaily[WardCode],"FAE")),"")</f>
        <v/>
      </c>
      <c r="L67" s="13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3" t="str">
        <f>IFERROR(IF(SUMIFS(tblDaily[TransfersIn],tblDaily[EntryDate],DATE(2026,2,20),tblDaily[WardCode],"FAE")=0,"",SUMIFS(tblDaily[TransfersIn],tblDaily[EntryDate],DATE(2026,2,20),tblDaily[WardCode],"FAE")),"")</f>
        <v/>
      </c>
      <c r="N67" s="13" t="str">
        <f>IFERROR(IF(SUMIFS(tblDaily[TransfersOut],tblDaily[EntryDate],DATE(2026,2,20),tblDaily[WardCode],"FAE")=0,"",SUMIFS(tblDaily[TransfersOut],tblDaily[EntryDate],DATE(2026,2,20),tblDaily[WardCode],"FAE")),"")</f>
        <v/>
      </c>
      <c r="O67" s="13" t="str">
        <f>IFERROR(IF(SUMIFS(tblDaily[Remaining],tblDaily[EntryDate],DATE(2026,2,20),tblDaily[WardCode],"FAE")=0,"",SUMIFS(tblDaily[Remaining],tblDaily[EntryDate],DATE(2026,2,20),tblDaily[WardCode],"FAE")),"")</f>
        <v/>
      </c>
    </row>
    <row r="68" spans="1:15" x14ac:dyDescent="0.25">
      <c r="A68" s="13">
        <v>21</v>
      </c>
      <c r="B68" s="13" t="str">
        <f>IFERROR(IF(SUMIFS(tblDaily[Admissions],tblDaily[EntryDate],DATE(2026,2,21),tblDaily[WardCode],"MAE")=0,"",SUMIFS(tblDaily[Admissions],tblDaily[EntryDate],DATE(2026,2,21),tblDaily[WardCode],"MAE")),"")</f>
        <v/>
      </c>
      <c r="C68" s="13" t="str">
        <f>IFERROR(IF(SUMIFS(tblDaily[Discharges],tblDaily[EntryDate],DATE(2026,2,21),tblDaily[WardCode],"MAE")=0,"",SUMIFS(tblDaily[Discharges],tblDaily[EntryDate],DATE(2026,2,21),tblDaily[WardCode],"MAE")),"")</f>
        <v/>
      </c>
      <c r="D68" s="13" t="str">
        <f>IFERROR(IF(SUMIFS(tblDaily[Deaths],tblDaily[EntryDate],DATE(2026,2,21),tblDaily[WardCode],"MAE")=0,"",SUMIFS(tblDaily[Deaths],tblDaily[EntryDate],DATE(2026,2,21),tblDaily[WardCode],"MAE")),"")</f>
        <v/>
      </c>
      <c r="E68" s="13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3" t="str">
        <f>IFERROR(IF(SUMIFS(tblDaily[TransfersIn],tblDaily[EntryDate],DATE(2026,2,21),tblDaily[WardCode],"MAE")=0,"",SUMIFS(tblDaily[TransfersIn],tblDaily[EntryDate],DATE(2026,2,21),tblDaily[WardCode],"MAE")),"")</f>
        <v/>
      </c>
      <c r="G68" s="13" t="str">
        <f>IFERROR(IF(SUMIFS(tblDaily[TransfersOut],tblDaily[EntryDate],DATE(2026,2,21),tblDaily[WardCode],"MAE")=0,"",SUMIFS(tblDaily[TransfersOut],tblDaily[EntryDate],DATE(2026,2,21),tblDaily[WardCode],"MAE")),"")</f>
        <v/>
      </c>
      <c r="H68" s="13" t="str">
        <f>IFERROR(IF(SUMIFS(tblDaily[Remaining],tblDaily[EntryDate],DATE(2026,2,21),tblDaily[WardCode],"MAE")=0,"",SUMIFS(tblDaily[Remaining],tblDaily[EntryDate],DATE(2026,2,21),tblDaily[WardCode],"MAE")),"")</f>
        <v/>
      </c>
      <c r="I68" s="13" t="str">
        <f>IFERROR(IF(SUMIFS(tblDaily[Admissions],tblDaily[EntryDate],DATE(2026,2,21),tblDaily[WardCode],"FAE")=0,"",SUMIFS(tblDaily[Admissions],tblDaily[EntryDate],DATE(2026,2,21),tblDaily[WardCode],"FAE")),"")</f>
        <v/>
      </c>
      <c r="J68" s="13" t="str">
        <f>IFERROR(IF(SUMIFS(tblDaily[Discharges],tblDaily[EntryDate],DATE(2026,2,21),tblDaily[WardCode],"FAE")=0,"",SUMIFS(tblDaily[Discharges],tblDaily[EntryDate],DATE(2026,2,21),tblDaily[WardCode],"FAE")),"")</f>
        <v/>
      </c>
      <c r="K68" s="13" t="str">
        <f>IFERROR(IF(SUMIFS(tblDaily[Deaths],tblDaily[EntryDate],DATE(2026,2,21),tblDaily[WardCode],"FAE")=0,"",SUMIFS(tblDaily[Deaths],tblDaily[EntryDate],DATE(2026,2,21),tblDaily[WardCode],"FAE")),"")</f>
        <v/>
      </c>
      <c r="L68" s="13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3" t="str">
        <f>IFERROR(IF(SUMIFS(tblDaily[TransfersIn],tblDaily[EntryDate],DATE(2026,2,21),tblDaily[WardCode],"FAE")=0,"",SUMIFS(tblDaily[TransfersIn],tblDaily[EntryDate],DATE(2026,2,21),tblDaily[WardCode],"FAE")),"")</f>
        <v/>
      </c>
      <c r="N68" s="13" t="str">
        <f>IFERROR(IF(SUMIFS(tblDaily[TransfersOut],tblDaily[EntryDate],DATE(2026,2,21),tblDaily[WardCode],"FAE")=0,"",SUMIFS(tblDaily[TransfersOut],tblDaily[EntryDate],DATE(2026,2,21),tblDaily[WardCode],"FAE")),"")</f>
        <v/>
      </c>
      <c r="O68" s="13" t="str">
        <f>IFERROR(IF(SUMIFS(tblDaily[Remaining],tblDaily[EntryDate],DATE(2026,2,21),tblDaily[WardCode],"FAE")=0,"",SUMIFS(tblDaily[Remaining],tblDaily[EntryDate],DATE(2026,2,21),tblDaily[WardCode],"FAE")),"")</f>
        <v/>
      </c>
    </row>
    <row r="69" spans="1:15" x14ac:dyDescent="0.25">
      <c r="A69" s="13">
        <v>22</v>
      </c>
      <c r="B69" s="13" t="str">
        <f>IFERROR(IF(SUMIFS(tblDaily[Admissions],tblDaily[EntryDate],DATE(2026,2,22),tblDaily[WardCode],"MAE")=0,"",SUMIFS(tblDaily[Admissions],tblDaily[EntryDate],DATE(2026,2,22),tblDaily[WardCode],"MAE")),"")</f>
        <v/>
      </c>
      <c r="C69" s="13" t="str">
        <f>IFERROR(IF(SUMIFS(tblDaily[Discharges],tblDaily[EntryDate],DATE(2026,2,22),tblDaily[WardCode],"MAE")=0,"",SUMIFS(tblDaily[Discharges],tblDaily[EntryDate],DATE(2026,2,22),tblDaily[WardCode],"MAE")),"")</f>
        <v/>
      </c>
      <c r="D69" s="13" t="str">
        <f>IFERROR(IF(SUMIFS(tblDaily[Deaths],tblDaily[EntryDate],DATE(2026,2,22),tblDaily[WardCode],"MAE")=0,"",SUMIFS(tblDaily[Deaths],tblDaily[EntryDate],DATE(2026,2,22),tblDaily[WardCode],"MAE")),"")</f>
        <v/>
      </c>
      <c r="E69" s="13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3" t="str">
        <f>IFERROR(IF(SUMIFS(tblDaily[TransfersIn],tblDaily[EntryDate],DATE(2026,2,22),tblDaily[WardCode],"MAE")=0,"",SUMIFS(tblDaily[TransfersIn],tblDaily[EntryDate],DATE(2026,2,22),tblDaily[WardCode],"MAE")),"")</f>
        <v/>
      </c>
      <c r="G69" s="13" t="str">
        <f>IFERROR(IF(SUMIFS(tblDaily[TransfersOut],tblDaily[EntryDate],DATE(2026,2,22),tblDaily[WardCode],"MAE")=0,"",SUMIFS(tblDaily[TransfersOut],tblDaily[EntryDate],DATE(2026,2,22),tblDaily[WardCode],"MAE")),"")</f>
        <v/>
      </c>
      <c r="H69" s="13" t="str">
        <f>IFERROR(IF(SUMIFS(tblDaily[Remaining],tblDaily[EntryDate],DATE(2026,2,22),tblDaily[WardCode],"MAE")=0,"",SUMIFS(tblDaily[Remaining],tblDaily[EntryDate],DATE(2026,2,22),tblDaily[WardCode],"MAE")),"")</f>
        <v/>
      </c>
      <c r="I69" s="13" t="str">
        <f>IFERROR(IF(SUMIFS(tblDaily[Admissions],tblDaily[EntryDate],DATE(2026,2,22),tblDaily[WardCode],"FAE")=0,"",SUMIFS(tblDaily[Admissions],tblDaily[EntryDate],DATE(2026,2,22),tblDaily[WardCode],"FAE")),"")</f>
        <v/>
      </c>
      <c r="J69" s="13" t="str">
        <f>IFERROR(IF(SUMIFS(tblDaily[Discharges],tblDaily[EntryDate],DATE(2026,2,22),tblDaily[WardCode],"FAE")=0,"",SUMIFS(tblDaily[Discharges],tblDaily[EntryDate],DATE(2026,2,22),tblDaily[WardCode],"FAE")),"")</f>
        <v/>
      </c>
      <c r="K69" s="13" t="str">
        <f>IFERROR(IF(SUMIFS(tblDaily[Deaths],tblDaily[EntryDate],DATE(2026,2,22),tblDaily[WardCode],"FAE")=0,"",SUMIFS(tblDaily[Deaths],tblDaily[EntryDate],DATE(2026,2,22),tblDaily[WardCode],"FAE")),"")</f>
        <v/>
      </c>
      <c r="L69" s="13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3" t="str">
        <f>IFERROR(IF(SUMIFS(tblDaily[TransfersIn],tblDaily[EntryDate],DATE(2026,2,22),tblDaily[WardCode],"FAE")=0,"",SUMIFS(tblDaily[TransfersIn],tblDaily[EntryDate],DATE(2026,2,22),tblDaily[WardCode],"FAE")),"")</f>
        <v/>
      </c>
      <c r="N69" s="13" t="str">
        <f>IFERROR(IF(SUMIFS(tblDaily[TransfersOut],tblDaily[EntryDate],DATE(2026,2,22),tblDaily[WardCode],"FAE")=0,"",SUMIFS(tblDaily[TransfersOut],tblDaily[EntryDate],DATE(2026,2,22),tblDaily[WardCode],"FAE")),"")</f>
        <v/>
      </c>
      <c r="O69" s="13" t="str">
        <f>IFERROR(IF(SUMIFS(tblDaily[Remaining],tblDaily[EntryDate],DATE(2026,2,22),tblDaily[WardCode],"FAE")=0,"",SUMIFS(tblDaily[Remaining],tblDaily[EntryDate],DATE(2026,2,22),tblDaily[WardCode],"FAE")),"")</f>
        <v/>
      </c>
    </row>
    <row r="70" spans="1:15" x14ac:dyDescent="0.25">
      <c r="A70" s="13">
        <v>23</v>
      </c>
      <c r="B70" s="13" t="str">
        <f>IFERROR(IF(SUMIFS(tblDaily[Admissions],tblDaily[EntryDate],DATE(2026,2,23),tblDaily[WardCode],"MAE")=0,"",SUMIFS(tblDaily[Admissions],tblDaily[EntryDate],DATE(2026,2,23),tblDaily[WardCode],"MAE")),"")</f>
        <v/>
      </c>
      <c r="C70" s="13" t="str">
        <f>IFERROR(IF(SUMIFS(tblDaily[Discharges],tblDaily[EntryDate],DATE(2026,2,23),tblDaily[WardCode],"MAE")=0,"",SUMIFS(tblDaily[Discharges],tblDaily[EntryDate],DATE(2026,2,23),tblDaily[WardCode],"MAE")),"")</f>
        <v/>
      </c>
      <c r="D70" s="13" t="str">
        <f>IFERROR(IF(SUMIFS(tblDaily[Deaths],tblDaily[EntryDate],DATE(2026,2,23),tblDaily[WardCode],"MAE")=0,"",SUMIFS(tblDaily[Deaths],tblDaily[EntryDate],DATE(2026,2,23),tblDaily[WardCode],"MAE")),"")</f>
        <v/>
      </c>
      <c r="E70" s="13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3" t="str">
        <f>IFERROR(IF(SUMIFS(tblDaily[TransfersIn],tblDaily[EntryDate],DATE(2026,2,23),tblDaily[WardCode],"MAE")=0,"",SUMIFS(tblDaily[TransfersIn],tblDaily[EntryDate],DATE(2026,2,23),tblDaily[WardCode],"MAE")),"")</f>
        <v/>
      </c>
      <c r="G70" s="13" t="str">
        <f>IFERROR(IF(SUMIFS(tblDaily[TransfersOut],tblDaily[EntryDate],DATE(2026,2,23),tblDaily[WardCode],"MAE")=0,"",SUMIFS(tblDaily[TransfersOut],tblDaily[EntryDate],DATE(2026,2,23),tblDaily[WardCode],"MAE")),"")</f>
        <v/>
      </c>
      <c r="H70" s="13" t="str">
        <f>IFERROR(IF(SUMIFS(tblDaily[Remaining],tblDaily[EntryDate],DATE(2026,2,23),tblDaily[WardCode],"MAE")=0,"",SUMIFS(tblDaily[Remaining],tblDaily[EntryDate],DATE(2026,2,23),tblDaily[WardCode],"MAE")),"")</f>
        <v/>
      </c>
      <c r="I70" s="13" t="str">
        <f>IFERROR(IF(SUMIFS(tblDaily[Admissions],tblDaily[EntryDate],DATE(2026,2,23),tblDaily[WardCode],"FAE")=0,"",SUMIFS(tblDaily[Admissions],tblDaily[EntryDate],DATE(2026,2,23),tblDaily[WardCode],"FAE")),"")</f>
        <v/>
      </c>
      <c r="J70" s="13" t="str">
        <f>IFERROR(IF(SUMIFS(tblDaily[Discharges],tblDaily[EntryDate],DATE(2026,2,23),tblDaily[WardCode],"FAE")=0,"",SUMIFS(tblDaily[Discharges],tblDaily[EntryDate],DATE(2026,2,23),tblDaily[WardCode],"FAE")),"")</f>
        <v/>
      </c>
      <c r="K70" s="13" t="str">
        <f>IFERROR(IF(SUMIFS(tblDaily[Deaths],tblDaily[EntryDate],DATE(2026,2,23),tblDaily[WardCode],"FAE")=0,"",SUMIFS(tblDaily[Deaths],tblDaily[EntryDate],DATE(2026,2,23),tblDaily[WardCode],"FAE")),"")</f>
        <v/>
      </c>
      <c r="L70" s="13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3" t="str">
        <f>IFERROR(IF(SUMIFS(tblDaily[TransfersIn],tblDaily[EntryDate],DATE(2026,2,23),tblDaily[WardCode],"FAE")=0,"",SUMIFS(tblDaily[TransfersIn],tblDaily[EntryDate],DATE(2026,2,23),tblDaily[WardCode],"FAE")),"")</f>
        <v/>
      </c>
      <c r="N70" s="13" t="str">
        <f>IFERROR(IF(SUMIFS(tblDaily[TransfersOut],tblDaily[EntryDate],DATE(2026,2,23),tblDaily[WardCode],"FAE")=0,"",SUMIFS(tblDaily[TransfersOut],tblDaily[EntryDate],DATE(2026,2,23),tblDaily[WardCode],"FAE")),"")</f>
        <v/>
      </c>
      <c r="O70" s="13" t="str">
        <f>IFERROR(IF(SUMIFS(tblDaily[Remaining],tblDaily[EntryDate],DATE(2026,2,23),tblDaily[WardCode],"FAE")=0,"",SUMIFS(tblDaily[Remaining],tblDaily[EntryDate],DATE(2026,2,23),tblDaily[WardCode],"FAE")),"")</f>
        <v/>
      </c>
    </row>
    <row r="71" spans="1:15" x14ac:dyDescent="0.25">
      <c r="A71" s="13">
        <v>24</v>
      </c>
      <c r="B71" s="13" t="str">
        <f>IFERROR(IF(SUMIFS(tblDaily[Admissions],tblDaily[EntryDate],DATE(2026,2,24),tblDaily[WardCode],"MAE")=0,"",SUMIFS(tblDaily[Admissions],tblDaily[EntryDate],DATE(2026,2,24),tblDaily[WardCode],"MAE")),"")</f>
        <v/>
      </c>
      <c r="C71" s="13" t="str">
        <f>IFERROR(IF(SUMIFS(tblDaily[Discharges],tblDaily[EntryDate],DATE(2026,2,24),tblDaily[WardCode],"MAE")=0,"",SUMIFS(tblDaily[Discharges],tblDaily[EntryDate],DATE(2026,2,24),tblDaily[WardCode],"MAE")),"")</f>
        <v/>
      </c>
      <c r="D71" s="13" t="str">
        <f>IFERROR(IF(SUMIFS(tblDaily[Deaths],tblDaily[EntryDate],DATE(2026,2,24),tblDaily[WardCode],"MAE")=0,"",SUMIFS(tblDaily[Deaths],tblDaily[EntryDate],DATE(2026,2,24),tblDaily[WardCode],"MAE")),"")</f>
        <v/>
      </c>
      <c r="E71" s="13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3" t="str">
        <f>IFERROR(IF(SUMIFS(tblDaily[TransfersIn],tblDaily[EntryDate],DATE(2026,2,24),tblDaily[WardCode],"MAE")=0,"",SUMIFS(tblDaily[TransfersIn],tblDaily[EntryDate],DATE(2026,2,24),tblDaily[WardCode],"MAE")),"")</f>
        <v/>
      </c>
      <c r="G71" s="13" t="str">
        <f>IFERROR(IF(SUMIFS(tblDaily[TransfersOut],tblDaily[EntryDate],DATE(2026,2,24),tblDaily[WardCode],"MAE")=0,"",SUMIFS(tblDaily[TransfersOut],tblDaily[EntryDate],DATE(2026,2,24),tblDaily[WardCode],"MAE")),"")</f>
        <v/>
      </c>
      <c r="H71" s="13" t="str">
        <f>IFERROR(IF(SUMIFS(tblDaily[Remaining],tblDaily[EntryDate],DATE(2026,2,24),tblDaily[WardCode],"MAE")=0,"",SUMIFS(tblDaily[Remaining],tblDaily[EntryDate],DATE(2026,2,24),tblDaily[WardCode],"MAE")),"")</f>
        <v/>
      </c>
      <c r="I71" s="13" t="str">
        <f>IFERROR(IF(SUMIFS(tblDaily[Admissions],tblDaily[EntryDate],DATE(2026,2,24),tblDaily[WardCode],"FAE")=0,"",SUMIFS(tblDaily[Admissions],tblDaily[EntryDate],DATE(2026,2,24),tblDaily[WardCode],"FAE")),"")</f>
        <v/>
      </c>
      <c r="J71" s="13" t="str">
        <f>IFERROR(IF(SUMIFS(tblDaily[Discharges],tblDaily[EntryDate],DATE(2026,2,24),tblDaily[WardCode],"FAE")=0,"",SUMIFS(tblDaily[Discharges],tblDaily[EntryDate],DATE(2026,2,24),tblDaily[WardCode],"FAE")),"")</f>
        <v/>
      </c>
      <c r="K71" s="13" t="str">
        <f>IFERROR(IF(SUMIFS(tblDaily[Deaths],tblDaily[EntryDate],DATE(2026,2,24),tblDaily[WardCode],"FAE")=0,"",SUMIFS(tblDaily[Deaths],tblDaily[EntryDate],DATE(2026,2,24),tblDaily[WardCode],"FAE")),"")</f>
        <v/>
      </c>
      <c r="L71" s="13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3" t="str">
        <f>IFERROR(IF(SUMIFS(tblDaily[TransfersIn],tblDaily[EntryDate],DATE(2026,2,24),tblDaily[WardCode],"FAE")=0,"",SUMIFS(tblDaily[TransfersIn],tblDaily[EntryDate],DATE(2026,2,24),tblDaily[WardCode],"FAE")),"")</f>
        <v/>
      </c>
      <c r="N71" s="13" t="str">
        <f>IFERROR(IF(SUMIFS(tblDaily[TransfersOut],tblDaily[EntryDate],DATE(2026,2,24),tblDaily[WardCode],"FAE")=0,"",SUMIFS(tblDaily[TransfersOut],tblDaily[EntryDate],DATE(2026,2,24),tblDaily[WardCode],"FAE")),"")</f>
        <v/>
      </c>
      <c r="O71" s="13" t="str">
        <f>IFERROR(IF(SUMIFS(tblDaily[Remaining],tblDaily[EntryDate],DATE(2026,2,24),tblDaily[WardCode],"FAE")=0,"",SUMIFS(tblDaily[Remaining],tblDaily[EntryDate],DATE(2026,2,24),tblDaily[WardCode],"FAE")),"")</f>
        <v/>
      </c>
    </row>
    <row r="72" spans="1:15" x14ac:dyDescent="0.25">
      <c r="A72" s="13">
        <v>25</v>
      </c>
      <c r="B72" s="13" t="str">
        <f>IFERROR(IF(SUMIFS(tblDaily[Admissions],tblDaily[EntryDate],DATE(2026,2,25),tblDaily[WardCode],"MAE")=0,"",SUMIFS(tblDaily[Admissions],tblDaily[EntryDate],DATE(2026,2,25),tblDaily[WardCode],"MAE")),"")</f>
        <v/>
      </c>
      <c r="C72" s="13" t="str">
        <f>IFERROR(IF(SUMIFS(tblDaily[Discharges],tblDaily[EntryDate],DATE(2026,2,25),tblDaily[WardCode],"MAE")=0,"",SUMIFS(tblDaily[Discharges],tblDaily[EntryDate],DATE(2026,2,25),tblDaily[WardCode],"MAE")),"")</f>
        <v/>
      </c>
      <c r="D72" s="13" t="str">
        <f>IFERROR(IF(SUMIFS(tblDaily[Deaths],tblDaily[EntryDate],DATE(2026,2,25),tblDaily[WardCode],"MAE")=0,"",SUMIFS(tblDaily[Deaths],tblDaily[EntryDate],DATE(2026,2,25),tblDaily[WardCode],"MAE")),"")</f>
        <v/>
      </c>
      <c r="E72" s="13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3" t="str">
        <f>IFERROR(IF(SUMIFS(tblDaily[TransfersIn],tblDaily[EntryDate],DATE(2026,2,25),tblDaily[WardCode],"MAE")=0,"",SUMIFS(tblDaily[TransfersIn],tblDaily[EntryDate],DATE(2026,2,25),tblDaily[WardCode],"MAE")),"")</f>
        <v/>
      </c>
      <c r="G72" s="13" t="str">
        <f>IFERROR(IF(SUMIFS(tblDaily[TransfersOut],tblDaily[EntryDate],DATE(2026,2,25),tblDaily[WardCode],"MAE")=0,"",SUMIFS(tblDaily[TransfersOut],tblDaily[EntryDate],DATE(2026,2,25),tblDaily[WardCode],"MAE")),"")</f>
        <v/>
      </c>
      <c r="H72" s="13" t="str">
        <f>IFERROR(IF(SUMIFS(tblDaily[Remaining],tblDaily[EntryDate],DATE(2026,2,25),tblDaily[WardCode],"MAE")=0,"",SUMIFS(tblDaily[Remaining],tblDaily[EntryDate],DATE(2026,2,25),tblDaily[WardCode],"MAE")),"")</f>
        <v/>
      </c>
      <c r="I72" s="13" t="str">
        <f>IFERROR(IF(SUMIFS(tblDaily[Admissions],tblDaily[EntryDate],DATE(2026,2,25),tblDaily[WardCode],"FAE")=0,"",SUMIFS(tblDaily[Admissions],tblDaily[EntryDate],DATE(2026,2,25),tblDaily[WardCode],"FAE")),"")</f>
        <v/>
      </c>
      <c r="J72" s="13" t="str">
        <f>IFERROR(IF(SUMIFS(tblDaily[Discharges],tblDaily[EntryDate],DATE(2026,2,25),tblDaily[WardCode],"FAE")=0,"",SUMIFS(tblDaily[Discharges],tblDaily[EntryDate],DATE(2026,2,25),tblDaily[WardCode],"FAE")),"")</f>
        <v/>
      </c>
      <c r="K72" s="13" t="str">
        <f>IFERROR(IF(SUMIFS(tblDaily[Deaths],tblDaily[EntryDate],DATE(2026,2,25),tblDaily[WardCode],"FAE")=0,"",SUMIFS(tblDaily[Deaths],tblDaily[EntryDate],DATE(2026,2,25),tblDaily[WardCode],"FAE")),"")</f>
        <v/>
      </c>
      <c r="L72" s="13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3" t="str">
        <f>IFERROR(IF(SUMIFS(tblDaily[TransfersIn],tblDaily[EntryDate],DATE(2026,2,25),tblDaily[WardCode],"FAE")=0,"",SUMIFS(tblDaily[TransfersIn],tblDaily[EntryDate],DATE(2026,2,25),tblDaily[WardCode],"FAE")),"")</f>
        <v/>
      </c>
      <c r="N72" s="13" t="str">
        <f>IFERROR(IF(SUMIFS(tblDaily[TransfersOut],tblDaily[EntryDate],DATE(2026,2,25),tblDaily[WardCode],"FAE")=0,"",SUMIFS(tblDaily[TransfersOut],tblDaily[EntryDate],DATE(2026,2,25),tblDaily[WardCode],"FAE")),"")</f>
        <v/>
      </c>
      <c r="O72" s="13" t="str">
        <f>IFERROR(IF(SUMIFS(tblDaily[Remaining],tblDaily[EntryDate],DATE(2026,2,25),tblDaily[WardCode],"FAE")=0,"",SUMIFS(tblDaily[Remaining],tblDaily[EntryDate],DATE(2026,2,25),tblDaily[WardCode],"FAE")),"")</f>
        <v/>
      </c>
    </row>
    <row r="73" spans="1:15" x14ac:dyDescent="0.25">
      <c r="A73" s="13">
        <v>26</v>
      </c>
      <c r="B73" s="13" t="str">
        <f>IFERROR(IF(SUMIFS(tblDaily[Admissions],tblDaily[EntryDate],DATE(2026,2,26),tblDaily[WardCode],"MAE")=0,"",SUMIFS(tblDaily[Admissions],tblDaily[EntryDate],DATE(2026,2,26),tblDaily[WardCode],"MAE")),"")</f>
        <v/>
      </c>
      <c r="C73" s="13" t="str">
        <f>IFERROR(IF(SUMIFS(tblDaily[Discharges],tblDaily[EntryDate],DATE(2026,2,26),tblDaily[WardCode],"MAE")=0,"",SUMIFS(tblDaily[Discharges],tblDaily[EntryDate],DATE(2026,2,26),tblDaily[WardCode],"MAE")),"")</f>
        <v/>
      </c>
      <c r="D73" s="13" t="str">
        <f>IFERROR(IF(SUMIFS(tblDaily[Deaths],tblDaily[EntryDate],DATE(2026,2,26),tblDaily[WardCode],"MAE")=0,"",SUMIFS(tblDaily[Deaths],tblDaily[EntryDate],DATE(2026,2,26),tblDaily[WardCode],"MAE")),"")</f>
        <v/>
      </c>
      <c r="E73" s="13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3" t="str">
        <f>IFERROR(IF(SUMIFS(tblDaily[TransfersIn],tblDaily[EntryDate],DATE(2026,2,26),tblDaily[WardCode],"MAE")=0,"",SUMIFS(tblDaily[TransfersIn],tblDaily[EntryDate],DATE(2026,2,26),tblDaily[WardCode],"MAE")),"")</f>
        <v/>
      </c>
      <c r="G73" s="13" t="str">
        <f>IFERROR(IF(SUMIFS(tblDaily[TransfersOut],tblDaily[EntryDate],DATE(2026,2,26),tblDaily[WardCode],"MAE")=0,"",SUMIFS(tblDaily[TransfersOut],tblDaily[EntryDate],DATE(2026,2,26),tblDaily[WardCode],"MAE")),"")</f>
        <v/>
      </c>
      <c r="H73" s="13" t="str">
        <f>IFERROR(IF(SUMIFS(tblDaily[Remaining],tblDaily[EntryDate],DATE(2026,2,26),tblDaily[WardCode],"MAE")=0,"",SUMIFS(tblDaily[Remaining],tblDaily[EntryDate],DATE(2026,2,26),tblDaily[WardCode],"MAE")),"")</f>
        <v/>
      </c>
      <c r="I73" s="13" t="str">
        <f>IFERROR(IF(SUMIFS(tblDaily[Admissions],tblDaily[EntryDate],DATE(2026,2,26),tblDaily[WardCode],"FAE")=0,"",SUMIFS(tblDaily[Admissions],tblDaily[EntryDate],DATE(2026,2,26),tblDaily[WardCode],"FAE")),"")</f>
        <v/>
      </c>
      <c r="J73" s="13" t="str">
        <f>IFERROR(IF(SUMIFS(tblDaily[Discharges],tblDaily[EntryDate],DATE(2026,2,26),tblDaily[WardCode],"FAE")=0,"",SUMIFS(tblDaily[Discharges],tblDaily[EntryDate],DATE(2026,2,26),tblDaily[WardCode],"FAE")),"")</f>
        <v/>
      </c>
      <c r="K73" s="13" t="str">
        <f>IFERROR(IF(SUMIFS(tblDaily[Deaths],tblDaily[EntryDate],DATE(2026,2,26),tblDaily[WardCode],"FAE")=0,"",SUMIFS(tblDaily[Deaths],tblDaily[EntryDate],DATE(2026,2,26),tblDaily[WardCode],"FAE")),"")</f>
        <v/>
      </c>
      <c r="L73" s="13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3" t="str">
        <f>IFERROR(IF(SUMIFS(tblDaily[TransfersIn],tblDaily[EntryDate],DATE(2026,2,26),tblDaily[WardCode],"FAE")=0,"",SUMIFS(tblDaily[TransfersIn],tblDaily[EntryDate],DATE(2026,2,26),tblDaily[WardCode],"FAE")),"")</f>
        <v/>
      </c>
      <c r="N73" s="13" t="str">
        <f>IFERROR(IF(SUMIFS(tblDaily[TransfersOut],tblDaily[EntryDate],DATE(2026,2,26),tblDaily[WardCode],"FAE")=0,"",SUMIFS(tblDaily[TransfersOut],tblDaily[EntryDate],DATE(2026,2,26),tblDaily[WardCode],"FAE")),"")</f>
        <v/>
      </c>
      <c r="O73" s="13" t="str">
        <f>IFERROR(IF(SUMIFS(tblDaily[Remaining],tblDaily[EntryDate],DATE(2026,2,26),tblDaily[WardCode],"FAE")=0,"",SUMIFS(tblDaily[Remaining],tblDaily[EntryDate],DATE(2026,2,26),tblDaily[WardCode],"FAE")),"")</f>
        <v/>
      </c>
    </row>
    <row r="74" spans="1:15" x14ac:dyDescent="0.25">
      <c r="A74" s="13">
        <v>27</v>
      </c>
      <c r="B74" s="13" t="str">
        <f>IFERROR(IF(SUMIFS(tblDaily[Admissions],tblDaily[EntryDate],DATE(2026,2,27),tblDaily[WardCode],"MAE")=0,"",SUMIFS(tblDaily[Admissions],tblDaily[EntryDate],DATE(2026,2,27),tblDaily[WardCode],"MAE")),"")</f>
        <v/>
      </c>
      <c r="C74" s="13" t="str">
        <f>IFERROR(IF(SUMIFS(tblDaily[Discharges],tblDaily[EntryDate],DATE(2026,2,27),tblDaily[WardCode],"MAE")=0,"",SUMIFS(tblDaily[Discharges],tblDaily[EntryDate],DATE(2026,2,27),tblDaily[WardCode],"MAE")),"")</f>
        <v/>
      </c>
      <c r="D74" s="13" t="str">
        <f>IFERROR(IF(SUMIFS(tblDaily[Deaths],tblDaily[EntryDate],DATE(2026,2,27),tblDaily[WardCode],"MAE")=0,"",SUMIFS(tblDaily[Deaths],tblDaily[EntryDate],DATE(2026,2,27),tblDaily[WardCode],"MAE")),"")</f>
        <v/>
      </c>
      <c r="E74" s="13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3" t="str">
        <f>IFERROR(IF(SUMIFS(tblDaily[TransfersIn],tblDaily[EntryDate],DATE(2026,2,27),tblDaily[WardCode],"MAE")=0,"",SUMIFS(tblDaily[TransfersIn],tblDaily[EntryDate],DATE(2026,2,27),tblDaily[WardCode],"MAE")),"")</f>
        <v/>
      </c>
      <c r="G74" s="13" t="str">
        <f>IFERROR(IF(SUMIFS(tblDaily[TransfersOut],tblDaily[EntryDate],DATE(2026,2,27),tblDaily[WardCode],"MAE")=0,"",SUMIFS(tblDaily[TransfersOut],tblDaily[EntryDate],DATE(2026,2,27),tblDaily[WardCode],"MAE")),"")</f>
        <v/>
      </c>
      <c r="H74" s="13" t="str">
        <f>IFERROR(IF(SUMIFS(tblDaily[Remaining],tblDaily[EntryDate],DATE(2026,2,27),tblDaily[WardCode],"MAE")=0,"",SUMIFS(tblDaily[Remaining],tblDaily[EntryDate],DATE(2026,2,27),tblDaily[WardCode],"MAE")),"")</f>
        <v/>
      </c>
      <c r="I74" s="13" t="str">
        <f>IFERROR(IF(SUMIFS(tblDaily[Admissions],tblDaily[EntryDate],DATE(2026,2,27),tblDaily[WardCode],"FAE")=0,"",SUMIFS(tblDaily[Admissions],tblDaily[EntryDate],DATE(2026,2,27),tblDaily[WardCode],"FAE")),"")</f>
        <v/>
      </c>
      <c r="J74" s="13" t="str">
        <f>IFERROR(IF(SUMIFS(tblDaily[Discharges],tblDaily[EntryDate],DATE(2026,2,27),tblDaily[WardCode],"FAE")=0,"",SUMIFS(tblDaily[Discharges],tblDaily[EntryDate],DATE(2026,2,27),tblDaily[WardCode],"FAE")),"")</f>
        <v/>
      </c>
      <c r="K74" s="13" t="str">
        <f>IFERROR(IF(SUMIFS(tblDaily[Deaths],tblDaily[EntryDate],DATE(2026,2,27),tblDaily[WardCode],"FAE")=0,"",SUMIFS(tblDaily[Deaths],tblDaily[EntryDate],DATE(2026,2,27),tblDaily[WardCode],"FAE")),"")</f>
        <v/>
      </c>
      <c r="L74" s="13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3" t="str">
        <f>IFERROR(IF(SUMIFS(tblDaily[TransfersIn],tblDaily[EntryDate],DATE(2026,2,27),tblDaily[WardCode],"FAE")=0,"",SUMIFS(tblDaily[TransfersIn],tblDaily[EntryDate],DATE(2026,2,27),tblDaily[WardCode],"FAE")),"")</f>
        <v/>
      </c>
      <c r="N74" s="13" t="str">
        <f>IFERROR(IF(SUMIFS(tblDaily[TransfersOut],tblDaily[EntryDate],DATE(2026,2,27),tblDaily[WardCode],"FAE")=0,"",SUMIFS(tblDaily[TransfersOut],tblDaily[EntryDate],DATE(2026,2,27),tblDaily[WardCode],"FAE")),"")</f>
        <v/>
      </c>
      <c r="O74" s="13" t="str">
        <f>IFERROR(IF(SUMIFS(tblDaily[Remaining],tblDaily[EntryDate],DATE(2026,2,27),tblDaily[WardCode],"FAE")=0,"",SUMIFS(tblDaily[Remaining],tblDaily[EntryDate],DATE(2026,2,27),tblDaily[WardCode],"FAE")),"")</f>
        <v/>
      </c>
    </row>
    <row r="75" spans="1:15" x14ac:dyDescent="0.25">
      <c r="A75" s="13">
        <v>28</v>
      </c>
      <c r="B75" s="13" t="str">
        <f>IFERROR(IF(SUMIFS(tblDaily[Admissions],tblDaily[EntryDate],DATE(2026,2,28),tblDaily[WardCode],"MAE")=0,"",SUMIFS(tblDaily[Admissions],tblDaily[EntryDate],DATE(2026,2,28),tblDaily[WardCode],"MAE")),"")</f>
        <v/>
      </c>
      <c r="C75" s="13" t="str">
        <f>IFERROR(IF(SUMIFS(tblDaily[Discharges],tblDaily[EntryDate],DATE(2026,2,28),tblDaily[WardCode],"MAE")=0,"",SUMIFS(tblDaily[Discharges],tblDaily[EntryDate],DATE(2026,2,28),tblDaily[WardCode],"MAE")),"")</f>
        <v/>
      </c>
      <c r="D75" s="13" t="str">
        <f>IFERROR(IF(SUMIFS(tblDaily[Deaths],tblDaily[EntryDate],DATE(2026,2,28),tblDaily[WardCode],"MAE")=0,"",SUMIFS(tblDaily[Deaths],tblDaily[EntryDate],DATE(2026,2,28),tblDaily[WardCode],"MAE")),"")</f>
        <v/>
      </c>
      <c r="E75" s="13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3" t="str">
        <f>IFERROR(IF(SUMIFS(tblDaily[TransfersIn],tblDaily[EntryDate],DATE(2026,2,28),tblDaily[WardCode],"MAE")=0,"",SUMIFS(tblDaily[TransfersIn],tblDaily[EntryDate],DATE(2026,2,28),tblDaily[WardCode],"MAE")),"")</f>
        <v/>
      </c>
      <c r="G75" s="13" t="str">
        <f>IFERROR(IF(SUMIFS(tblDaily[TransfersOut],tblDaily[EntryDate],DATE(2026,2,28),tblDaily[WardCode],"MAE")=0,"",SUMIFS(tblDaily[TransfersOut],tblDaily[EntryDate],DATE(2026,2,28),tblDaily[WardCode],"MAE")),"")</f>
        <v/>
      </c>
      <c r="H75" s="13" t="str">
        <f>IFERROR(IF(SUMIFS(tblDaily[Remaining],tblDaily[EntryDate],DATE(2026,2,28),tblDaily[WardCode],"MAE")=0,"",SUMIFS(tblDaily[Remaining],tblDaily[EntryDate],DATE(2026,2,28),tblDaily[WardCode],"MAE")),"")</f>
        <v/>
      </c>
      <c r="I75" s="13" t="str">
        <f>IFERROR(IF(SUMIFS(tblDaily[Admissions],tblDaily[EntryDate],DATE(2026,2,28),tblDaily[WardCode],"FAE")=0,"",SUMIFS(tblDaily[Admissions],tblDaily[EntryDate],DATE(2026,2,28),tblDaily[WardCode],"FAE")),"")</f>
        <v/>
      </c>
      <c r="J75" s="13" t="str">
        <f>IFERROR(IF(SUMIFS(tblDaily[Discharges],tblDaily[EntryDate],DATE(2026,2,28),tblDaily[WardCode],"FAE")=0,"",SUMIFS(tblDaily[Discharges],tblDaily[EntryDate],DATE(2026,2,28),tblDaily[WardCode],"FAE")),"")</f>
        <v/>
      </c>
      <c r="K75" s="13" t="str">
        <f>IFERROR(IF(SUMIFS(tblDaily[Deaths],tblDaily[EntryDate],DATE(2026,2,28),tblDaily[WardCode],"FAE")=0,"",SUMIFS(tblDaily[Deaths],tblDaily[EntryDate],DATE(2026,2,28),tblDaily[WardCode],"FAE")),"")</f>
        <v/>
      </c>
      <c r="L75" s="13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3" t="str">
        <f>IFERROR(IF(SUMIFS(tblDaily[TransfersIn],tblDaily[EntryDate],DATE(2026,2,28),tblDaily[WardCode],"FAE")=0,"",SUMIFS(tblDaily[TransfersIn],tblDaily[EntryDate],DATE(2026,2,28),tblDaily[WardCode],"FAE")),"")</f>
        <v/>
      </c>
      <c r="N75" s="13" t="str">
        <f>IFERROR(IF(SUMIFS(tblDaily[TransfersOut],tblDaily[EntryDate],DATE(2026,2,28),tblDaily[WardCode],"FAE")=0,"",SUMIFS(tblDaily[TransfersOut],tblDaily[EntryDate],DATE(2026,2,28),tblDaily[WardCode],"FAE")),"")</f>
        <v/>
      </c>
      <c r="O75" s="13" t="str">
        <f>IFERROR(IF(SUMIFS(tblDaily[Remaining],tblDaily[EntryDate],DATE(2026,2,28),tblDaily[WardCode],"FAE")=0,"",SUMIFS(tblDaily[Remaining],tblDaily[EntryDate],DATE(2026,2,28),tblDaily[WardCode],"FAE")),"")</f>
        <v/>
      </c>
    </row>
    <row r="76" spans="1:15" x14ac:dyDescent="0.25">
      <c r="A76" s="13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</row>
    <row r="77" spans="1:15" x14ac:dyDescent="0.25">
      <c r="A77" s="13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</row>
    <row r="78" spans="1:15" x14ac:dyDescent="0.25">
      <c r="A78" s="13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</row>
    <row r="79" spans="1:15" x14ac:dyDescent="0.25">
      <c r="A79" s="9" t="s">
        <v>110</v>
      </c>
      <c r="B79" s="9">
        <f>SUMIFS(tblDaily[Admissions],tblDaily[Month],2,tblDaily[WardCode],"MAE") - SUMIFS(tblDaily[DeathsUnder24Hrs],tblDaily[Month],2,tblDaily[WardCode],"MAE")</f>
        <v>3</v>
      </c>
      <c r="C79" s="9">
        <f>SUMIFS(tblDaily[Discharges],tblDaily[Month],2,tblDaily[WardCode],"MAE")</f>
        <v>3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2</v>
      </c>
      <c r="G79" s="9">
        <f>SUMIFS(tblDaily[TransfersOut],tblDaily[Month],2,tblDaily[WardCode],"MAE")</f>
        <v>0</v>
      </c>
      <c r="H79" s="9">
        <f>SUMIFS(tblDaily[Remaining],tblDaily[Month],2,tblDaily[WardCode],"MAE")</f>
        <v>3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</row>
    <row r="81" spans="1:15" ht="18.75" x14ac:dyDescent="0.25">
      <c r="A81" s="36" t="s">
        <v>0</v>
      </c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</row>
    <row r="82" spans="1:15" ht="15.75" x14ac:dyDescent="0.25">
      <c r="A82" s="34" t="s">
        <v>99</v>
      </c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1:15" x14ac:dyDescent="0.25">
      <c r="A83" s="1" t="s">
        <v>4</v>
      </c>
      <c r="B83" s="2" t="s">
        <v>2</v>
      </c>
      <c r="E83" s="1" t="s">
        <v>100</v>
      </c>
      <c r="F83" s="1" t="s">
        <v>119</v>
      </c>
      <c r="M83" s="1" t="s">
        <v>102</v>
      </c>
      <c r="N83" s="1" t="s">
        <v>60</v>
      </c>
    </row>
    <row r="84" spans="1:15" x14ac:dyDescent="0.25">
      <c r="A84" s="1" t="s">
        <v>103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5" x14ac:dyDescent="0.25">
      <c r="A85" s="1" t="s">
        <v>104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5" x14ac:dyDescent="0.25">
      <c r="A86" s="3" t="s">
        <v>120</v>
      </c>
      <c r="B86" s="35" t="s">
        <v>117</v>
      </c>
      <c r="C86" s="26"/>
      <c r="D86" s="26"/>
      <c r="E86" s="26"/>
      <c r="F86" s="26"/>
      <c r="G86" s="26"/>
      <c r="H86" s="26"/>
      <c r="I86" s="37" t="s">
        <v>118</v>
      </c>
      <c r="J86" s="26"/>
      <c r="K86" s="26"/>
      <c r="L86" s="26"/>
      <c r="M86" s="26"/>
      <c r="N86" s="26"/>
      <c r="O86" s="26"/>
    </row>
    <row r="87" spans="1:15" x14ac:dyDescent="0.25">
      <c r="A87" s="3" t="s">
        <v>120</v>
      </c>
      <c r="B87" s="3" t="s">
        <v>121</v>
      </c>
      <c r="C87" s="3" t="s">
        <v>122</v>
      </c>
      <c r="D87" s="3" t="s">
        <v>123</v>
      </c>
      <c r="E87" s="3" t="s">
        <v>124</v>
      </c>
      <c r="F87" s="3" t="s">
        <v>125</v>
      </c>
      <c r="G87" s="3" t="s">
        <v>126</v>
      </c>
      <c r="H87" s="3" t="s">
        <v>127</v>
      </c>
      <c r="I87" s="3" t="s">
        <v>121</v>
      </c>
      <c r="J87" s="3" t="s">
        <v>122</v>
      </c>
      <c r="K87" s="3" t="s">
        <v>123</v>
      </c>
      <c r="L87" s="3" t="s">
        <v>124</v>
      </c>
      <c r="M87" s="3" t="s">
        <v>125</v>
      </c>
      <c r="N87" s="3" t="s">
        <v>126</v>
      </c>
      <c r="O87" s="3" t="s">
        <v>127</v>
      </c>
    </row>
    <row r="88" spans="1:15" x14ac:dyDescent="0.25">
      <c r="A88" s="13">
        <v>1</v>
      </c>
      <c r="B88" s="13" t="str">
        <f>IFERROR(IF(SUMIFS(tblDaily[Admissions],tblDaily[EntryDate],DATE(2026,3,1),tblDaily[WardCode],"MAE")=0,"",SUMIFS(tblDaily[Admissions],tblDaily[EntryDate],DATE(2026,3,1),tblDaily[WardCode],"MAE")),"")</f>
        <v/>
      </c>
      <c r="C88" s="13" t="str">
        <f>IFERROR(IF(SUMIFS(tblDaily[Discharges],tblDaily[EntryDate],DATE(2026,3,1),tblDaily[WardCode],"MAE")=0,"",SUMIFS(tblDaily[Discharges],tblDaily[EntryDate],DATE(2026,3,1),tblDaily[WardCode],"MAE")),"")</f>
        <v/>
      </c>
      <c r="D88" s="13" t="str">
        <f>IFERROR(IF(SUMIFS(tblDaily[Deaths],tblDaily[EntryDate],DATE(2026,3,1),tblDaily[WardCode],"MAE")=0,"",SUMIFS(tblDaily[Deaths],tblDaily[EntryDate],DATE(2026,3,1),tblDaily[WardCode],"MAE")),"")</f>
        <v/>
      </c>
      <c r="E88" s="13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3" t="str">
        <f>IFERROR(IF(SUMIFS(tblDaily[TransfersIn],tblDaily[EntryDate],DATE(2026,3,1),tblDaily[WardCode],"MAE")=0,"",SUMIFS(tblDaily[TransfersIn],tblDaily[EntryDate],DATE(2026,3,1),tblDaily[WardCode],"MAE")),"")</f>
        <v/>
      </c>
      <c r="G88" s="13" t="str">
        <f>IFERROR(IF(SUMIFS(tblDaily[TransfersOut],tblDaily[EntryDate],DATE(2026,3,1),tblDaily[WardCode],"MAE")=0,"",SUMIFS(tblDaily[TransfersOut],tblDaily[EntryDate],DATE(2026,3,1),tblDaily[WardCode],"MAE")),"")</f>
        <v/>
      </c>
      <c r="H88" s="13" t="str">
        <f>IFERROR(IF(SUMIFS(tblDaily[Remaining],tblDaily[EntryDate],DATE(2026,3,1),tblDaily[WardCode],"MAE")=0,"",SUMIFS(tblDaily[Remaining],tblDaily[EntryDate],DATE(2026,3,1),tblDaily[WardCode],"MAE")),"")</f>
        <v/>
      </c>
      <c r="I88" s="13" t="str">
        <f>IFERROR(IF(SUMIFS(tblDaily[Admissions],tblDaily[EntryDate],DATE(2026,3,1),tblDaily[WardCode],"FAE")=0,"",SUMIFS(tblDaily[Admissions],tblDaily[EntryDate],DATE(2026,3,1),tblDaily[WardCode],"FAE")),"")</f>
        <v/>
      </c>
      <c r="J88" s="13" t="str">
        <f>IFERROR(IF(SUMIFS(tblDaily[Discharges],tblDaily[EntryDate],DATE(2026,3,1),tblDaily[WardCode],"FAE")=0,"",SUMIFS(tblDaily[Discharges],tblDaily[EntryDate],DATE(2026,3,1),tblDaily[WardCode],"FAE")),"")</f>
        <v/>
      </c>
      <c r="K88" s="13" t="str">
        <f>IFERROR(IF(SUMIFS(tblDaily[Deaths],tblDaily[EntryDate],DATE(2026,3,1),tblDaily[WardCode],"FAE")=0,"",SUMIFS(tblDaily[Deaths],tblDaily[EntryDate],DATE(2026,3,1),tblDaily[WardCode],"FAE")),"")</f>
        <v/>
      </c>
      <c r="L88" s="13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3" t="str">
        <f>IFERROR(IF(SUMIFS(tblDaily[TransfersIn],tblDaily[EntryDate],DATE(2026,3,1),tblDaily[WardCode],"FAE")=0,"",SUMIFS(tblDaily[TransfersIn],tblDaily[EntryDate],DATE(2026,3,1),tblDaily[WardCode],"FAE")),"")</f>
        <v/>
      </c>
      <c r="N88" s="13" t="str">
        <f>IFERROR(IF(SUMIFS(tblDaily[TransfersOut],tblDaily[EntryDate],DATE(2026,3,1),tblDaily[WardCode],"FAE")=0,"",SUMIFS(tblDaily[TransfersOut],tblDaily[EntryDate],DATE(2026,3,1),tblDaily[WardCode],"FAE")),"")</f>
        <v/>
      </c>
      <c r="O88" s="13" t="str">
        <f>IFERROR(IF(SUMIFS(tblDaily[Remaining],tblDaily[EntryDate],DATE(2026,3,1),tblDaily[WardCode],"FAE")=0,"",SUMIFS(tblDaily[Remaining],tblDaily[EntryDate],DATE(2026,3,1),tblDaily[WardCode],"FAE")),"")</f>
        <v/>
      </c>
    </row>
    <row r="89" spans="1:15" x14ac:dyDescent="0.25">
      <c r="A89" s="13">
        <v>2</v>
      </c>
      <c r="B89" s="13" t="str">
        <f>IFERROR(IF(SUMIFS(tblDaily[Admissions],tblDaily[EntryDate],DATE(2026,3,2),tblDaily[WardCode],"MAE")=0,"",SUMIFS(tblDaily[Admissions],tblDaily[EntryDate],DATE(2026,3,2),tblDaily[WardCode],"MAE")),"")</f>
        <v/>
      </c>
      <c r="C89" s="13" t="str">
        <f>IFERROR(IF(SUMIFS(tblDaily[Discharges],tblDaily[EntryDate],DATE(2026,3,2),tblDaily[WardCode],"MAE")=0,"",SUMIFS(tblDaily[Discharges],tblDaily[EntryDate],DATE(2026,3,2),tblDaily[WardCode],"MAE")),"")</f>
        <v/>
      </c>
      <c r="D89" s="13" t="str">
        <f>IFERROR(IF(SUMIFS(tblDaily[Deaths],tblDaily[EntryDate],DATE(2026,3,2),tblDaily[WardCode],"MAE")=0,"",SUMIFS(tblDaily[Deaths],tblDaily[EntryDate],DATE(2026,3,2),tblDaily[WardCode],"MAE")),"")</f>
        <v/>
      </c>
      <c r="E89" s="13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3" t="str">
        <f>IFERROR(IF(SUMIFS(tblDaily[TransfersIn],tblDaily[EntryDate],DATE(2026,3,2),tblDaily[WardCode],"MAE")=0,"",SUMIFS(tblDaily[TransfersIn],tblDaily[EntryDate],DATE(2026,3,2),tblDaily[WardCode],"MAE")),"")</f>
        <v/>
      </c>
      <c r="G89" s="13" t="str">
        <f>IFERROR(IF(SUMIFS(tblDaily[TransfersOut],tblDaily[EntryDate],DATE(2026,3,2),tblDaily[WardCode],"MAE")=0,"",SUMIFS(tblDaily[TransfersOut],tblDaily[EntryDate],DATE(2026,3,2),tblDaily[WardCode],"MAE")),"")</f>
        <v/>
      </c>
      <c r="H89" s="13" t="str">
        <f>IFERROR(IF(SUMIFS(tblDaily[Remaining],tblDaily[EntryDate],DATE(2026,3,2),tblDaily[WardCode],"MAE")=0,"",SUMIFS(tblDaily[Remaining],tblDaily[EntryDate],DATE(2026,3,2),tblDaily[WardCode],"MAE")),"")</f>
        <v/>
      </c>
      <c r="I89" s="13" t="str">
        <f>IFERROR(IF(SUMIFS(tblDaily[Admissions],tblDaily[EntryDate],DATE(2026,3,2),tblDaily[WardCode],"FAE")=0,"",SUMIFS(tblDaily[Admissions],tblDaily[EntryDate],DATE(2026,3,2),tblDaily[WardCode],"FAE")),"")</f>
        <v/>
      </c>
      <c r="J89" s="13" t="str">
        <f>IFERROR(IF(SUMIFS(tblDaily[Discharges],tblDaily[EntryDate],DATE(2026,3,2),tblDaily[WardCode],"FAE")=0,"",SUMIFS(tblDaily[Discharges],tblDaily[EntryDate],DATE(2026,3,2),tblDaily[WardCode],"FAE")),"")</f>
        <v/>
      </c>
      <c r="K89" s="13" t="str">
        <f>IFERROR(IF(SUMIFS(tblDaily[Deaths],tblDaily[EntryDate],DATE(2026,3,2),tblDaily[WardCode],"FAE")=0,"",SUMIFS(tblDaily[Deaths],tblDaily[EntryDate],DATE(2026,3,2),tblDaily[WardCode],"FAE")),"")</f>
        <v/>
      </c>
      <c r="L89" s="13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3" t="str">
        <f>IFERROR(IF(SUMIFS(tblDaily[TransfersIn],tblDaily[EntryDate],DATE(2026,3,2),tblDaily[WardCode],"FAE")=0,"",SUMIFS(tblDaily[TransfersIn],tblDaily[EntryDate],DATE(2026,3,2),tblDaily[WardCode],"FAE")),"")</f>
        <v/>
      </c>
      <c r="N89" s="13" t="str">
        <f>IFERROR(IF(SUMIFS(tblDaily[TransfersOut],tblDaily[EntryDate],DATE(2026,3,2),tblDaily[WardCode],"FAE")=0,"",SUMIFS(tblDaily[TransfersOut],tblDaily[EntryDate],DATE(2026,3,2),tblDaily[WardCode],"FAE")),"")</f>
        <v/>
      </c>
      <c r="O89" s="13" t="str">
        <f>IFERROR(IF(SUMIFS(tblDaily[Remaining],tblDaily[EntryDate],DATE(2026,3,2),tblDaily[WardCode],"FAE")=0,"",SUMIFS(tblDaily[Remaining],tblDaily[EntryDate],DATE(2026,3,2),tblDaily[WardCode],"FAE")),"")</f>
        <v/>
      </c>
    </row>
    <row r="90" spans="1:15" x14ac:dyDescent="0.25">
      <c r="A90" s="13">
        <v>3</v>
      </c>
      <c r="B90" s="13" t="str">
        <f>IFERROR(IF(SUMIFS(tblDaily[Admissions],tblDaily[EntryDate],DATE(2026,3,3),tblDaily[WardCode],"MAE")=0,"",SUMIFS(tblDaily[Admissions],tblDaily[EntryDate],DATE(2026,3,3),tblDaily[WardCode],"MAE")),"")</f>
        <v/>
      </c>
      <c r="C90" s="13" t="str">
        <f>IFERROR(IF(SUMIFS(tblDaily[Discharges],tblDaily[EntryDate],DATE(2026,3,3),tblDaily[WardCode],"MAE")=0,"",SUMIFS(tblDaily[Discharges],tblDaily[EntryDate],DATE(2026,3,3),tblDaily[WardCode],"MAE")),"")</f>
        <v/>
      </c>
      <c r="D90" s="13" t="str">
        <f>IFERROR(IF(SUMIFS(tblDaily[Deaths],tblDaily[EntryDate],DATE(2026,3,3),tblDaily[WardCode],"MAE")=0,"",SUMIFS(tblDaily[Deaths],tblDaily[EntryDate],DATE(2026,3,3),tblDaily[WardCode],"MAE")),"")</f>
        <v/>
      </c>
      <c r="E90" s="13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3" t="str">
        <f>IFERROR(IF(SUMIFS(tblDaily[TransfersIn],tblDaily[EntryDate],DATE(2026,3,3),tblDaily[WardCode],"MAE")=0,"",SUMIFS(tblDaily[TransfersIn],tblDaily[EntryDate],DATE(2026,3,3),tblDaily[WardCode],"MAE")),"")</f>
        <v/>
      </c>
      <c r="G90" s="13" t="str">
        <f>IFERROR(IF(SUMIFS(tblDaily[TransfersOut],tblDaily[EntryDate],DATE(2026,3,3),tblDaily[WardCode],"MAE")=0,"",SUMIFS(tblDaily[TransfersOut],tblDaily[EntryDate],DATE(2026,3,3),tblDaily[WardCode],"MAE")),"")</f>
        <v/>
      </c>
      <c r="H90" s="13" t="str">
        <f>IFERROR(IF(SUMIFS(tblDaily[Remaining],tblDaily[EntryDate],DATE(2026,3,3),tblDaily[WardCode],"MAE")=0,"",SUMIFS(tblDaily[Remaining],tblDaily[EntryDate],DATE(2026,3,3),tblDaily[WardCode],"MAE")),"")</f>
        <v/>
      </c>
      <c r="I90" s="13" t="str">
        <f>IFERROR(IF(SUMIFS(tblDaily[Admissions],tblDaily[EntryDate],DATE(2026,3,3),tblDaily[WardCode],"FAE")=0,"",SUMIFS(tblDaily[Admissions],tblDaily[EntryDate],DATE(2026,3,3),tblDaily[WardCode],"FAE")),"")</f>
        <v/>
      </c>
      <c r="J90" s="13" t="str">
        <f>IFERROR(IF(SUMIFS(tblDaily[Discharges],tblDaily[EntryDate],DATE(2026,3,3),tblDaily[WardCode],"FAE")=0,"",SUMIFS(tblDaily[Discharges],tblDaily[EntryDate],DATE(2026,3,3),tblDaily[WardCode],"FAE")),"")</f>
        <v/>
      </c>
      <c r="K90" s="13" t="str">
        <f>IFERROR(IF(SUMIFS(tblDaily[Deaths],tblDaily[EntryDate],DATE(2026,3,3),tblDaily[WardCode],"FAE")=0,"",SUMIFS(tblDaily[Deaths],tblDaily[EntryDate],DATE(2026,3,3),tblDaily[WardCode],"FAE")),"")</f>
        <v/>
      </c>
      <c r="L90" s="13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3" t="str">
        <f>IFERROR(IF(SUMIFS(tblDaily[TransfersIn],tblDaily[EntryDate],DATE(2026,3,3),tblDaily[WardCode],"FAE")=0,"",SUMIFS(tblDaily[TransfersIn],tblDaily[EntryDate],DATE(2026,3,3),tblDaily[WardCode],"FAE")),"")</f>
        <v/>
      </c>
      <c r="N90" s="13" t="str">
        <f>IFERROR(IF(SUMIFS(tblDaily[TransfersOut],tblDaily[EntryDate],DATE(2026,3,3),tblDaily[WardCode],"FAE")=0,"",SUMIFS(tblDaily[TransfersOut],tblDaily[EntryDate],DATE(2026,3,3),tblDaily[WardCode],"FAE")),"")</f>
        <v/>
      </c>
      <c r="O90" s="13" t="str">
        <f>IFERROR(IF(SUMIFS(tblDaily[Remaining],tblDaily[EntryDate],DATE(2026,3,3),tblDaily[WardCode],"FAE")=0,"",SUMIFS(tblDaily[Remaining],tblDaily[EntryDate],DATE(2026,3,3),tblDaily[WardCode],"FAE")),"")</f>
        <v/>
      </c>
    </row>
    <row r="91" spans="1:15" x14ac:dyDescent="0.25">
      <c r="A91" s="13">
        <v>4</v>
      </c>
      <c r="B91" s="13" t="str">
        <f>IFERROR(IF(SUMIFS(tblDaily[Admissions],tblDaily[EntryDate],DATE(2026,3,4),tblDaily[WardCode],"MAE")=0,"",SUMIFS(tblDaily[Admissions],tblDaily[EntryDate],DATE(2026,3,4),tblDaily[WardCode],"MAE")),"")</f>
        <v/>
      </c>
      <c r="C91" s="13" t="str">
        <f>IFERROR(IF(SUMIFS(tblDaily[Discharges],tblDaily[EntryDate],DATE(2026,3,4),tblDaily[WardCode],"MAE")=0,"",SUMIFS(tblDaily[Discharges],tblDaily[EntryDate],DATE(2026,3,4),tblDaily[WardCode],"MAE")),"")</f>
        <v/>
      </c>
      <c r="D91" s="13" t="str">
        <f>IFERROR(IF(SUMIFS(tblDaily[Deaths],tblDaily[EntryDate],DATE(2026,3,4),tblDaily[WardCode],"MAE")=0,"",SUMIFS(tblDaily[Deaths],tblDaily[EntryDate],DATE(2026,3,4),tblDaily[WardCode],"MAE")),"")</f>
        <v/>
      </c>
      <c r="E91" s="13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3" t="str">
        <f>IFERROR(IF(SUMIFS(tblDaily[TransfersIn],tblDaily[EntryDate],DATE(2026,3,4),tblDaily[WardCode],"MAE")=0,"",SUMIFS(tblDaily[TransfersIn],tblDaily[EntryDate],DATE(2026,3,4),tblDaily[WardCode],"MAE")),"")</f>
        <v/>
      </c>
      <c r="G91" s="13" t="str">
        <f>IFERROR(IF(SUMIFS(tblDaily[TransfersOut],tblDaily[EntryDate],DATE(2026,3,4),tblDaily[WardCode],"MAE")=0,"",SUMIFS(tblDaily[TransfersOut],tblDaily[EntryDate],DATE(2026,3,4),tblDaily[WardCode],"MAE")),"")</f>
        <v/>
      </c>
      <c r="H91" s="13" t="str">
        <f>IFERROR(IF(SUMIFS(tblDaily[Remaining],tblDaily[EntryDate],DATE(2026,3,4),tblDaily[WardCode],"MAE")=0,"",SUMIFS(tblDaily[Remaining],tblDaily[EntryDate],DATE(2026,3,4),tblDaily[WardCode],"MAE")),"")</f>
        <v/>
      </c>
      <c r="I91" s="13" t="str">
        <f>IFERROR(IF(SUMIFS(tblDaily[Admissions],tblDaily[EntryDate],DATE(2026,3,4),tblDaily[WardCode],"FAE")=0,"",SUMIFS(tblDaily[Admissions],tblDaily[EntryDate],DATE(2026,3,4),tblDaily[WardCode],"FAE")),"")</f>
        <v/>
      </c>
      <c r="J91" s="13" t="str">
        <f>IFERROR(IF(SUMIFS(tblDaily[Discharges],tblDaily[EntryDate],DATE(2026,3,4),tblDaily[WardCode],"FAE")=0,"",SUMIFS(tblDaily[Discharges],tblDaily[EntryDate],DATE(2026,3,4),tblDaily[WardCode],"FAE")),"")</f>
        <v/>
      </c>
      <c r="K91" s="13" t="str">
        <f>IFERROR(IF(SUMIFS(tblDaily[Deaths],tblDaily[EntryDate],DATE(2026,3,4),tblDaily[WardCode],"FAE")=0,"",SUMIFS(tblDaily[Deaths],tblDaily[EntryDate],DATE(2026,3,4),tblDaily[WardCode],"FAE")),"")</f>
        <v/>
      </c>
      <c r="L91" s="13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3" t="str">
        <f>IFERROR(IF(SUMIFS(tblDaily[TransfersIn],tblDaily[EntryDate],DATE(2026,3,4),tblDaily[WardCode],"FAE")=0,"",SUMIFS(tblDaily[TransfersIn],tblDaily[EntryDate],DATE(2026,3,4),tblDaily[WardCode],"FAE")),"")</f>
        <v/>
      </c>
      <c r="N91" s="13" t="str">
        <f>IFERROR(IF(SUMIFS(tblDaily[TransfersOut],tblDaily[EntryDate],DATE(2026,3,4),tblDaily[WardCode],"FAE")=0,"",SUMIFS(tblDaily[TransfersOut],tblDaily[EntryDate],DATE(2026,3,4),tblDaily[WardCode],"FAE")),"")</f>
        <v/>
      </c>
      <c r="O91" s="13" t="str">
        <f>IFERROR(IF(SUMIFS(tblDaily[Remaining],tblDaily[EntryDate],DATE(2026,3,4),tblDaily[WardCode],"FAE")=0,"",SUMIFS(tblDaily[Remaining],tblDaily[EntryDate],DATE(2026,3,4),tblDaily[WardCode],"FAE")),"")</f>
        <v/>
      </c>
    </row>
    <row r="92" spans="1:15" x14ac:dyDescent="0.25">
      <c r="A92" s="13">
        <v>5</v>
      </c>
      <c r="B92" s="13" t="str">
        <f>IFERROR(IF(SUMIFS(tblDaily[Admissions],tblDaily[EntryDate],DATE(2026,3,5),tblDaily[WardCode],"MAE")=0,"",SUMIFS(tblDaily[Admissions],tblDaily[EntryDate],DATE(2026,3,5),tblDaily[WardCode],"MAE")),"")</f>
        <v/>
      </c>
      <c r="C92" s="13" t="str">
        <f>IFERROR(IF(SUMIFS(tblDaily[Discharges],tblDaily[EntryDate],DATE(2026,3,5),tblDaily[WardCode],"MAE")=0,"",SUMIFS(tblDaily[Discharges],tblDaily[EntryDate],DATE(2026,3,5),tblDaily[WardCode],"MAE")),"")</f>
        <v/>
      </c>
      <c r="D92" s="13" t="str">
        <f>IFERROR(IF(SUMIFS(tblDaily[Deaths],tblDaily[EntryDate],DATE(2026,3,5),tblDaily[WardCode],"MAE")=0,"",SUMIFS(tblDaily[Deaths],tblDaily[EntryDate],DATE(2026,3,5),tblDaily[WardCode],"MAE")),"")</f>
        <v/>
      </c>
      <c r="E92" s="13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3" t="str">
        <f>IFERROR(IF(SUMIFS(tblDaily[TransfersIn],tblDaily[EntryDate],DATE(2026,3,5),tblDaily[WardCode],"MAE")=0,"",SUMIFS(tblDaily[TransfersIn],tblDaily[EntryDate],DATE(2026,3,5),tblDaily[WardCode],"MAE")),"")</f>
        <v/>
      </c>
      <c r="G92" s="13" t="str">
        <f>IFERROR(IF(SUMIFS(tblDaily[TransfersOut],tblDaily[EntryDate],DATE(2026,3,5),tblDaily[WardCode],"MAE")=0,"",SUMIFS(tblDaily[TransfersOut],tblDaily[EntryDate],DATE(2026,3,5),tblDaily[WardCode],"MAE")),"")</f>
        <v/>
      </c>
      <c r="H92" s="13" t="str">
        <f>IFERROR(IF(SUMIFS(tblDaily[Remaining],tblDaily[EntryDate],DATE(2026,3,5),tblDaily[WardCode],"MAE")=0,"",SUMIFS(tblDaily[Remaining],tblDaily[EntryDate],DATE(2026,3,5),tblDaily[WardCode],"MAE")),"")</f>
        <v/>
      </c>
      <c r="I92" s="13" t="str">
        <f>IFERROR(IF(SUMIFS(tblDaily[Admissions],tblDaily[EntryDate],DATE(2026,3,5),tblDaily[WardCode],"FAE")=0,"",SUMIFS(tblDaily[Admissions],tblDaily[EntryDate],DATE(2026,3,5),tblDaily[WardCode],"FAE")),"")</f>
        <v/>
      </c>
      <c r="J92" s="13" t="str">
        <f>IFERROR(IF(SUMIFS(tblDaily[Discharges],tblDaily[EntryDate],DATE(2026,3,5),tblDaily[WardCode],"FAE")=0,"",SUMIFS(tblDaily[Discharges],tblDaily[EntryDate],DATE(2026,3,5),tblDaily[WardCode],"FAE")),"")</f>
        <v/>
      </c>
      <c r="K92" s="13" t="str">
        <f>IFERROR(IF(SUMIFS(tblDaily[Deaths],tblDaily[EntryDate],DATE(2026,3,5),tblDaily[WardCode],"FAE")=0,"",SUMIFS(tblDaily[Deaths],tblDaily[EntryDate],DATE(2026,3,5),tblDaily[WardCode],"FAE")),"")</f>
        <v/>
      </c>
      <c r="L92" s="13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3" t="str">
        <f>IFERROR(IF(SUMIFS(tblDaily[TransfersIn],tblDaily[EntryDate],DATE(2026,3,5),tblDaily[WardCode],"FAE")=0,"",SUMIFS(tblDaily[TransfersIn],tblDaily[EntryDate],DATE(2026,3,5),tblDaily[WardCode],"FAE")),"")</f>
        <v/>
      </c>
      <c r="N92" s="13" t="str">
        <f>IFERROR(IF(SUMIFS(tblDaily[TransfersOut],tblDaily[EntryDate],DATE(2026,3,5),tblDaily[WardCode],"FAE")=0,"",SUMIFS(tblDaily[TransfersOut],tblDaily[EntryDate],DATE(2026,3,5),tblDaily[WardCode],"FAE")),"")</f>
        <v/>
      </c>
      <c r="O92" s="13" t="str">
        <f>IFERROR(IF(SUMIFS(tblDaily[Remaining],tblDaily[EntryDate],DATE(2026,3,5),tblDaily[WardCode],"FAE")=0,"",SUMIFS(tblDaily[Remaining],tblDaily[EntryDate],DATE(2026,3,5),tblDaily[WardCode],"FAE")),"")</f>
        <v/>
      </c>
    </row>
    <row r="93" spans="1:15" x14ac:dyDescent="0.25">
      <c r="A93" s="13">
        <v>6</v>
      </c>
      <c r="B93" s="13" t="str">
        <f>IFERROR(IF(SUMIFS(tblDaily[Admissions],tblDaily[EntryDate],DATE(2026,3,6),tblDaily[WardCode],"MAE")=0,"",SUMIFS(tblDaily[Admissions],tblDaily[EntryDate],DATE(2026,3,6),tblDaily[WardCode],"MAE")),"")</f>
        <v/>
      </c>
      <c r="C93" s="13" t="str">
        <f>IFERROR(IF(SUMIFS(tblDaily[Discharges],tblDaily[EntryDate],DATE(2026,3,6),tblDaily[WardCode],"MAE")=0,"",SUMIFS(tblDaily[Discharges],tblDaily[EntryDate],DATE(2026,3,6),tblDaily[WardCode],"MAE")),"")</f>
        <v/>
      </c>
      <c r="D93" s="13" t="str">
        <f>IFERROR(IF(SUMIFS(tblDaily[Deaths],tblDaily[EntryDate],DATE(2026,3,6),tblDaily[WardCode],"MAE")=0,"",SUMIFS(tblDaily[Deaths],tblDaily[EntryDate],DATE(2026,3,6),tblDaily[WardCode],"MAE")),"")</f>
        <v/>
      </c>
      <c r="E93" s="13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3" t="str">
        <f>IFERROR(IF(SUMIFS(tblDaily[TransfersIn],tblDaily[EntryDate],DATE(2026,3,6),tblDaily[WardCode],"MAE")=0,"",SUMIFS(tblDaily[TransfersIn],tblDaily[EntryDate],DATE(2026,3,6),tblDaily[WardCode],"MAE")),"")</f>
        <v/>
      </c>
      <c r="G93" s="13" t="str">
        <f>IFERROR(IF(SUMIFS(tblDaily[TransfersOut],tblDaily[EntryDate],DATE(2026,3,6),tblDaily[WardCode],"MAE")=0,"",SUMIFS(tblDaily[TransfersOut],tblDaily[EntryDate],DATE(2026,3,6),tblDaily[WardCode],"MAE")),"")</f>
        <v/>
      </c>
      <c r="H93" s="13" t="str">
        <f>IFERROR(IF(SUMIFS(tblDaily[Remaining],tblDaily[EntryDate],DATE(2026,3,6),tblDaily[WardCode],"MAE")=0,"",SUMIFS(tblDaily[Remaining],tblDaily[EntryDate],DATE(2026,3,6),tblDaily[WardCode],"MAE")),"")</f>
        <v/>
      </c>
      <c r="I93" s="13" t="str">
        <f>IFERROR(IF(SUMIFS(tblDaily[Admissions],tblDaily[EntryDate],DATE(2026,3,6),tblDaily[WardCode],"FAE")=0,"",SUMIFS(tblDaily[Admissions],tblDaily[EntryDate],DATE(2026,3,6),tblDaily[WardCode],"FAE")),"")</f>
        <v/>
      </c>
      <c r="J93" s="13" t="str">
        <f>IFERROR(IF(SUMIFS(tblDaily[Discharges],tblDaily[EntryDate],DATE(2026,3,6),tblDaily[WardCode],"FAE")=0,"",SUMIFS(tblDaily[Discharges],tblDaily[EntryDate],DATE(2026,3,6),tblDaily[WardCode],"FAE")),"")</f>
        <v/>
      </c>
      <c r="K93" s="13" t="str">
        <f>IFERROR(IF(SUMIFS(tblDaily[Deaths],tblDaily[EntryDate],DATE(2026,3,6),tblDaily[WardCode],"FAE")=0,"",SUMIFS(tblDaily[Deaths],tblDaily[EntryDate],DATE(2026,3,6),tblDaily[WardCode],"FAE")),"")</f>
        <v/>
      </c>
      <c r="L93" s="13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3" t="str">
        <f>IFERROR(IF(SUMIFS(tblDaily[TransfersIn],tblDaily[EntryDate],DATE(2026,3,6),tblDaily[WardCode],"FAE")=0,"",SUMIFS(tblDaily[TransfersIn],tblDaily[EntryDate],DATE(2026,3,6),tblDaily[WardCode],"FAE")),"")</f>
        <v/>
      </c>
      <c r="N93" s="13" t="str">
        <f>IFERROR(IF(SUMIFS(tblDaily[TransfersOut],tblDaily[EntryDate],DATE(2026,3,6),tblDaily[WardCode],"FAE")=0,"",SUMIFS(tblDaily[TransfersOut],tblDaily[EntryDate],DATE(2026,3,6),tblDaily[WardCode],"FAE")),"")</f>
        <v/>
      </c>
      <c r="O93" s="13" t="str">
        <f>IFERROR(IF(SUMIFS(tblDaily[Remaining],tblDaily[EntryDate],DATE(2026,3,6),tblDaily[WardCode],"FAE")=0,"",SUMIFS(tblDaily[Remaining],tblDaily[EntryDate],DATE(2026,3,6),tblDaily[WardCode],"FAE")),"")</f>
        <v/>
      </c>
    </row>
    <row r="94" spans="1:15" x14ac:dyDescent="0.25">
      <c r="A94" s="13">
        <v>7</v>
      </c>
      <c r="B94" s="13" t="str">
        <f>IFERROR(IF(SUMIFS(tblDaily[Admissions],tblDaily[EntryDate],DATE(2026,3,7),tblDaily[WardCode],"MAE")=0,"",SUMIFS(tblDaily[Admissions],tblDaily[EntryDate],DATE(2026,3,7),tblDaily[WardCode],"MAE")),"")</f>
        <v/>
      </c>
      <c r="C94" s="13" t="str">
        <f>IFERROR(IF(SUMIFS(tblDaily[Discharges],tblDaily[EntryDate],DATE(2026,3,7),tblDaily[WardCode],"MAE")=0,"",SUMIFS(tblDaily[Discharges],tblDaily[EntryDate],DATE(2026,3,7),tblDaily[WardCode],"MAE")),"")</f>
        <v/>
      </c>
      <c r="D94" s="13" t="str">
        <f>IFERROR(IF(SUMIFS(tblDaily[Deaths],tblDaily[EntryDate],DATE(2026,3,7),tblDaily[WardCode],"MAE")=0,"",SUMIFS(tblDaily[Deaths],tblDaily[EntryDate],DATE(2026,3,7),tblDaily[WardCode],"MAE")),"")</f>
        <v/>
      </c>
      <c r="E94" s="13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3" t="str">
        <f>IFERROR(IF(SUMIFS(tblDaily[TransfersIn],tblDaily[EntryDate],DATE(2026,3,7),tblDaily[WardCode],"MAE")=0,"",SUMIFS(tblDaily[TransfersIn],tblDaily[EntryDate],DATE(2026,3,7),tblDaily[WardCode],"MAE")),"")</f>
        <v/>
      </c>
      <c r="G94" s="13" t="str">
        <f>IFERROR(IF(SUMIFS(tblDaily[TransfersOut],tblDaily[EntryDate],DATE(2026,3,7),tblDaily[WardCode],"MAE")=0,"",SUMIFS(tblDaily[TransfersOut],tblDaily[EntryDate],DATE(2026,3,7),tblDaily[WardCode],"MAE")),"")</f>
        <v/>
      </c>
      <c r="H94" s="13" t="str">
        <f>IFERROR(IF(SUMIFS(tblDaily[Remaining],tblDaily[EntryDate],DATE(2026,3,7),tblDaily[WardCode],"MAE")=0,"",SUMIFS(tblDaily[Remaining],tblDaily[EntryDate],DATE(2026,3,7),tblDaily[WardCode],"MAE")),"")</f>
        <v/>
      </c>
      <c r="I94" s="13" t="str">
        <f>IFERROR(IF(SUMIFS(tblDaily[Admissions],tblDaily[EntryDate],DATE(2026,3,7),tblDaily[WardCode],"FAE")=0,"",SUMIFS(tblDaily[Admissions],tblDaily[EntryDate],DATE(2026,3,7),tblDaily[WardCode],"FAE")),"")</f>
        <v/>
      </c>
      <c r="J94" s="13" t="str">
        <f>IFERROR(IF(SUMIFS(tblDaily[Discharges],tblDaily[EntryDate],DATE(2026,3,7),tblDaily[WardCode],"FAE")=0,"",SUMIFS(tblDaily[Discharges],tblDaily[EntryDate],DATE(2026,3,7),tblDaily[WardCode],"FAE")),"")</f>
        <v/>
      </c>
      <c r="K94" s="13" t="str">
        <f>IFERROR(IF(SUMIFS(tblDaily[Deaths],tblDaily[EntryDate],DATE(2026,3,7),tblDaily[WardCode],"FAE")=0,"",SUMIFS(tblDaily[Deaths],tblDaily[EntryDate],DATE(2026,3,7),tblDaily[WardCode],"FAE")),"")</f>
        <v/>
      </c>
      <c r="L94" s="13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3" t="str">
        <f>IFERROR(IF(SUMIFS(tblDaily[TransfersIn],tblDaily[EntryDate],DATE(2026,3,7),tblDaily[WardCode],"FAE")=0,"",SUMIFS(tblDaily[TransfersIn],tblDaily[EntryDate],DATE(2026,3,7),tblDaily[WardCode],"FAE")),"")</f>
        <v/>
      </c>
      <c r="N94" s="13" t="str">
        <f>IFERROR(IF(SUMIFS(tblDaily[TransfersOut],tblDaily[EntryDate],DATE(2026,3,7),tblDaily[WardCode],"FAE")=0,"",SUMIFS(tblDaily[TransfersOut],tblDaily[EntryDate],DATE(2026,3,7),tblDaily[WardCode],"FAE")),"")</f>
        <v/>
      </c>
      <c r="O94" s="13" t="str">
        <f>IFERROR(IF(SUMIFS(tblDaily[Remaining],tblDaily[EntryDate],DATE(2026,3,7),tblDaily[WardCode],"FAE")=0,"",SUMIFS(tblDaily[Remaining],tblDaily[EntryDate],DATE(2026,3,7),tblDaily[WardCode],"FAE")),"")</f>
        <v/>
      </c>
    </row>
    <row r="95" spans="1:15" x14ac:dyDescent="0.25">
      <c r="A95" s="13">
        <v>8</v>
      </c>
      <c r="B95" s="13" t="str">
        <f>IFERROR(IF(SUMIFS(tblDaily[Admissions],tblDaily[EntryDate],DATE(2026,3,8),tblDaily[WardCode],"MAE")=0,"",SUMIFS(tblDaily[Admissions],tblDaily[EntryDate],DATE(2026,3,8),tblDaily[WardCode],"MAE")),"")</f>
        <v/>
      </c>
      <c r="C95" s="13" t="str">
        <f>IFERROR(IF(SUMIFS(tblDaily[Discharges],tblDaily[EntryDate],DATE(2026,3,8),tblDaily[WardCode],"MAE")=0,"",SUMIFS(tblDaily[Discharges],tblDaily[EntryDate],DATE(2026,3,8),tblDaily[WardCode],"MAE")),"")</f>
        <v/>
      </c>
      <c r="D95" s="13" t="str">
        <f>IFERROR(IF(SUMIFS(tblDaily[Deaths],tblDaily[EntryDate],DATE(2026,3,8),tblDaily[WardCode],"MAE")=0,"",SUMIFS(tblDaily[Deaths],tblDaily[EntryDate],DATE(2026,3,8),tblDaily[WardCode],"MAE")),"")</f>
        <v/>
      </c>
      <c r="E95" s="13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3" t="str">
        <f>IFERROR(IF(SUMIFS(tblDaily[TransfersIn],tblDaily[EntryDate],DATE(2026,3,8),tblDaily[WardCode],"MAE")=0,"",SUMIFS(tblDaily[TransfersIn],tblDaily[EntryDate],DATE(2026,3,8),tblDaily[WardCode],"MAE")),"")</f>
        <v/>
      </c>
      <c r="G95" s="13" t="str">
        <f>IFERROR(IF(SUMIFS(tblDaily[TransfersOut],tblDaily[EntryDate],DATE(2026,3,8),tblDaily[WardCode],"MAE")=0,"",SUMIFS(tblDaily[TransfersOut],tblDaily[EntryDate],DATE(2026,3,8),tblDaily[WardCode],"MAE")),"")</f>
        <v/>
      </c>
      <c r="H95" s="13" t="str">
        <f>IFERROR(IF(SUMIFS(tblDaily[Remaining],tblDaily[EntryDate],DATE(2026,3,8),tblDaily[WardCode],"MAE")=0,"",SUMIFS(tblDaily[Remaining],tblDaily[EntryDate],DATE(2026,3,8),tblDaily[WardCode],"MAE")),"")</f>
        <v/>
      </c>
      <c r="I95" s="13" t="str">
        <f>IFERROR(IF(SUMIFS(tblDaily[Admissions],tblDaily[EntryDate],DATE(2026,3,8),tblDaily[WardCode],"FAE")=0,"",SUMIFS(tblDaily[Admissions],tblDaily[EntryDate],DATE(2026,3,8),tblDaily[WardCode],"FAE")),"")</f>
        <v/>
      </c>
      <c r="J95" s="13" t="str">
        <f>IFERROR(IF(SUMIFS(tblDaily[Discharges],tblDaily[EntryDate],DATE(2026,3,8),tblDaily[WardCode],"FAE")=0,"",SUMIFS(tblDaily[Discharges],tblDaily[EntryDate],DATE(2026,3,8),tblDaily[WardCode],"FAE")),"")</f>
        <v/>
      </c>
      <c r="K95" s="13" t="str">
        <f>IFERROR(IF(SUMIFS(tblDaily[Deaths],tblDaily[EntryDate],DATE(2026,3,8),tblDaily[WardCode],"FAE")=0,"",SUMIFS(tblDaily[Deaths],tblDaily[EntryDate],DATE(2026,3,8),tblDaily[WardCode],"FAE")),"")</f>
        <v/>
      </c>
      <c r="L95" s="13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3" t="str">
        <f>IFERROR(IF(SUMIFS(tblDaily[TransfersIn],tblDaily[EntryDate],DATE(2026,3,8),tblDaily[WardCode],"FAE")=0,"",SUMIFS(tblDaily[TransfersIn],tblDaily[EntryDate],DATE(2026,3,8),tblDaily[WardCode],"FAE")),"")</f>
        <v/>
      </c>
      <c r="N95" s="13" t="str">
        <f>IFERROR(IF(SUMIFS(tblDaily[TransfersOut],tblDaily[EntryDate],DATE(2026,3,8),tblDaily[WardCode],"FAE")=0,"",SUMIFS(tblDaily[TransfersOut],tblDaily[EntryDate],DATE(2026,3,8),tblDaily[WardCode],"FAE")),"")</f>
        <v/>
      </c>
      <c r="O95" s="13" t="str">
        <f>IFERROR(IF(SUMIFS(tblDaily[Remaining],tblDaily[EntryDate],DATE(2026,3,8),tblDaily[WardCode],"FAE")=0,"",SUMIFS(tblDaily[Remaining],tblDaily[EntryDate],DATE(2026,3,8),tblDaily[WardCode],"FAE")),"")</f>
        <v/>
      </c>
    </row>
    <row r="96" spans="1:15" x14ac:dyDescent="0.25">
      <c r="A96" s="13">
        <v>9</v>
      </c>
      <c r="B96" s="13" t="str">
        <f>IFERROR(IF(SUMIFS(tblDaily[Admissions],tblDaily[EntryDate],DATE(2026,3,9),tblDaily[WardCode],"MAE")=0,"",SUMIFS(tblDaily[Admissions],tblDaily[EntryDate],DATE(2026,3,9),tblDaily[WardCode],"MAE")),"")</f>
        <v/>
      </c>
      <c r="C96" s="13" t="str">
        <f>IFERROR(IF(SUMIFS(tblDaily[Discharges],tblDaily[EntryDate],DATE(2026,3,9),tblDaily[WardCode],"MAE")=0,"",SUMIFS(tblDaily[Discharges],tblDaily[EntryDate],DATE(2026,3,9),tblDaily[WardCode],"MAE")),"")</f>
        <v/>
      </c>
      <c r="D96" s="13" t="str">
        <f>IFERROR(IF(SUMIFS(tblDaily[Deaths],tblDaily[EntryDate],DATE(2026,3,9),tblDaily[WardCode],"MAE")=0,"",SUMIFS(tblDaily[Deaths],tblDaily[EntryDate],DATE(2026,3,9),tblDaily[WardCode],"MAE")),"")</f>
        <v/>
      </c>
      <c r="E96" s="13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3" t="str">
        <f>IFERROR(IF(SUMIFS(tblDaily[TransfersIn],tblDaily[EntryDate],DATE(2026,3,9),tblDaily[WardCode],"MAE")=0,"",SUMIFS(tblDaily[TransfersIn],tblDaily[EntryDate],DATE(2026,3,9),tblDaily[WardCode],"MAE")),"")</f>
        <v/>
      </c>
      <c r="G96" s="13" t="str">
        <f>IFERROR(IF(SUMIFS(tblDaily[TransfersOut],tblDaily[EntryDate],DATE(2026,3,9),tblDaily[WardCode],"MAE")=0,"",SUMIFS(tblDaily[TransfersOut],tblDaily[EntryDate],DATE(2026,3,9),tblDaily[WardCode],"MAE")),"")</f>
        <v/>
      </c>
      <c r="H96" s="13" t="str">
        <f>IFERROR(IF(SUMIFS(tblDaily[Remaining],tblDaily[EntryDate],DATE(2026,3,9),tblDaily[WardCode],"MAE")=0,"",SUMIFS(tblDaily[Remaining],tblDaily[EntryDate],DATE(2026,3,9),tblDaily[WardCode],"MAE")),"")</f>
        <v/>
      </c>
      <c r="I96" s="13" t="str">
        <f>IFERROR(IF(SUMIFS(tblDaily[Admissions],tblDaily[EntryDate],DATE(2026,3,9),tblDaily[WardCode],"FAE")=0,"",SUMIFS(tblDaily[Admissions],tblDaily[EntryDate],DATE(2026,3,9),tblDaily[WardCode],"FAE")),"")</f>
        <v/>
      </c>
      <c r="J96" s="13" t="str">
        <f>IFERROR(IF(SUMIFS(tblDaily[Discharges],tblDaily[EntryDate],DATE(2026,3,9),tblDaily[WardCode],"FAE")=0,"",SUMIFS(tblDaily[Discharges],tblDaily[EntryDate],DATE(2026,3,9),tblDaily[WardCode],"FAE")),"")</f>
        <v/>
      </c>
      <c r="K96" s="13" t="str">
        <f>IFERROR(IF(SUMIFS(tblDaily[Deaths],tblDaily[EntryDate],DATE(2026,3,9),tblDaily[WardCode],"FAE")=0,"",SUMIFS(tblDaily[Deaths],tblDaily[EntryDate],DATE(2026,3,9),tblDaily[WardCode],"FAE")),"")</f>
        <v/>
      </c>
      <c r="L96" s="13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3" t="str">
        <f>IFERROR(IF(SUMIFS(tblDaily[TransfersIn],tblDaily[EntryDate],DATE(2026,3,9),tblDaily[WardCode],"FAE")=0,"",SUMIFS(tblDaily[TransfersIn],tblDaily[EntryDate],DATE(2026,3,9),tblDaily[WardCode],"FAE")),"")</f>
        <v/>
      </c>
      <c r="N96" s="13" t="str">
        <f>IFERROR(IF(SUMIFS(tblDaily[TransfersOut],tblDaily[EntryDate],DATE(2026,3,9),tblDaily[WardCode],"FAE")=0,"",SUMIFS(tblDaily[TransfersOut],tblDaily[EntryDate],DATE(2026,3,9),tblDaily[WardCode],"FAE")),"")</f>
        <v/>
      </c>
      <c r="O96" s="13" t="str">
        <f>IFERROR(IF(SUMIFS(tblDaily[Remaining],tblDaily[EntryDate],DATE(2026,3,9),tblDaily[WardCode],"FAE")=0,"",SUMIFS(tblDaily[Remaining],tblDaily[EntryDate],DATE(2026,3,9),tblDaily[WardCode],"FAE")),"")</f>
        <v/>
      </c>
    </row>
    <row r="97" spans="1:15" x14ac:dyDescent="0.25">
      <c r="A97" s="13">
        <v>10</v>
      </c>
      <c r="B97" s="13" t="str">
        <f>IFERROR(IF(SUMIFS(tblDaily[Admissions],tblDaily[EntryDate],DATE(2026,3,10),tblDaily[WardCode],"MAE")=0,"",SUMIFS(tblDaily[Admissions],tblDaily[EntryDate],DATE(2026,3,10),tblDaily[WardCode],"MAE")),"")</f>
        <v/>
      </c>
      <c r="C97" s="13" t="str">
        <f>IFERROR(IF(SUMIFS(tblDaily[Discharges],tblDaily[EntryDate],DATE(2026,3,10),tblDaily[WardCode],"MAE")=0,"",SUMIFS(tblDaily[Discharges],tblDaily[EntryDate],DATE(2026,3,10),tblDaily[WardCode],"MAE")),"")</f>
        <v/>
      </c>
      <c r="D97" s="13" t="str">
        <f>IFERROR(IF(SUMIFS(tblDaily[Deaths],tblDaily[EntryDate],DATE(2026,3,10),tblDaily[WardCode],"MAE")=0,"",SUMIFS(tblDaily[Deaths],tblDaily[EntryDate],DATE(2026,3,10),tblDaily[WardCode],"MAE")),"")</f>
        <v/>
      </c>
      <c r="E97" s="13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3" t="str">
        <f>IFERROR(IF(SUMIFS(tblDaily[TransfersIn],tblDaily[EntryDate],DATE(2026,3,10),tblDaily[WardCode],"MAE")=0,"",SUMIFS(tblDaily[TransfersIn],tblDaily[EntryDate],DATE(2026,3,10),tblDaily[WardCode],"MAE")),"")</f>
        <v/>
      </c>
      <c r="G97" s="13" t="str">
        <f>IFERROR(IF(SUMIFS(tblDaily[TransfersOut],tblDaily[EntryDate],DATE(2026,3,10),tblDaily[WardCode],"MAE")=0,"",SUMIFS(tblDaily[TransfersOut],tblDaily[EntryDate],DATE(2026,3,10),tblDaily[WardCode],"MAE")),"")</f>
        <v/>
      </c>
      <c r="H97" s="13" t="str">
        <f>IFERROR(IF(SUMIFS(tblDaily[Remaining],tblDaily[EntryDate],DATE(2026,3,10),tblDaily[WardCode],"MAE")=0,"",SUMIFS(tblDaily[Remaining],tblDaily[EntryDate],DATE(2026,3,10),tblDaily[WardCode],"MAE")),"")</f>
        <v/>
      </c>
      <c r="I97" s="13" t="str">
        <f>IFERROR(IF(SUMIFS(tblDaily[Admissions],tblDaily[EntryDate],DATE(2026,3,10),tblDaily[WardCode],"FAE")=0,"",SUMIFS(tblDaily[Admissions],tblDaily[EntryDate],DATE(2026,3,10),tblDaily[WardCode],"FAE")),"")</f>
        <v/>
      </c>
      <c r="J97" s="13" t="str">
        <f>IFERROR(IF(SUMIFS(tblDaily[Discharges],tblDaily[EntryDate],DATE(2026,3,10),tblDaily[WardCode],"FAE")=0,"",SUMIFS(tblDaily[Discharges],tblDaily[EntryDate],DATE(2026,3,10),tblDaily[WardCode],"FAE")),"")</f>
        <v/>
      </c>
      <c r="K97" s="13" t="str">
        <f>IFERROR(IF(SUMIFS(tblDaily[Deaths],tblDaily[EntryDate],DATE(2026,3,10),tblDaily[WardCode],"FAE")=0,"",SUMIFS(tblDaily[Deaths],tblDaily[EntryDate],DATE(2026,3,10),tblDaily[WardCode],"FAE")),"")</f>
        <v/>
      </c>
      <c r="L97" s="13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3" t="str">
        <f>IFERROR(IF(SUMIFS(tblDaily[TransfersIn],tblDaily[EntryDate],DATE(2026,3,10),tblDaily[WardCode],"FAE")=0,"",SUMIFS(tblDaily[TransfersIn],tblDaily[EntryDate],DATE(2026,3,10),tblDaily[WardCode],"FAE")),"")</f>
        <v/>
      </c>
      <c r="N97" s="13" t="str">
        <f>IFERROR(IF(SUMIFS(tblDaily[TransfersOut],tblDaily[EntryDate],DATE(2026,3,10),tblDaily[WardCode],"FAE")=0,"",SUMIFS(tblDaily[TransfersOut],tblDaily[EntryDate],DATE(2026,3,10),tblDaily[WardCode],"FAE")),"")</f>
        <v/>
      </c>
      <c r="O97" s="13" t="str">
        <f>IFERROR(IF(SUMIFS(tblDaily[Remaining],tblDaily[EntryDate],DATE(2026,3,10),tblDaily[WardCode],"FAE")=0,"",SUMIFS(tblDaily[Remaining],tblDaily[EntryDate],DATE(2026,3,10),tblDaily[WardCode],"FAE")),"")</f>
        <v/>
      </c>
    </row>
    <row r="98" spans="1:15" x14ac:dyDescent="0.25">
      <c r="A98" s="13">
        <v>11</v>
      </c>
      <c r="B98" s="13" t="str">
        <f>IFERROR(IF(SUMIFS(tblDaily[Admissions],tblDaily[EntryDate],DATE(2026,3,11),tblDaily[WardCode],"MAE")=0,"",SUMIFS(tblDaily[Admissions],tblDaily[EntryDate],DATE(2026,3,11),tblDaily[WardCode],"MAE")),"")</f>
        <v/>
      </c>
      <c r="C98" s="13" t="str">
        <f>IFERROR(IF(SUMIFS(tblDaily[Discharges],tblDaily[EntryDate],DATE(2026,3,11),tblDaily[WardCode],"MAE")=0,"",SUMIFS(tblDaily[Discharges],tblDaily[EntryDate],DATE(2026,3,11),tblDaily[WardCode],"MAE")),"")</f>
        <v/>
      </c>
      <c r="D98" s="13" t="str">
        <f>IFERROR(IF(SUMIFS(tblDaily[Deaths],tblDaily[EntryDate],DATE(2026,3,11),tblDaily[WardCode],"MAE")=0,"",SUMIFS(tblDaily[Deaths],tblDaily[EntryDate],DATE(2026,3,11),tblDaily[WardCode],"MAE")),"")</f>
        <v/>
      </c>
      <c r="E98" s="13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3" t="str">
        <f>IFERROR(IF(SUMIFS(tblDaily[TransfersIn],tblDaily[EntryDate],DATE(2026,3,11),tblDaily[WardCode],"MAE")=0,"",SUMIFS(tblDaily[TransfersIn],tblDaily[EntryDate],DATE(2026,3,11),tblDaily[WardCode],"MAE")),"")</f>
        <v/>
      </c>
      <c r="G98" s="13" t="str">
        <f>IFERROR(IF(SUMIFS(tblDaily[TransfersOut],tblDaily[EntryDate],DATE(2026,3,11),tblDaily[WardCode],"MAE")=0,"",SUMIFS(tblDaily[TransfersOut],tblDaily[EntryDate],DATE(2026,3,11),tblDaily[WardCode],"MAE")),"")</f>
        <v/>
      </c>
      <c r="H98" s="13" t="str">
        <f>IFERROR(IF(SUMIFS(tblDaily[Remaining],tblDaily[EntryDate],DATE(2026,3,11),tblDaily[WardCode],"MAE")=0,"",SUMIFS(tblDaily[Remaining],tblDaily[EntryDate],DATE(2026,3,11),tblDaily[WardCode],"MAE")),"")</f>
        <v/>
      </c>
      <c r="I98" s="13" t="str">
        <f>IFERROR(IF(SUMIFS(tblDaily[Admissions],tblDaily[EntryDate],DATE(2026,3,11),tblDaily[WardCode],"FAE")=0,"",SUMIFS(tblDaily[Admissions],tblDaily[EntryDate],DATE(2026,3,11),tblDaily[WardCode],"FAE")),"")</f>
        <v/>
      </c>
      <c r="J98" s="13" t="str">
        <f>IFERROR(IF(SUMIFS(tblDaily[Discharges],tblDaily[EntryDate],DATE(2026,3,11),tblDaily[WardCode],"FAE")=0,"",SUMIFS(tblDaily[Discharges],tblDaily[EntryDate],DATE(2026,3,11),tblDaily[WardCode],"FAE")),"")</f>
        <v/>
      </c>
      <c r="K98" s="13" t="str">
        <f>IFERROR(IF(SUMIFS(tblDaily[Deaths],tblDaily[EntryDate],DATE(2026,3,11),tblDaily[WardCode],"FAE")=0,"",SUMIFS(tblDaily[Deaths],tblDaily[EntryDate],DATE(2026,3,11),tblDaily[WardCode],"FAE")),"")</f>
        <v/>
      </c>
      <c r="L98" s="13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3" t="str">
        <f>IFERROR(IF(SUMIFS(tblDaily[TransfersIn],tblDaily[EntryDate],DATE(2026,3,11),tblDaily[WardCode],"FAE")=0,"",SUMIFS(tblDaily[TransfersIn],tblDaily[EntryDate],DATE(2026,3,11),tblDaily[WardCode],"FAE")),"")</f>
        <v/>
      </c>
      <c r="N98" s="13" t="str">
        <f>IFERROR(IF(SUMIFS(tblDaily[TransfersOut],tblDaily[EntryDate],DATE(2026,3,11),tblDaily[WardCode],"FAE")=0,"",SUMIFS(tblDaily[TransfersOut],tblDaily[EntryDate],DATE(2026,3,11),tblDaily[WardCode],"FAE")),"")</f>
        <v/>
      </c>
      <c r="O98" s="13" t="str">
        <f>IFERROR(IF(SUMIFS(tblDaily[Remaining],tblDaily[EntryDate],DATE(2026,3,11),tblDaily[WardCode],"FAE")=0,"",SUMIFS(tblDaily[Remaining],tblDaily[EntryDate],DATE(2026,3,11),tblDaily[WardCode],"FAE")),"")</f>
        <v/>
      </c>
    </row>
    <row r="99" spans="1:15" x14ac:dyDescent="0.25">
      <c r="A99" s="13">
        <v>12</v>
      </c>
      <c r="B99" s="13" t="str">
        <f>IFERROR(IF(SUMIFS(tblDaily[Admissions],tblDaily[EntryDate],DATE(2026,3,12),tblDaily[WardCode],"MAE")=0,"",SUMIFS(tblDaily[Admissions],tblDaily[EntryDate],DATE(2026,3,12),tblDaily[WardCode],"MAE")),"")</f>
        <v/>
      </c>
      <c r="C99" s="13" t="str">
        <f>IFERROR(IF(SUMIFS(tblDaily[Discharges],tblDaily[EntryDate],DATE(2026,3,12),tblDaily[WardCode],"MAE")=0,"",SUMIFS(tblDaily[Discharges],tblDaily[EntryDate],DATE(2026,3,12),tblDaily[WardCode],"MAE")),"")</f>
        <v/>
      </c>
      <c r="D99" s="13" t="str">
        <f>IFERROR(IF(SUMIFS(tblDaily[Deaths],tblDaily[EntryDate],DATE(2026,3,12),tblDaily[WardCode],"MAE")=0,"",SUMIFS(tblDaily[Deaths],tblDaily[EntryDate],DATE(2026,3,12),tblDaily[WardCode],"MAE")),"")</f>
        <v/>
      </c>
      <c r="E99" s="13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3" t="str">
        <f>IFERROR(IF(SUMIFS(tblDaily[TransfersIn],tblDaily[EntryDate],DATE(2026,3,12),tblDaily[WardCode],"MAE")=0,"",SUMIFS(tblDaily[TransfersIn],tblDaily[EntryDate],DATE(2026,3,12),tblDaily[WardCode],"MAE")),"")</f>
        <v/>
      </c>
      <c r="G99" s="13" t="str">
        <f>IFERROR(IF(SUMIFS(tblDaily[TransfersOut],tblDaily[EntryDate],DATE(2026,3,12),tblDaily[WardCode],"MAE")=0,"",SUMIFS(tblDaily[TransfersOut],tblDaily[EntryDate],DATE(2026,3,12),tblDaily[WardCode],"MAE")),"")</f>
        <v/>
      </c>
      <c r="H99" s="13" t="str">
        <f>IFERROR(IF(SUMIFS(tblDaily[Remaining],tblDaily[EntryDate],DATE(2026,3,12),tblDaily[WardCode],"MAE")=0,"",SUMIFS(tblDaily[Remaining],tblDaily[EntryDate],DATE(2026,3,12),tblDaily[WardCode],"MAE")),"")</f>
        <v/>
      </c>
      <c r="I99" s="13" t="str">
        <f>IFERROR(IF(SUMIFS(tblDaily[Admissions],tblDaily[EntryDate],DATE(2026,3,12),tblDaily[WardCode],"FAE")=0,"",SUMIFS(tblDaily[Admissions],tblDaily[EntryDate],DATE(2026,3,12),tblDaily[WardCode],"FAE")),"")</f>
        <v/>
      </c>
      <c r="J99" s="13" t="str">
        <f>IFERROR(IF(SUMIFS(tblDaily[Discharges],tblDaily[EntryDate],DATE(2026,3,12),tblDaily[WardCode],"FAE")=0,"",SUMIFS(tblDaily[Discharges],tblDaily[EntryDate],DATE(2026,3,12),tblDaily[WardCode],"FAE")),"")</f>
        <v/>
      </c>
      <c r="K99" s="13" t="str">
        <f>IFERROR(IF(SUMIFS(tblDaily[Deaths],tblDaily[EntryDate],DATE(2026,3,12),tblDaily[WardCode],"FAE")=0,"",SUMIFS(tblDaily[Deaths],tblDaily[EntryDate],DATE(2026,3,12),tblDaily[WardCode],"FAE")),"")</f>
        <v/>
      </c>
      <c r="L99" s="13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3" t="str">
        <f>IFERROR(IF(SUMIFS(tblDaily[TransfersIn],tblDaily[EntryDate],DATE(2026,3,12),tblDaily[WardCode],"FAE")=0,"",SUMIFS(tblDaily[TransfersIn],tblDaily[EntryDate],DATE(2026,3,12),tblDaily[WardCode],"FAE")),"")</f>
        <v/>
      </c>
      <c r="N99" s="13" t="str">
        <f>IFERROR(IF(SUMIFS(tblDaily[TransfersOut],tblDaily[EntryDate],DATE(2026,3,12),tblDaily[WardCode],"FAE")=0,"",SUMIFS(tblDaily[TransfersOut],tblDaily[EntryDate],DATE(2026,3,12),tblDaily[WardCode],"FAE")),"")</f>
        <v/>
      </c>
      <c r="O99" s="13" t="str">
        <f>IFERROR(IF(SUMIFS(tblDaily[Remaining],tblDaily[EntryDate],DATE(2026,3,12),tblDaily[WardCode],"FAE")=0,"",SUMIFS(tblDaily[Remaining],tblDaily[EntryDate],DATE(2026,3,12),tblDaily[WardCode],"FAE")),"")</f>
        <v/>
      </c>
    </row>
    <row r="100" spans="1:15" x14ac:dyDescent="0.25">
      <c r="A100" s="13">
        <v>13</v>
      </c>
      <c r="B100" s="13" t="str">
        <f>IFERROR(IF(SUMIFS(tblDaily[Admissions],tblDaily[EntryDate],DATE(2026,3,13),tblDaily[WardCode],"MAE")=0,"",SUMIFS(tblDaily[Admissions],tblDaily[EntryDate],DATE(2026,3,13),tblDaily[WardCode],"MAE")),"")</f>
        <v/>
      </c>
      <c r="C100" s="13" t="str">
        <f>IFERROR(IF(SUMIFS(tblDaily[Discharges],tblDaily[EntryDate],DATE(2026,3,13),tblDaily[WardCode],"MAE")=0,"",SUMIFS(tblDaily[Discharges],tblDaily[EntryDate],DATE(2026,3,13),tblDaily[WardCode],"MAE")),"")</f>
        <v/>
      </c>
      <c r="D100" s="13" t="str">
        <f>IFERROR(IF(SUMIFS(tblDaily[Deaths],tblDaily[EntryDate],DATE(2026,3,13),tblDaily[WardCode],"MAE")=0,"",SUMIFS(tblDaily[Deaths],tblDaily[EntryDate],DATE(2026,3,13),tblDaily[WardCode],"MAE")),"")</f>
        <v/>
      </c>
      <c r="E100" s="13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3" t="str">
        <f>IFERROR(IF(SUMIFS(tblDaily[TransfersIn],tblDaily[EntryDate],DATE(2026,3,13),tblDaily[WardCode],"MAE")=0,"",SUMIFS(tblDaily[TransfersIn],tblDaily[EntryDate],DATE(2026,3,13),tblDaily[WardCode],"MAE")),"")</f>
        <v/>
      </c>
      <c r="G100" s="13" t="str">
        <f>IFERROR(IF(SUMIFS(tblDaily[TransfersOut],tblDaily[EntryDate],DATE(2026,3,13),tblDaily[WardCode],"MAE")=0,"",SUMIFS(tblDaily[TransfersOut],tblDaily[EntryDate],DATE(2026,3,13),tblDaily[WardCode],"MAE")),"")</f>
        <v/>
      </c>
      <c r="H100" s="13" t="str">
        <f>IFERROR(IF(SUMIFS(tblDaily[Remaining],tblDaily[EntryDate],DATE(2026,3,13),tblDaily[WardCode],"MAE")=0,"",SUMIFS(tblDaily[Remaining],tblDaily[EntryDate],DATE(2026,3,13),tblDaily[WardCode],"MAE")),"")</f>
        <v/>
      </c>
      <c r="I100" s="13" t="str">
        <f>IFERROR(IF(SUMIFS(tblDaily[Admissions],tblDaily[EntryDate],DATE(2026,3,13),tblDaily[WardCode],"FAE")=0,"",SUMIFS(tblDaily[Admissions],tblDaily[EntryDate],DATE(2026,3,13),tblDaily[WardCode],"FAE")),"")</f>
        <v/>
      </c>
      <c r="J100" s="13" t="str">
        <f>IFERROR(IF(SUMIFS(tblDaily[Discharges],tblDaily[EntryDate],DATE(2026,3,13),tblDaily[WardCode],"FAE")=0,"",SUMIFS(tblDaily[Discharges],tblDaily[EntryDate],DATE(2026,3,13),tblDaily[WardCode],"FAE")),"")</f>
        <v/>
      </c>
      <c r="K100" s="13" t="str">
        <f>IFERROR(IF(SUMIFS(tblDaily[Deaths],tblDaily[EntryDate],DATE(2026,3,13),tblDaily[WardCode],"FAE")=0,"",SUMIFS(tblDaily[Deaths],tblDaily[EntryDate],DATE(2026,3,13),tblDaily[WardCode],"FAE")),"")</f>
        <v/>
      </c>
      <c r="L100" s="13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3" t="str">
        <f>IFERROR(IF(SUMIFS(tblDaily[TransfersIn],tblDaily[EntryDate],DATE(2026,3,13),tblDaily[WardCode],"FAE")=0,"",SUMIFS(tblDaily[TransfersIn],tblDaily[EntryDate],DATE(2026,3,13),tblDaily[WardCode],"FAE")),"")</f>
        <v/>
      </c>
      <c r="N100" s="13" t="str">
        <f>IFERROR(IF(SUMIFS(tblDaily[TransfersOut],tblDaily[EntryDate],DATE(2026,3,13),tblDaily[WardCode],"FAE")=0,"",SUMIFS(tblDaily[TransfersOut],tblDaily[EntryDate],DATE(2026,3,13),tblDaily[WardCode],"FAE")),"")</f>
        <v/>
      </c>
      <c r="O100" s="13" t="str">
        <f>IFERROR(IF(SUMIFS(tblDaily[Remaining],tblDaily[EntryDate],DATE(2026,3,13),tblDaily[WardCode],"FAE")=0,"",SUMIFS(tblDaily[Remaining],tblDaily[EntryDate],DATE(2026,3,13),tblDaily[WardCode],"FAE")),"")</f>
        <v/>
      </c>
    </row>
    <row r="101" spans="1:15" x14ac:dyDescent="0.25">
      <c r="A101" s="13">
        <v>14</v>
      </c>
      <c r="B101" s="13" t="str">
        <f>IFERROR(IF(SUMIFS(tblDaily[Admissions],tblDaily[EntryDate],DATE(2026,3,14),tblDaily[WardCode],"MAE")=0,"",SUMIFS(tblDaily[Admissions],tblDaily[EntryDate],DATE(2026,3,14),tblDaily[WardCode],"MAE")),"")</f>
        <v/>
      </c>
      <c r="C101" s="13" t="str">
        <f>IFERROR(IF(SUMIFS(tblDaily[Discharges],tblDaily[EntryDate],DATE(2026,3,14),tblDaily[WardCode],"MAE")=0,"",SUMIFS(tblDaily[Discharges],tblDaily[EntryDate],DATE(2026,3,14),tblDaily[WardCode],"MAE")),"")</f>
        <v/>
      </c>
      <c r="D101" s="13" t="str">
        <f>IFERROR(IF(SUMIFS(tblDaily[Deaths],tblDaily[EntryDate],DATE(2026,3,14),tblDaily[WardCode],"MAE")=0,"",SUMIFS(tblDaily[Deaths],tblDaily[EntryDate],DATE(2026,3,14),tblDaily[WardCode],"MAE")),"")</f>
        <v/>
      </c>
      <c r="E101" s="13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3" t="str">
        <f>IFERROR(IF(SUMIFS(tblDaily[TransfersIn],tblDaily[EntryDate],DATE(2026,3,14),tblDaily[WardCode],"MAE")=0,"",SUMIFS(tblDaily[TransfersIn],tblDaily[EntryDate],DATE(2026,3,14),tblDaily[WardCode],"MAE")),"")</f>
        <v/>
      </c>
      <c r="G101" s="13" t="str">
        <f>IFERROR(IF(SUMIFS(tblDaily[TransfersOut],tblDaily[EntryDate],DATE(2026,3,14),tblDaily[WardCode],"MAE")=0,"",SUMIFS(tblDaily[TransfersOut],tblDaily[EntryDate],DATE(2026,3,14),tblDaily[WardCode],"MAE")),"")</f>
        <v/>
      </c>
      <c r="H101" s="13" t="str">
        <f>IFERROR(IF(SUMIFS(tblDaily[Remaining],tblDaily[EntryDate],DATE(2026,3,14),tblDaily[WardCode],"MAE")=0,"",SUMIFS(tblDaily[Remaining],tblDaily[EntryDate],DATE(2026,3,14),tblDaily[WardCode],"MAE")),"")</f>
        <v/>
      </c>
      <c r="I101" s="13" t="str">
        <f>IFERROR(IF(SUMIFS(tblDaily[Admissions],tblDaily[EntryDate],DATE(2026,3,14),tblDaily[WardCode],"FAE")=0,"",SUMIFS(tblDaily[Admissions],tblDaily[EntryDate],DATE(2026,3,14),tblDaily[WardCode],"FAE")),"")</f>
        <v/>
      </c>
      <c r="J101" s="13" t="str">
        <f>IFERROR(IF(SUMIFS(tblDaily[Discharges],tblDaily[EntryDate],DATE(2026,3,14),tblDaily[WardCode],"FAE")=0,"",SUMIFS(tblDaily[Discharges],tblDaily[EntryDate],DATE(2026,3,14),tblDaily[WardCode],"FAE")),"")</f>
        <v/>
      </c>
      <c r="K101" s="13" t="str">
        <f>IFERROR(IF(SUMIFS(tblDaily[Deaths],tblDaily[EntryDate],DATE(2026,3,14),tblDaily[WardCode],"FAE")=0,"",SUMIFS(tblDaily[Deaths],tblDaily[EntryDate],DATE(2026,3,14),tblDaily[WardCode],"FAE")),"")</f>
        <v/>
      </c>
      <c r="L101" s="13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3" t="str">
        <f>IFERROR(IF(SUMIFS(tblDaily[TransfersIn],tblDaily[EntryDate],DATE(2026,3,14),tblDaily[WardCode],"FAE")=0,"",SUMIFS(tblDaily[TransfersIn],tblDaily[EntryDate],DATE(2026,3,14),tblDaily[WardCode],"FAE")),"")</f>
        <v/>
      </c>
      <c r="N101" s="13" t="str">
        <f>IFERROR(IF(SUMIFS(tblDaily[TransfersOut],tblDaily[EntryDate],DATE(2026,3,14),tblDaily[WardCode],"FAE")=0,"",SUMIFS(tblDaily[TransfersOut],tblDaily[EntryDate],DATE(2026,3,14),tblDaily[WardCode],"FAE")),"")</f>
        <v/>
      </c>
      <c r="O101" s="13" t="str">
        <f>IFERROR(IF(SUMIFS(tblDaily[Remaining],tblDaily[EntryDate],DATE(2026,3,14),tblDaily[WardCode],"FAE")=0,"",SUMIFS(tblDaily[Remaining],tblDaily[EntryDate],DATE(2026,3,14),tblDaily[WardCode],"FAE")),"")</f>
        <v/>
      </c>
    </row>
    <row r="102" spans="1:15" x14ac:dyDescent="0.25">
      <c r="A102" s="13">
        <v>15</v>
      </c>
      <c r="B102" s="13" t="str">
        <f>IFERROR(IF(SUMIFS(tblDaily[Admissions],tblDaily[EntryDate],DATE(2026,3,15),tblDaily[WardCode],"MAE")=0,"",SUMIFS(tblDaily[Admissions],tblDaily[EntryDate],DATE(2026,3,15),tblDaily[WardCode],"MAE")),"")</f>
        <v/>
      </c>
      <c r="C102" s="13" t="str">
        <f>IFERROR(IF(SUMIFS(tblDaily[Discharges],tblDaily[EntryDate],DATE(2026,3,15),tblDaily[WardCode],"MAE")=0,"",SUMIFS(tblDaily[Discharges],tblDaily[EntryDate],DATE(2026,3,15),tblDaily[WardCode],"MAE")),"")</f>
        <v/>
      </c>
      <c r="D102" s="13" t="str">
        <f>IFERROR(IF(SUMIFS(tblDaily[Deaths],tblDaily[EntryDate],DATE(2026,3,15),tblDaily[WardCode],"MAE")=0,"",SUMIFS(tblDaily[Deaths],tblDaily[EntryDate],DATE(2026,3,15),tblDaily[WardCode],"MAE")),"")</f>
        <v/>
      </c>
      <c r="E102" s="13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3" t="str">
        <f>IFERROR(IF(SUMIFS(tblDaily[TransfersIn],tblDaily[EntryDate],DATE(2026,3,15),tblDaily[WardCode],"MAE")=0,"",SUMIFS(tblDaily[TransfersIn],tblDaily[EntryDate],DATE(2026,3,15),tblDaily[WardCode],"MAE")),"")</f>
        <v/>
      </c>
      <c r="G102" s="13" t="str">
        <f>IFERROR(IF(SUMIFS(tblDaily[TransfersOut],tblDaily[EntryDate],DATE(2026,3,15),tblDaily[WardCode],"MAE")=0,"",SUMIFS(tblDaily[TransfersOut],tblDaily[EntryDate],DATE(2026,3,15),tblDaily[WardCode],"MAE")),"")</f>
        <v/>
      </c>
      <c r="H102" s="13" t="str">
        <f>IFERROR(IF(SUMIFS(tblDaily[Remaining],tblDaily[EntryDate],DATE(2026,3,15),tblDaily[WardCode],"MAE")=0,"",SUMIFS(tblDaily[Remaining],tblDaily[EntryDate],DATE(2026,3,15),tblDaily[WardCode],"MAE")),"")</f>
        <v/>
      </c>
      <c r="I102" s="13" t="str">
        <f>IFERROR(IF(SUMIFS(tblDaily[Admissions],tblDaily[EntryDate],DATE(2026,3,15),tblDaily[WardCode],"FAE")=0,"",SUMIFS(tblDaily[Admissions],tblDaily[EntryDate],DATE(2026,3,15),tblDaily[WardCode],"FAE")),"")</f>
        <v/>
      </c>
      <c r="J102" s="13" t="str">
        <f>IFERROR(IF(SUMIFS(tblDaily[Discharges],tblDaily[EntryDate],DATE(2026,3,15),tblDaily[WardCode],"FAE")=0,"",SUMIFS(tblDaily[Discharges],tblDaily[EntryDate],DATE(2026,3,15),tblDaily[WardCode],"FAE")),"")</f>
        <v/>
      </c>
      <c r="K102" s="13" t="str">
        <f>IFERROR(IF(SUMIFS(tblDaily[Deaths],tblDaily[EntryDate],DATE(2026,3,15),tblDaily[WardCode],"FAE")=0,"",SUMIFS(tblDaily[Deaths],tblDaily[EntryDate],DATE(2026,3,15),tblDaily[WardCode],"FAE")),"")</f>
        <v/>
      </c>
      <c r="L102" s="13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3" t="str">
        <f>IFERROR(IF(SUMIFS(tblDaily[TransfersIn],tblDaily[EntryDate],DATE(2026,3,15),tblDaily[WardCode],"FAE")=0,"",SUMIFS(tblDaily[TransfersIn],tblDaily[EntryDate],DATE(2026,3,15),tblDaily[WardCode],"FAE")),"")</f>
        <v/>
      </c>
      <c r="N102" s="13" t="str">
        <f>IFERROR(IF(SUMIFS(tblDaily[TransfersOut],tblDaily[EntryDate],DATE(2026,3,15),tblDaily[WardCode],"FAE")=0,"",SUMIFS(tblDaily[TransfersOut],tblDaily[EntryDate],DATE(2026,3,15),tblDaily[WardCode],"FAE")),"")</f>
        <v/>
      </c>
      <c r="O102" s="13" t="str">
        <f>IFERROR(IF(SUMIFS(tblDaily[Remaining],tblDaily[EntryDate],DATE(2026,3,15),tblDaily[WardCode],"FAE")=0,"",SUMIFS(tblDaily[Remaining],tblDaily[EntryDate],DATE(2026,3,15),tblDaily[WardCode],"FAE")),"")</f>
        <v/>
      </c>
    </row>
    <row r="103" spans="1:15" x14ac:dyDescent="0.25">
      <c r="A103" s="13">
        <v>16</v>
      </c>
      <c r="B103" s="13" t="str">
        <f>IFERROR(IF(SUMIFS(tblDaily[Admissions],tblDaily[EntryDate],DATE(2026,3,16),tblDaily[WardCode],"MAE")=0,"",SUMIFS(tblDaily[Admissions],tblDaily[EntryDate],DATE(2026,3,16),tblDaily[WardCode],"MAE")),"")</f>
        <v/>
      </c>
      <c r="C103" s="13" t="str">
        <f>IFERROR(IF(SUMIFS(tblDaily[Discharges],tblDaily[EntryDate],DATE(2026,3,16),tblDaily[WardCode],"MAE")=0,"",SUMIFS(tblDaily[Discharges],tblDaily[EntryDate],DATE(2026,3,16),tblDaily[WardCode],"MAE")),"")</f>
        <v/>
      </c>
      <c r="D103" s="13" t="str">
        <f>IFERROR(IF(SUMIFS(tblDaily[Deaths],tblDaily[EntryDate],DATE(2026,3,16),tblDaily[WardCode],"MAE")=0,"",SUMIFS(tblDaily[Deaths],tblDaily[EntryDate],DATE(2026,3,16),tblDaily[WardCode],"MAE")),"")</f>
        <v/>
      </c>
      <c r="E103" s="13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3" t="str">
        <f>IFERROR(IF(SUMIFS(tblDaily[TransfersIn],tblDaily[EntryDate],DATE(2026,3,16),tblDaily[WardCode],"MAE")=0,"",SUMIFS(tblDaily[TransfersIn],tblDaily[EntryDate],DATE(2026,3,16),tblDaily[WardCode],"MAE")),"")</f>
        <v/>
      </c>
      <c r="G103" s="13" t="str">
        <f>IFERROR(IF(SUMIFS(tblDaily[TransfersOut],tblDaily[EntryDate],DATE(2026,3,16),tblDaily[WardCode],"MAE")=0,"",SUMIFS(tblDaily[TransfersOut],tblDaily[EntryDate],DATE(2026,3,16),tblDaily[WardCode],"MAE")),"")</f>
        <v/>
      </c>
      <c r="H103" s="13" t="str">
        <f>IFERROR(IF(SUMIFS(tblDaily[Remaining],tblDaily[EntryDate],DATE(2026,3,16),tblDaily[WardCode],"MAE")=0,"",SUMIFS(tblDaily[Remaining],tblDaily[EntryDate],DATE(2026,3,16),tblDaily[WardCode],"MAE")),"")</f>
        <v/>
      </c>
      <c r="I103" s="13" t="str">
        <f>IFERROR(IF(SUMIFS(tblDaily[Admissions],tblDaily[EntryDate],DATE(2026,3,16),tblDaily[WardCode],"FAE")=0,"",SUMIFS(tblDaily[Admissions],tblDaily[EntryDate],DATE(2026,3,16),tblDaily[WardCode],"FAE")),"")</f>
        <v/>
      </c>
      <c r="J103" s="13" t="str">
        <f>IFERROR(IF(SUMIFS(tblDaily[Discharges],tblDaily[EntryDate],DATE(2026,3,16),tblDaily[WardCode],"FAE")=0,"",SUMIFS(tblDaily[Discharges],tblDaily[EntryDate],DATE(2026,3,16),tblDaily[WardCode],"FAE")),"")</f>
        <v/>
      </c>
      <c r="K103" s="13" t="str">
        <f>IFERROR(IF(SUMIFS(tblDaily[Deaths],tblDaily[EntryDate],DATE(2026,3,16),tblDaily[WardCode],"FAE")=0,"",SUMIFS(tblDaily[Deaths],tblDaily[EntryDate],DATE(2026,3,16),tblDaily[WardCode],"FAE")),"")</f>
        <v/>
      </c>
      <c r="L103" s="13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3" t="str">
        <f>IFERROR(IF(SUMIFS(tblDaily[TransfersIn],tblDaily[EntryDate],DATE(2026,3,16),tblDaily[WardCode],"FAE")=0,"",SUMIFS(tblDaily[TransfersIn],tblDaily[EntryDate],DATE(2026,3,16),tblDaily[WardCode],"FAE")),"")</f>
        <v/>
      </c>
      <c r="N103" s="13" t="str">
        <f>IFERROR(IF(SUMIFS(tblDaily[TransfersOut],tblDaily[EntryDate],DATE(2026,3,16),tblDaily[WardCode],"FAE")=0,"",SUMIFS(tblDaily[TransfersOut],tblDaily[EntryDate],DATE(2026,3,16),tblDaily[WardCode],"FAE")),"")</f>
        <v/>
      </c>
      <c r="O103" s="13" t="str">
        <f>IFERROR(IF(SUMIFS(tblDaily[Remaining],tblDaily[EntryDate],DATE(2026,3,16),tblDaily[WardCode],"FAE")=0,"",SUMIFS(tblDaily[Remaining],tblDaily[EntryDate],DATE(2026,3,16),tblDaily[WardCode],"FAE")),"")</f>
        <v/>
      </c>
    </row>
    <row r="104" spans="1:15" x14ac:dyDescent="0.25">
      <c r="A104" s="13">
        <v>17</v>
      </c>
      <c r="B104" s="13" t="str">
        <f>IFERROR(IF(SUMIFS(tblDaily[Admissions],tblDaily[EntryDate],DATE(2026,3,17),tblDaily[WardCode],"MAE")=0,"",SUMIFS(tblDaily[Admissions],tblDaily[EntryDate],DATE(2026,3,17),tblDaily[WardCode],"MAE")),"")</f>
        <v/>
      </c>
      <c r="C104" s="13" t="str">
        <f>IFERROR(IF(SUMIFS(tblDaily[Discharges],tblDaily[EntryDate],DATE(2026,3,17),tblDaily[WardCode],"MAE")=0,"",SUMIFS(tblDaily[Discharges],tblDaily[EntryDate],DATE(2026,3,17),tblDaily[WardCode],"MAE")),"")</f>
        <v/>
      </c>
      <c r="D104" s="13" t="str">
        <f>IFERROR(IF(SUMIFS(tblDaily[Deaths],tblDaily[EntryDate],DATE(2026,3,17),tblDaily[WardCode],"MAE")=0,"",SUMIFS(tblDaily[Deaths],tblDaily[EntryDate],DATE(2026,3,17),tblDaily[WardCode],"MAE")),"")</f>
        <v/>
      </c>
      <c r="E104" s="13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3" t="str">
        <f>IFERROR(IF(SUMIFS(tblDaily[TransfersIn],tblDaily[EntryDate],DATE(2026,3,17),tblDaily[WardCode],"MAE")=0,"",SUMIFS(tblDaily[TransfersIn],tblDaily[EntryDate],DATE(2026,3,17),tblDaily[WardCode],"MAE")),"")</f>
        <v/>
      </c>
      <c r="G104" s="13" t="str">
        <f>IFERROR(IF(SUMIFS(tblDaily[TransfersOut],tblDaily[EntryDate],DATE(2026,3,17),tblDaily[WardCode],"MAE")=0,"",SUMIFS(tblDaily[TransfersOut],tblDaily[EntryDate],DATE(2026,3,17),tblDaily[WardCode],"MAE")),"")</f>
        <v/>
      </c>
      <c r="H104" s="13" t="str">
        <f>IFERROR(IF(SUMIFS(tblDaily[Remaining],tblDaily[EntryDate],DATE(2026,3,17),tblDaily[WardCode],"MAE")=0,"",SUMIFS(tblDaily[Remaining],tblDaily[EntryDate],DATE(2026,3,17),tblDaily[WardCode],"MAE")),"")</f>
        <v/>
      </c>
      <c r="I104" s="13" t="str">
        <f>IFERROR(IF(SUMIFS(tblDaily[Admissions],tblDaily[EntryDate],DATE(2026,3,17),tblDaily[WardCode],"FAE")=0,"",SUMIFS(tblDaily[Admissions],tblDaily[EntryDate],DATE(2026,3,17),tblDaily[WardCode],"FAE")),"")</f>
        <v/>
      </c>
      <c r="J104" s="13" t="str">
        <f>IFERROR(IF(SUMIFS(tblDaily[Discharges],tblDaily[EntryDate],DATE(2026,3,17),tblDaily[WardCode],"FAE")=0,"",SUMIFS(tblDaily[Discharges],tblDaily[EntryDate],DATE(2026,3,17),tblDaily[WardCode],"FAE")),"")</f>
        <v/>
      </c>
      <c r="K104" s="13" t="str">
        <f>IFERROR(IF(SUMIFS(tblDaily[Deaths],tblDaily[EntryDate],DATE(2026,3,17),tblDaily[WardCode],"FAE")=0,"",SUMIFS(tblDaily[Deaths],tblDaily[EntryDate],DATE(2026,3,17),tblDaily[WardCode],"FAE")),"")</f>
        <v/>
      </c>
      <c r="L104" s="13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3" t="str">
        <f>IFERROR(IF(SUMIFS(tblDaily[TransfersIn],tblDaily[EntryDate],DATE(2026,3,17),tblDaily[WardCode],"FAE")=0,"",SUMIFS(tblDaily[TransfersIn],tblDaily[EntryDate],DATE(2026,3,17),tblDaily[WardCode],"FAE")),"")</f>
        <v/>
      </c>
      <c r="N104" s="13" t="str">
        <f>IFERROR(IF(SUMIFS(tblDaily[TransfersOut],tblDaily[EntryDate],DATE(2026,3,17),tblDaily[WardCode],"FAE")=0,"",SUMIFS(tblDaily[TransfersOut],tblDaily[EntryDate],DATE(2026,3,17),tblDaily[WardCode],"FAE")),"")</f>
        <v/>
      </c>
      <c r="O104" s="13" t="str">
        <f>IFERROR(IF(SUMIFS(tblDaily[Remaining],tblDaily[EntryDate],DATE(2026,3,17),tblDaily[WardCode],"FAE")=0,"",SUMIFS(tblDaily[Remaining],tblDaily[EntryDate],DATE(2026,3,17),tblDaily[WardCode],"FAE")),"")</f>
        <v/>
      </c>
    </row>
    <row r="105" spans="1:15" x14ac:dyDescent="0.25">
      <c r="A105" s="13">
        <v>18</v>
      </c>
      <c r="B105" s="13" t="str">
        <f>IFERROR(IF(SUMIFS(tblDaily[Admissions],tblDaily[EntryDate],DATE(2026,3,18),tblDaily[WardCode],"MAE")=0,"",SUMIFS(tblDaily[Admissions],tblDaily[EntryDate],DATE(2026,3,18),tblDaily[WardCode],"MAE")),"")</f>
        <v/>
      </c>
      <c r="C105" s="13" t="str">
        <f>IFERROR(IF(SUMIFS(tblDaily[Discharges],tblDaily[EntryDate],DATE(2026,3,18),tblDaily[WardCode],"MAE")=0,"",SUMIFS(tblDaily[Discharges],tblDaily[EntryDate],DATE(2026,3,18),tblDaily[WardCode],"MAE")),"")</f>
        <v/>
      </c>
      <c r="D105" s="13" t="str">
        <f>IFERROR(IF(SUMIFS(tblDaily[Deaths],tblDaily[EntryDate],DATE(2026,3,18),tblDaily[WardCode],"MAE")=0,"",SUMIFS(tblDaily[Deaths],tblDaily[EntryDate],DATE(2026,3,18),tblDaily[WardCode],"MAE")),"")</f>
        <v/>
      </c>
      <c r="E105" s="13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3" t="str">
        <f>IFERROR(IF(SUMIFS(tblDaily[TransfersIn],tblDaily[EntryDate],DATE(2026,3,18),tblDaily[WardCode],"MAE")=0,"",SUMIFS(tblDaily[TransfersIn],tblDaily[EntryDate],DATE(2026,3,18),tblDaily[WardCode],"MAE")),"")</f>
        <v/>
      </c>
      <c r="G105" s="13" t="str">
        <f>IFERROR(IF(SUMIFS(tblDaily[TransfersOut],tblDaily[EntryDate],DATE(2026,3,18),tblDaily[WardCode],"MAE")=0,"",SUMIFS(tblDaily[TransfersOut],tblDaily[EntryDate],DATE(2026,3,18),tblDaily[WardCode],"MAE")),"")</f>
        <v/>
      </c>
      <c r="H105" s="13" t="str">
        <f>IFERROR(IF(SUMIFS(tblDaily[Remaining],tblDaily[EntryDate],DATE(2026,3,18),tblDaily[WardCode],"MAE")=0,"",SUMIFS(tblDaily[Remaining],tblDaily[EntryDate],DATE(2026,3,18),tblDaily[WardCode],"MAE")),"")</f>
        <v/>
      </c>
      <c r="I105" s="13" t="str">
        <f>IFERROR(IF(SUMIFS(tblDaily[Admissions],tblDaily[EntryDate],DATE(2026,3,18),tblDaily[WardCode],"FAE")=0,"",SUMIFS(tblDaily[Admissions],tblDaily[EntryDate],DATE(2026,3,18),tblDaily[WardCode],"FAE")),"")</f>
        <v/>
      </c>
      <c r="J105" s="13" t="str">
        <f>IFERROR(IF(SUMIFS(tblDaily[Discharges],tblDaily[EntryDate],DATE(2026,3,18),tblDaily[WardCode],"FAE")=0,"",SUMIFS(tblDaily[Discharges],tblDaily[EntryDate],DATE(2026,3,18),tblDaily[WardCode],"FAE")),"")</f>
        <v/>
      </c>
      <c r="K105" s="13" t="str">
        <f>IFERROR(IF(SUMIFS(tblDaily[Deaths],tblDaily[EntryDate],DATE(2026,3,18),tblDaily[WardCode],"FAE")=0,"",SUMIFS(tblDaily[Deaths],tblDaily[EntryDate],DATE(2026,3,18),tblDaily[WardCode],"FAE")),"")</f>
        <v/>
      </c>
      <c r="L105" s="13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3" t="str">
        <f>IFERROR(IF(SUMIFS(tblDaily[TransfersIn],tblDaily[EntryDate],DATE(2026,3,18),tblDaily[WardCode],"FAE")=0,"",SUMIFS(tblDaily[TransfersIn],tblDaily[EntryDate],DATE(2026,3,18),tblDaily[WardCode],"FAE")),"")</f>
        <v/>
      </c>
      <c r="N105" s="13" t="str">
        <f>IFERROR(IF(SUMIFS(tblDaily[TransfersOut],tblDaily[EntryDate],DATE(2026,3,18),tblDaily[WardCode],"FAE")=0,"",SUMIFS(tblDaily[TransfersOut],tblDaily[EntryDate],DATE(2026,3,18),tblDaily[WardCode],"FAE")),"")</f>
        <v/>
      </c>
      <c r="O105" s="13" t="str">
        <f>IFERROR(IF(SUMIFS(tblDaily[Remaining],tblDaily[EntryDate],DATE(2026,3,18),tblDaily[WardCode],"FAE")=0,"",SUMIFS(tblDaily[Remaining],tblDaily[EntryDate],DATE(2026,3,18),tblDaily[WardCode],"FAE")),"")</f>
        <v/>
      </c>
    </row>
    <row r="106" spans="1:15" x14ac:dyDescent="0.25">
      <c r="A106" s="13">
        <v>19</v>
      </c>
      <c r="B106" s="13" t="str">
        <f>IFERROR(IF(SUMIFS(tblDaily[Admissions],tblDaily[EntryDate],DATE(2026,3,19),tblDaily[WardCode],"MAE")=0,"",SUMIFS(tblDaily[Admissions],tblDaily[EntryDate],DATE(2026,3,19),tblDaily[WardCode],"MAE")),"")</f>
        <v/>
      </c>
      <c r="C106" s="13" t="str">
        <f>IFERROR(IF(SUMIFS(tblDaily[Discharges],tblDaily[EntryDate],DATE(2026,3,19),tblDaily[WardCode],"MAE")=0,"",SUMIFS(tblDaily[Discharges],tblDaily[EntryDate],DATE(2026,3,19),tblDaily[WardCode],"MAE")),"")</f>
        <v/>
      </c>
      <c r="D106" s="13" t="str">
        <f>IFERROR(IF(SUMIFS(tblDaily[Deaths],tblDaily[EntryDate],DATE(2026,3,19),tblDaily[WardCode],"MAE")=0,"",SUMIFS(tblDaily[Deaths],tblDaily[EntryDate],DATE(2026,3,19),tblDaily[WardCode],"MAE")),"")</f>
        <v/>
      </c>
      <c r="E106" s="13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3" t="str">
        <f>IFERROR(IF(SUMIFS(tblDaily[TransfersIn],tblDaily[EntryDate],DATE(2026,3,19),tblDaily[WardCode],"MAE")=0,"",SUMIFS(tblDaily[TransfersIn],tblDaily[EntryDate],DATE(2026,3,19),tblDaily[WardCode],"MAE")),"")</f>
        <v/>
      </c>
      <c r="G106" s="13" t="str">
        <f>IFERROR(IF(SUMIFS(tblDaily[TransfersOut],tblDaily[EntryDate],DATE(2026,3,19),tblDaily[WardCode],"MAE")=0,"",SUMIFS(tblDaily[TransfersOut],tblDaily[EntryDate],DATE(2026,3,19),tblDaily[WardCode],"MAE")),"")</f>
        <v/>
      </c>
      <c r="H106" s="13" t="str">
        <f>IFERROR(IF(SUMIFS(tblDaily[Remaining],tblDaily[EntryDate],DATE(2026,3,19),tblDaily[WardCode],"MAE")=0,"",SUMIFS(tblDaily[Remaining],tblDaily[EntryDate],DATE(2026,3,19),tblDaily[WardCode],"MAE")),"")</f>
        <v/>
      </c>
      <c r="I106" s="13" t="str">
        <f>IFERROR(IF(SUMIFS(tblDaily[Admissions],tblDaily[EntryDate],DATE(2026,3,19),tblDaily[WardCode],"FAE")=0,"",SUMIFS(tblDaily[Admissions],tblDaily[EntryDate],DATE(2026,3,19),tblDaily[WardCode],"FAE")),"")</f>
        <v/>
      </c>
      <c r="J106" s="13" t="str">
        <f>IFERROR(IF(SUMIFS(tblDaily[Discharges],tblDaily[EntryDate],DATE(2026,3,19),tblDaily[WardCode],"FAE")=0,"",SUMIFS(tblDaily[Discharges],tblDaily[EntryDate],DATE(2026,3,19),tblDaily[WardCode],"FAE")),"")</f>
        <v/>
      </c>
      <c r="K106" s="13" t="str">
        <f>IFERROR(IF(SUMIFS(tblDaily[Deaths],tblDaily[EntryDate],DATE(2026,3,19),tblDaily[WardCode],"FAE")=0,"",SUMIFS(tblDaily[Deaths],tblDaily[EntryDate],DATE(2026,3,19),tblDaily[WardCode],"FAE")),"")</f>
        <v/>
      </c>
      <c r="L106" s="13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3" t="str">
        <f>IFERROR(IF(SUMIFS(tblDaily[TransfersIn],tblDaily[EntryDate],DATE(2026,3,19),tblDaily[WardCode],"FAE")=0,"",SUMIFS(tblDaily[TransfersIn],tblDaily[EntryDate],DATE(2026,3,19),tblDaily[WardCode],"FAE")),"")</f>
        <v/>
      </c>
      <c r="N106" s="13" t="str">
        <f>IFERROR(IF(SUMIFS(tblDaily[TransfersOut],tblDaily[EntryDate],DATE(2026,3,19),tblDaily[WardCode],"FAE")=0,"",SUMIFS(tblDaily[TransfersOut],tblDaily[EntryDate],DATE(2026,3,19),tblDaily[WardCode],"FAE")),"")</f>
        <v/>
      </c>
      <c r="O106" s="13" t="str">
        <f>IFERROR(IF(SUMIFS(tblDaily[Remaining],tblDaily[EntryDate],DATE(2026,3,19),tblDaily[WardCode],"FAE")=0,"",SUMIFS(tblDaily[Remaining],tblDaily[EntryDate],DATE(2026,3,19),tblDaily[WardCode],"FAE")),"")</f>
        <v/>
      </c>
    </row>
    <row r="107" spans="1:15" x14ac:dyDescent="0.25">
      <c r="A107" s="13">
        <v>20</v>
      </c>
      <c r="B107" s="13" t="str">
        <f>IFERROR(IF(SUMIFS(tblDaily[Admissions],tblDaily[EntryDate],DATE(2026,3,20),tblDaily[WardCode],"MAE")=0,"",SUMIFS(tblDaily[Admissions],tblDaily[EntryDate],DATE(2026,3,20),tblDaily[WardCode],"MAE")),"")</f>
        <v/>
      </c>
      <c r="C107" s="13" t="str">
        <f>IFERROR(IF(SUMIFS(tblDaily[Discharges],tblDaily[EntryDate],DATE(2026,3,20),tblDaily[WardCode],"MAE")=0,"",SUMIFS(tblDaily[Discharges],tblDaily[EntryDate],DATE(2026,3,20),tblDaily[WardCode],"MAE")),"")</f>
        <v/>
      </c>
      <c r="D107" s="13" t="str">
        <f>IFERROR(IF(SUMIFS(tblDaily[Deaths],tblDaily[EntryDate],DATE(2026,3,20),tblDaily[WardCode],"MAE")=0,"",SUMIFS(tblDaily[Deaths],tblDaily[EntryDate],DATE(2026,3,20),tblDaily[WardCode],"MAE")),"")</f>
        <v/>
      </c>
      <c r="E107" s="13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3" t="str">
        <f>IFERROR(IF(SUMIFS(tblDaily[TransfersIn],tblDaily[EntryDate],DATE(2026,3,20),tblDaily[WardCode],"MAE")=0,"",SUMIFS(tblDaily[TransfersIn],tblDaily[EntryDate],DATE(2026,3,20),tblDaily[WardCode],"MAE")),"")</f>
        <v/>
      </c>
      <c r="G107" s="13" t="str">
        <f>IFERROR(IF(SUMIFS(tblDaily[TransfersOut],tblDaily[EntryDate],DATE(2026,3,20),tblDaily[WardCode],"MAE")=0,"",SUMIFS(tblDaily[TransfersOut],tblDaily[EntryDate],DATE(2026,3,20),tblDaily[WardCode],"MAE")),"")</f>
        <v/>
      </c>
      <c r="H107" s="13" t="str">
        <f>IFERROR(IF(SUMIFS(tblDaily[Remaining],tblDaily[EntryDate],DATE(2026,3,20),tblDaily[WardCode],"MAE")=0,"",SUMIFS(tblDaily[Remaining],tblDaily[EntryDate],DATE(2026,3,20),tblDaily[WardCode],"MAE")),"")</f>
        <v/>
      </c>
      <c r="I107" s="13" t="str">
        <f>IFERROR(IF(SUMIFS(tblDaily[Admissions],tblDaily[EntryDate],DATE(2026,3,20),tblDaily[WardCode],"FAE")=0,"",SUMIFS(tblDaily[Admissions],tblDaily[EntryDate],DATE(2026,3,20),tblDaily[WardCode],"FAE")),"")</f>
        <v/>
      </c>
      <c r="J107" s="13" t="str">
        <f>IFERROR(IF(SUMIFS(tblDaily[Discharges],tblDaily[EntryDate],DATE(2026,3,20),tblDaily[WardCode],"FAE")=0,"",SUMIFS(tblDaily[Discharges],tblDaily[EntryDate],DATE(2026,3,20),tblDaily[WardCode],"FAE")),"")</f>
        <v/>
      </c>
      <c r="K107" s="13" t="str">
        <f>IFERROR(IF(SUMIFS(tblDaily[Deaths],tblDaily[EntryDate],DATE(2026,3,20),tblDaily[WardCode],"FAE")=0,"",SUMIFS(tblDaily[Deaths],tblDaily[EntryDate],DATE(2026,3,20),tblDaily[WardCode],"FAE")),"")</f>
        <v/>
      </c>
      <c r="L107" s="13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3" t="str">
        <f>IFERROR(IF(SUMIFS(tblDaily[TransfersIn],tblDaily[EntryDate],DATE(2026,3,20),tblDaily[WardCode],"FAE")=0,"",SUMIFS(tblDaily[TransfersIn],tblDaily[EntryDate],DATE(2026,3,20),tblDaily[WardCode],"FAE")),"")</f>
        <v/>
      </c>
      <c r="N107" s="13" t="str">
        <f>IFERROR(IF(SUMIFS(tblDaily[TransfersOut],tblDaily[EntryDate],DATE(2026,3,20),tblDaily[WardCode],"FAE")=0,"",SUMIFS(tblDaily[TransfersOut],tblDaily[EntryDate],DATE(2026,3,20),tblDaily[WardCode],"FAE")),"")</f>
        <v/>
      </c>
      <c r="O107" s="13" t="str">
        <f>IFERROR(IF(SUMIFS(tblDaily[Remaining],tblDaily[EntryDate],DATE(2026,3,20),tblDaily[WardCode],"FAE")=0,"",SUMIFS(tblDaily[Remaining],tblDaily[EntryDate],DATE(2026,3,20),tblDaily[WardCode],"FAE")),"")</f>
        <v/>
      </c>
    </row>
    <row r="108" spans="1:15" x14ac:dyDescent="0.25">
      <c r="A108" s="13">
        <v>21</v>
      </c>
      <c r="B108" s="13" t="str">
        <f>IFERROR(IF(SUMIFS(tblDaily[Admissions],tblDaily[EntryDate],DATE(2026,3,21),tblDaily[WardCode],"MAE")=0,"",SUMIFS(tblDaily[Admissions],tblDaily[EntryDate],DATE(2026,3,21),tblDaily[WardCode],"MAE")),"")</f>
        <v/>
      </c>
      <c r="C108" s="13" t="str">
        <f>IFERROR(IF(SUMIFS(tblDaily[Discharges],tblDaily[EntryDate],DATE(2026,3,21),tblDaily[WardCode],"MAE")=0,"",SUMIFS(tblDaily[Discharges],tblDaily[EntryDate],DATE(2026,3,21),tblDaily[WardCode],"MAE")),"")</f>
        <v/>
      </c>
      <c r="D108" s="13" t="str">
        <f>IFERROR(IF(SUMIFS(tblDaily[Deaths],tblDaily[EntryDate],DATE(2026,3,21),tblDaily[WardCode],"MAE")=0,"",SUMIFS(tblDaily[Deaths],tblDaily[EntryDate],DATE(2026,3,21),tblDaily[WardCode],"MAE")),"")</f>
        <v/>
      </c>
      <c r="E108" s="13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3" t="str">
        <f>IFERROR(IF(SUMIFS(tblDaily[TransfersIn],tblDaily[EntryDate],DATE(2026,3,21),tblDaily[WardCode],"MAE")=0,"",SUMIFS(tblDaily[TransfersIn],tblDaily[EntryDate],DATE(2026,3,21),tblDaily[WardCode],"MAE")),"")</f>
        <v/>
      </c>
      <c r="G108" s="13" t="str">
        <f>IFERROR(IF(SUMIFS(tblDaily[TransfersOut],tblDaily[EntryDate],DATE(2026,3,21),tblDaily[WardCode],"MAE")=0,"",SUMIFS(tblDaily[TransfersOut],tblDaily[EntryDate],DATE(2026,3,21),tblDaily[WardCode],"MAE")),"")</f>
        <v/>
      </c>
      <c r="H108" s="13" t="str">
        <f>IFERROR(IF(SUMIFS(tblDaily[Remaining],tblDaily[EntryDate],DATE(2026,3,21),tblDaily[WardCode],"MAE")=0,"",SUMIFS(tblDaily[Remaining],tblDaily[EntryDate],DATE(2026,3,21),tblDaily[WardCode],"MAE")),"")</f>
        <v/>
      </c>
      <c r="I108" s="13" t="str">
        <f>IFERROR(IF(SUMIFS(tblDaily[Admissions],tblDaily[EntryDate],DATE(2026,3,21),tblDaily[WardCode],"FAE")=0,"",SUMIFS(tblDaily[Admissions],tblDaily[EntryDate],DATE(2026,3,21),tblDaily[WardCode],"FAE")),"")</f>
        <v/>
      </c>
      <c r="J108" s="13" t="str">
        <f>IFERROR(IF(SUMIFS(tblDaily[Discharges],tblDaily[EntryDate],DATE(2026,3,21),tblDaily[WardCode],"FAE")=0,"",SUMIFS(tblDaily[Discharges],tblDaily[EntryDate],DATE(2026,3,21),tblDaily[WardCode],"FAE")),"")</f>
        <v/>
      </c>
      <c r="K108" s="13" t="str">
        <f>IFERROR(IF(SUMIFS(tblDaily[Deaths],tblDaily[EntryDate],DATE(2026,3,21),tblDaily[WardCode],"FAE")=0,"",SUMIFS(tblDaily[Deaths],tblDaily[EntryDate],DATE(2026,3,21),tblDaily[WardCode],"FAE")),"")</f>
        <v/>
      </c>
      <c r="L108" s="13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3" t="str">
        <f>IFERROR(IF(SUMIFS(tblDaily[TransfersIn],tblDaily[EntryDate],DATE(2026,3,21),tblDaily[WardCode],"FAE")=0,"",SUMIFS(tblDaily[TransfersIn],tblDaily[EntryDate],DATE(2026,3,21),tblDaily[WardCode],"FAE")),"")</f>
        <v/>
      </c>
      <c r="N108" s="13" t="str">
        <f>IFERROR(IF(SUMIFS(tblDaily[TransfersOut],tblDaily[EntryDate],DATE(2026,3,21),tblDaily[WardCode],"FAE")=0,"",SUMIFS(tblDaily[TransfersOut],tblDaily[EntryDate],DATE(2026,3,21),tblDaily[WardCode],"FAE")),"")</f>
        <v/>
      </c>
      <c r="O108" s="13" t="str">
        <f>IFERROR(IF(SUMIFS(tblDaily[Remaining],tblDaily[EntryDate],DATE(2026,3,21),tblDaily[WardCode],"FAE")=0,"",SUMIFS(tblDaily[Remaining],tblDaily[EntryDate],DATE(2026,3,21),tblDaily[WardCode],"FAE")),"")</f>
        <v/>
      </c>
    </row>
    <row r="109" spans="1:15" x14ac:dyDescent="0.25">
      <c r="A109" s="13">
        <v>22</v>
      </c>
      <c r="B109" s="13" t="str">
        <f>IFERROR(IF(SUMIFS(tblDaily[Admissions],tblDaily[EntryDate],DATE(2026,3,22),tblDaily[WardCode],"MAE")=0,"",SUMIFS(tblDaily[Admissions],tblDaily[EntryDate],DATE(2026,3,22),tblDaily[WardCode],"MAE")),"")</f>
        <v/>
      </c>
      <c r="C109" s="13" t="str">
        <f>IFERROR(IF(SUMIFS(tblDaily[Discharges],tblDaily[EntryDate],DATE(2026,3,22),tblDaily[WardCode],"MAE")=0,"",SUMIFS(tblDaily[Discharges],tblDaily[EntryDate],DATE(2026,3,22),tblDaily[WardCode],"MAE")),"")</f>
        <v/>
      </c>
      <c r="D109" s="13" t="str">
        <f>IFERROR(IF(SUMIFS(tblDaily[Deaths],tblDaily[EntryDate],DATE(2026,3,22),tblDaily[WardCode],"MAE")=0,"",SUMIFS(tblDaily[Deaths],tblDaily[EntryDate],DATE(2026,3,22),tblDaily[WardCode],"MAE")),"")</f>
        <v/>
      </c>
      <c r="E109" s="13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3" t="str">
        <f>IFERROR(IF(SUMIFS(tblDaily[TransfersIn],tblDaily[EntryDate],DATE(2026,3,22),tblDaily[WardCode],"MAE")=0,"",SUMIFS(tblDaily[TransfersIn],tblDaily[EntryDate],DATE(2026,3,22),tblDaily[WardCode],"MAE")),"")</f>
        <v/>
      </c>
      <c r="G109" s="13" t="str">
        <f>IFERROR(IF(SUMIFS(tblDaily[TransfersOut],tblDaily[EntryDate],DATE(2026,3,22),tblDaily[WardCode],"MAE")=0,"",SUMIFS(tblDaily[TransfersOut],tblDaily[EntryDate],DATE(2026,3,22),tblDaily[WardCode],"MAE")),"")</f>
        <v/>
      </c>
      <c r="H109" s="13" t="str">
        <f>IFERROR(IF(SUMIFS(tblDaily[Remaining],tblDaily[EntryDate],DATE(2026,3,22),tblDaily[WardCode],"MAE")=0,"",SUMIFS(tblDaily[Remaining],tblDaily[EntryDate],DATE(2026,3,22),tblDaily[WardCode],"MAE")),"")</f>
        <v/>
      </c>
      <c r="I109" s="13" t="str">
        <f>IFERROR(IF(SUMIFS(tblDaily[Admissions],tblDaily[EntryDate],DATE(2026,3,22),tblDaily[WardCode],"FAE")=0,"",SUMIFS(tblDaily[Admissions],tblDaily[EntryDate],DATE(2026,3,22),tblDaily[WardCode],"FAE")),"")</f>
        <v/>
      </c>
      <c r="J109" s="13" t="str">
        <f>IFERROR(IF(SUMIFS(tblDaily[Discharges],tblDaily[EntryDate],DATE(2026,3,22),tblDaily[WardCode],"FAE")=0,"",SUMIFS(tblDaily[Discharges],tblDaily[EntryDate],DATE(2026,3,22),tblDaily[WardCode],"FAE")),"")</f>
        <v/>
      </c>
      <c r="K109" s="13" t="str">
        <f>IFERROR(IF(SUMIFS(tblDaily[Deaths],tblDaily[EntryDate],DATE(2026,3,22),tblDaily[WardCode],"FAE")=0,"",SUMIFS(tblDaily[Deaths],tblDaily[EntryDate],DATE(2026,3,22),tblDaily[WardCode],"FAE")),"")</f>
        <v/>
      </c>
      <c r="L109" s="13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3" t="str">
        <f>IFERROR(IF(SUMIFS(tblDaily[TransfersIn],tblDaily[EntryDate],DATE(2026,3,22),tblDaily[WardCode],"FAE")=0,"",SUMIFS(tblDaily[TransfersIn],tblDaily[EntryDate],DATE(2026,3,22),tblDaily[WardCode],"FAE")),"")</f>
        <v/>
      </c>
      <c r="N109" s="13" t="str">
        <f>IFERROR(IF(SUMIFS(tblDaily[TransfersOut],tblDaily[EntryDate],DATE(2026,3,22),tblDaily[WardCode],"FAE")=0,"",SUMIFS(tblDaily[TransfersOut],tblDaily[EntryDate],DATE(2026,3,22),tblDaily[WardCode],"FAE")),"")</f>
        <v/>
      </c>
      <c r="O109" s="13" t="str">
        <f>IFERROR(IF(SUMIFS(tblDaily[Remaining],tblDaily[EntryDate],DATE(2026,3,22),tblDaily[WardCode],"FAE")=0,"",SUMIFS(tblDaily[Remaining],tblDaily[EntryDate],DATE(2026,3,22),tblDaily[WardCode],"FAE")),"")</f>
        <v/>
      </c>
    </row>
    <row r="110" spans="1:15" x14ac:dyDescent="0.25">
      <c r="A110" s="13">
        <v>23</v>
      </c>
      <c r="B110" s="13" t="str">
        <f>IFERROR(IF(SUMIFS(tblDaily[Admissions],tblDaily[EntryDate],DATE(2026,3,23),tblDaily[WardCode],"MAE")=0,"",SUMIFS(tblDaily[Admissions],tblDaily[EntryDate],DATE(2026,3,23),tblDaily[WardCode],"MAE")),"")</f>
        <v/>
      </c>
      <c r="C110" s="13" t="str">
        <f>IFERROR(IF(SUMIFS(tblDaily[Discharges],tblDaily[EntryDate],DATE(2026,3,23),tblDaily[WardCode],"MAE")=0,"",SUMIFS(tblDaily[Discharges],tblDaily[EntryDate],DATE(2026,3,23),tblDaily[WardCode],"MAE")),"")</f>
        <v/>
      </c>
      <c r="D110" s="13" t="str">
        <f>IFERROR(IF(SUMIFS(tblDaily[Deaths],tblDaily[EntryDate],DATE(2026,3,23),tblDaily[WardCode],"MAE")=0,"",SUMIFS(tblDaily[Deaths],tblDaily[EntryDate],DATE(2026,3,23),tblDaily[WardCode],"MAE")),"")</f>
        <v/>
      </c>
      <c r="E110" s="13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3" t="str">
        <f>IFERROR(IF(SUMIFS(tblDaily[TransfersIn],tblDaily[EntryDate],DATE(2026,3,23),tblDaily[WardCode],"MAE")=0,"",SUMIFS(tblDaily[TransfersIn],tblDaily[EntryDate],DATE(2026,3,23),tblDaily[WardCode],"MAE")),"")</f>
        <v/>
      </c>
      <c r="G110" s="13" t="str">
        <f>IFERROR(IF(SUMIFS(tblDaily[TransfersOut],tblDaily[EntryDate],DATE(2026,3,23),tblDaily[WardCode],"MAE")=0,"",SUMIFS(tblDaily[TransfersOut],tblDaily[EntryDate],DATE(2026,3,23),tblDaily[WardCode],"MAE")),"")</f>
        <v/>
      </c>
      <c r="H110" s="13" t="str">
        <f>IFERROR(IF(SUMIFS(tblDaily[Remaining],tblDaily[EntryDate],DATE(2026,3,23),tblDaily[WardCode],"MAE")=0,"",SUMIFS(tblDaily[Remaining],tblDaily[EntryDate],DATE(2026,3,23),tblDaily[WardCode],"MAE")),"")</f>
        <v/>
      </c>
      <c r="I110" s="13" t="str">
        <f>IFERROR(IF(SUMIFS(tblDaily[Admissions],tblDaily[EntryDate],DATE(2026,3,23),tblDaily[WardCode],"FAE")=0,"",SUMIFS(tblDaily[Admissions],tblDaily[EntryDate],DATE(2026,3,23),tblDaily[WardCode],"FAE")),"")</f>
        <v/>
      </c>
      <c r="J110" s="13" t="str">
        <f>IFERROR(IF(SUMIFS(tblDaily[Discharges],tblDaily[EntryDate],DATE(2026,3,23),tblDaily[WardCode],"FAE")=0,"",SUMIFS(tblDaily[Discharges],tblDaily[EntryDate],DATE(2026,3,23),tblDaily[WardCode],"FAE")),"")</f>
        <v/>
      </c>
      <c r="K110" s="13" t="str">
        <f>IFERROR(IF(SUMIFS(tblDaily[Deaths],tblDaily[EntryDate],DATE(2026,3,23),tblDaily[WardCode],"FAE")=0,"",SUMIFS(tblDaily[Deaths],tblDaily[EntryDate],DATE(2026,3,23),tblDaily[WardCode],"FAE")),"")</f>
        <v/>
      </c>
      <c r="L110" s="13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3" t="str">
        <f>IFERROR(IF(SUMIFS(tblDaily[TransfersIn],tblDaily[EntryDate],DATE(2026,3,23),tblDaily[WardCode],"FAE")=0,"",SUMIFS(tblDaily[TransfersIn],tblDaily[EntryDate],DATE(2026,3,23),tblDaily[WardCode],"FAE")),"")</f>
        <v/>
      </c>
      <c r="N110" s="13" t="str">
        <f>IFERROR(IF(SUMIFS(tblDaily[TransfersOut],tblDaily[EntryDate],DATE(2026,3,23),tblDaily[WardCode],"FAE")=0,"",SUMIFS(tblDaily[TransfersOut],tblDaily[EntryDate],DATE(2026,3,23),tblDaily[WardCode],"FAE")),"")</f>
        <v/>
      </c>
      <c r="O110" s="13" t="str">
        <f>IFERROR(IF(SUMIFS(tblDaily[Remaining],tblDaily[EntryDate],DATE(2026,3,23),tblDaily[WardCode],"FAE")=0,"",SUMIFS(tblDaily[Remaining],tblDaily[EntryDate],DATE(2026,3,23),tblDaily[WardCode],"FAE")),"")</f>
        <v/>
      </c>
    </row>
    <row r="111" spans="1:15" x14ac:dyDescent="0.25">
      <c r="A111" s="13">
        <v>24</v>
      </c>
      <c r="B111" s="13" t="str">
        <f>IFERROR(IF(SUMIFS(tblDaily[Admissions],tblDaily[EntryDate],DATE(2026,3,24),tblDaily[WardCode],"MAE")=0,"",SUMIFS(tblDaily[Admissions],tblDaily[EntryDate],DATE(2026,3,24),tblDaily[WardCode],"MAE")),"")</f>
        <v/>
      </c>
      <c r="C111" s="13" t="str">
        <f>IFERROR(IF(SUMIFS(tblDaily[Discharges],tblDaily[EntryDate],DATE(2026,3,24),tblDaily[WardCode],"MAE")=0,"",SUMIFS(tblDaily[Discharges],tblDaily[EntryDate],DATE(2026,3,24),tblDaily[WardCode],"MAE")),"")</f>
        <v/>
      </c>
      <c r="D111" s="13" t="str">
        <f>IFERROR(IF(SUMIFS(tblDaily[Deaths],tblDaily[EntryDate],DATE(2026,3,24),tblDaily[WardCode],"MAE")=0,"",SUMIFS(tblDaily[Deaths],tblDaily[EntryDate],DATE(2026,3,24),tblDaily[WardCode],"MAE")),"")</f>
        <v/>
      </c>
      <c r="E111" s="13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3" t="str">
        <f>IFERROR(IF(SUMIFS(tblDaily[TransfersIn],tblDaily[EntryDate],DATE(2026,3,24),tblDaily[WardCode],"MAE")=0,"",SUMIFS(tblDaily[TransfersIn],tblDaily[EntryDate],DATE(2026,3,24),tblDaily[WardCode],"MAE")),"")</f>
        <v/>
      </c>
      <c r="G111" s="13" t="str">
        <f>IFERROR(IF(SUMIFS(tblDaily[TransfersOut],tblDaily[EntryDate],DATE(2026,3,24),tblDaily[WardCode],"MAE")=0,"",SUMIFS(tblDaily[TransfersOut],tblDaily[EntryDate],DATE(2026,3,24),tblDaily[WardCode],"MAE")),"")</f>
        <v/>
      </c>
      <c r="H111" s="13" t="str">
        <f>IFERROR(IF(SUMIFS(tblDaily[Remaining],tblDaily[EntryDate],DATE(2026,3,24),tblDaily[WardCode],"MAE")=0,"",SUMIFS(tblDaily[Remaining],tblDaily[EntryDate],DATE(2026,3,24),tblDaily[WardCode],"MAE")),"")</f>
        <v/>
      </c>
      <c r="I111" s="13" t="str">
        <f>IFERROR(IF(SUMIFS(tblDaily[Admissions],tblDaily[EntryDate],DATE(2026,3,24),tblDaily[WardCode],"FAE")=0,"",SUMIFS(tblDaily[Admissions],tblDaily[EntryDate],DATE(2026,3,24),tblDaily[WardCode],"FAE")),"")</f>
        <v/>
      </c>
      <c r="J111" s="13" t="str">
        <f>IFERROR(IF(SUMIFS(tblDaily[Discharges],tblDaily[EntryDate],DATE(2026,3,24),tblDaily[WardCode],"FAE")=0,"",SUMIFS(tblDaily[Discharges],tblDaily[EntryDate],DATE(2026,3,24),tblDaily[WardCode],"FAE")),"")</f>
        <v/>
      </c>
      <c r="K111" s="13" t="str">
        <f>IFERROR(IF(SUMIFS(tblDaily[Deaths],tblDaily[EntryDate],DATE(2026,3,24),tblDaily[WardCode],"FAE")=0,"",SUMIFS(tblDaily[Deaths],tblDaily[EntryDate],DATE(2026,3,24),tblDaily[WardCode],"FAE")),"")</f>
        <v/>
      </c>
      <c r="L111" s="13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3" t="str">
        <f>IFERROR(IF(SUMIFS(tblDaily[TransfersIn],tblDaily[EntryDate],DATE(2026,3,24),tblDaily[WardCode],"FAE")=0,"",SUMIFS(tblDaily[TransfersIn],tblDaily[EntryDate],DATE(2026,3,24),tblDaily[WardCode],"FAE")),"")</f>
        <v/>
      </c>
      <c r="N111" s="13" t="str">
        <f>IFERROR(IF(SUMIFS(tblDaily[TransfersOut],tblDaily[EntryDate],DATE(2026,3,24),tblDaily[WardCode],"FAE")=0,"",SUMIFS(tblDaily[TransfersOut],tblDaily[EntryDate],DATE(2026,3,24),tblDaily[WardCode],"FAE")),"")</f>
        <v/>
      </c>
      <c r="O111" s="13" t="str">
        <f>IFERROR(IF(SUMIFS(tblDaily[Remaining],tblDaily[EntryDate],DATE(2026,3,24),tblDaily[WardCode],"FAE")=0,"",SUMIFS(tblDaily[Remaining],tblDaily[EntryDate],DATE(2026,3,24),tblDaily[WardCode],"FAE")),"")</f>
        <v/>
      </c>
    </row>
    <row r="112" spans="1:15" x14ac:dyDescent="0.25">
      <c r="A112" s="13">
        <v>25</v>
      </c>
      <c r="B112" s="13" t="str">
        <f>IFERROR(IF(SUMIFS(tblDaily[Admissions],tblDaily[EntryDate],DATE(2026,3,25),tblDaily[WardCode],"MAE")=0,"",SUMIFS(tblDaily[Admissions],tblDaily[EntryDate],DATE(2026,3,25),tblDaily[WardCode],"MAE")),"")</f>
        <v/>
      </c>
      <c r="C112" s="13" t="str">
        <f>IFERROR(IF(SUMIFS(tblDaily[Discharges],tblDaily[EntryDate],DATE(2026,3,25),tblDaily[WardCode],"MAE")=0,"",SUMIFS(tblDaily[Discharges],tblDaily[EntryDate],DATE(2026,3,25),tblDaily[WardCode],"MAE")),"")</f>
        <v/>
      </c>
      <c r="D112" s="13" t="str">
        <f>IFERROR(IF(SUMIFS(tblDaily[Deaths],tblDaily[EntryDate],DATE(2026,3,25),tblDaily[WardCode],"MAE")=0,"",SUMIFS(tblDaily[Deaths],tblDaily[EntryDate],DATE(2026,3,25),tblDaily[WardCode],"MAE")),"")</f>
        <v/>
      </c>
      <c r="E112" s="13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3" t="str">
        <f>IFERROR(IF(SUMIFS(tblDaily[TransfersIn],tblDaily[EntryDate],DATE(2026,3,25),tblDaily[WardCode],"MAE")=0,"",SUMIFS(tblDaily[TransfersIn],tblDaily[EntryDate],DATE(2026,3,25),tblDaily[WardCode],"MAE")),"")</f>
        <v/>
      </c>
      <c r="G112" s="13" t="str">
        <f>IFERROR(IF(SUMIFS(tblDaily[TransfersOut],tblDaily[EntryDate],DATE(2026,3,25),tblDaily[WardCode],"MAE")=0,"",SUMIFS(tblDaily[TransfersOut],tblDaily[EntryDate],DATE(2026,3,25),tblDaily[WardCode],"MAE")),"")</f>
        <v/>
      </c>
      <c r="H112" s="13" t="str">
        <f>IFERROR(IF(SUMIFS(tblDaily[Remaining],tblDaily[EntryDate],DATE(2026,3,25),tblDaily[WardCode],"MAE")=0,"",SUMIFS(tblDaily[Remaining],tblDaily[EntryDate],DATE(2026,3,25),tblDaily[WardCode],"MAE")),"")</f>
        <v/>
      </c>
      <c r="I112" s="13" t="str">
        <f>IFERROR(IF(SUMIFS(tblDaily[Admissions],tblDaily[EntryDate],DATE(2026,3,25),tblDaily[WardCode],"FAE")=0,"",SUMIFS(tblDaily[Admissions],tblDaily[EntryDate],DATE(2026,3,25),tblDaily[WardCode],"FAE")),"")</f>
        <v/>
      </c>
      <c r="J112" s="13" t="str">
        <f>IFERROR(IF(SUMIFS(tblDaily[Discharges],tblDaily[EntryDate],DATE(2026,3,25),tblDaily[WardCode],"FAE")=0,"",SUMIFS(tblDaily[Discharges],tblDaily[EntryDate],DATE(2026,3,25),tblDaily[WardCode],"FAE")),"")</f>
        <v/>
      </c>
      <c r="K112" s="13" t="str">
        <f>IFERROR(IF(SUMIFS(tblDaily[Deaths],tblDaily[EntryDate],DATE(2026,3,25),tblDaily[WardCode],"FAE")=0,"",SUMIFS(tblDaily[Deaths],tblDaily[EntryDate],DATE(2026,3,25),tblDaily[WardCode],"FAE")),"")</f>
        <v/>
      </c>
      <c r="L112" s="13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3" t="str">
        <f>IFERROR(IF(SUMIFS(tblDaily[TransfersIn],tblDaily[EntryDate],DATE(2026,3,25),tblDaily[WardCode],"FAE")=0,"",SUMIFS(tblDaily[TransfersIn],tblDaily[EntryDate],DATE(2026,3,25),tblDaily[WardCode],"FAE")),"")</f>
        <v/>
      </c>
      <c r="N112" s="13" t="str">
        <f>IFERROR(IF(SUMIFS(tblDaily[TransfersOut],tblDaily[EntryDate],DATE(2026,3,25),tblDaily[WardCode],"FAE")=0,"",SUMIFS(tblDaily[TransfersOut],tblDaily[EntryDate],DATE(2026,3,25),tblDaily[WardCode],"FAE")),"")</f>
        <v/>
      </c>
      <c r="O112" s="13" t="str">
        <f>IFERROR(IF(SUMIFS(tblDaily[Remaining],tblDaily[EntryDate],DATE(2026,3,25),tblDaily[WardCode],"FAE")=0,"",SUMIFS(tblDaily[Remaining],tblDaily[EntryDate],DATE(2026,3,25),tblDaily[WardCode],"FAE")),"")</f>
        <v/>
      </c>
    </row>
    <row r="113" spans="1:15" x14ac:dyDescent="0.25">
      <c r="A113" s="13">
        <v>26</v>
      </c>
      <c r="B113" s="13" t="str">
        <f>IFERROR(IF(SUMIFS(tblDaily[Admissions],tblDaily[EntryDate],DATE(2026,3,26),tblDaily[WardCode],"MAE")=0,"",SUMIFS(tblDaily[Admissions],tblDaily[EntryDate],DATE(2026,3,26),tblDaily[WardCode],"MAE")),"")</f>
        <v/>
      </c>
      <c r="C113" s="13" t="str">
        <f>IFERROR(IF(SUMIFS(tblDaily[Discharges],tblDaily[EntryDate],DATE(2026,3,26),tblDaily[WardCode],"MAE")=0,"",SUMIFS(tblDaily[Discharges],tblDaily[EntryDate],DATE(2026,3,26),tblDaily[WardCode],"MAE")),"")</f>
        <v/>
      </c>
      <c r="D113" s="13" t="str">
        <f>IFERROR(IF(SUMIFS(tblDaily[Deaths],tblDaily[EntryDate],DATE(2026,3,26),tblDaily[WardCode],"MAE")=0,"",SUMIFS(tblDaily[Deaths],tblDaily[EntryDate],DATE(2026,3,26),tblDaily[WardCode],"MAE")),"")</f>
        <v/>
      </c>
      <c r="E113" s="13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3" t="str">
        <f>IFERROR(IF(SUMIFS(tblDaily[TransfersIn],tblDaily[EntryDate],DATE(2026,3,26),tblDaily[WardCode],"MAE")=0,"",SUMIFS(tblDaily[TransfersIn],tblDaily[EntryDate],DATE(2026,3,26),tblDaily[WardCode],"MAE")),"")</f>
        <v/>
      </c>
      <c r="G113" s="13" t="str">
        <f>IFERROR(IF(SUMIFS(tblDaily[TransfersOut],tblDaily[EntryDate],DATE(2026,3,26),tblDaily[WardCode],"MAE")=0,"",SUMIFS(tblDaily[TransfersOut],tblDaily[EntryDate],DATE(2026,3,26),tblDaily[WardCode],"MAE")),"")</f>
        <v/>
      </c>
      <c r="H113" s="13" t="str">
        <f>IFERROR(IF(SUMIFS(tblDaily[Remaining],tblDaily[EntryDate],DATE(2026,3,26),tblDaily[WardCode],"MAE")=0,"",SUMIFS(tblDaily[Remaining],tblDaily[EntryDate],DATE(2026,3,26),tblDaily[WardCode],"MAE")),"")</f>
        <v/>
      </c>
      <c r="I113" s="13" t="str">
        <f>IFERROR(IF(SUMIFS(tblDaily[Admissions],tblDaily[EntryDate],DATE(2026,3,26),tblDaily[WardCode],"FAE")=0,"",SUMIFS(tblDaily[Admissions],tblDaily[EntryDate],DATE(2026,3,26),tblDaily[WardCode],"FAE")),"")</f>
        <v/>
      </c>
      <c r="J113" s="13" t="str">
        <f>IFERROR(IF(SUMIFS(tblDaily[Discharges],tblDaily[EntryDate],DATE(2026,3,26),tblDaily[WardCode],"FAE")=0,"",SUMIFS(tblDaily[Discharges],tblDaily[EntryDate],DATE(2026,3,26),tblDaily[WardCode],"FAE")),"")</f>
        <v/>
      </c>
      <c r="K113" s="13" t="str">
        <f>IFERROR(IF(SUMIFS(tblDaily[Deaths],tblDaily[EntryDate],DATE(2026,3,26),tblDaily[WardCode],"FAE")=0,"",SUMIFS(tblDaily[Deaths],tblDaily[EntryDate],DATE(2026,3,26),tblDaily[WardCode],"FAE")),"")</f>
        <v/>
      </c>
      <c r="L113" s="13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3" t="str">
        <f>IFERROR(IF(SUMIFS(tblDaily[TransfersIn],tblDaily[EntryDate],DATE(2026,3,26),tblDaily[WardCode],"FAE")=0,"",SUMIFS(tblDaily[TransfersIn],tblDaily[EntryDate],DATE(2026,3,26),tblDaily[WardCode],"FAE")),"")</f>
        <v/>
      </c>
      <c r="N113" s="13" t="str">
        <f>IFERROR(IF(SUMIFS(tblDaily[TransfersOut],tblDaily[EntryDate],DATE(2026,3,26),tblDaily[WardCode],"FAE")=0,"",SUMIFS(tblDaily[TransfersOut],tblDaily[EntryDate],DATE(2026,3,26),tblDaily[WardCode],"FAE")),"")</f>
        <v/>
      </c>
      <c r="O113" s="13" t="str">
        <f>IFERROR(IF(SUMIFS(tblDaily[Remaining],tblDaily[EntryDate],DATE(2026,3,26),tblDaily[WardCode],"FAE")=0,"",SUMIFS(tblDaily[Remaining],tblDaily[EntryDate],DATE(2026,3,26),tblDaily[WardCode],"FAE")),"")</f>
        <v/>
      </c>
    </row>
    <row r="114" spans="1:15" x14ac:dyDescent="0.25">
      <c r="A114" s="13">
        <v>27</v>
      </c>
      <c r="B114" s="13" t="str">
        <f>IFERROR(IF(SUMIFS(tblDaily[Admissions],tblDaily[EntryDate],DATE(2026,3,27),tblDaily[WardCode],"MAE")=0,"",SUMIFS(tblDaily[Admissions],tblDaily[EntryDate],DATE(2026,3,27),tblDaily[WardCode],"MAE")),"")</f>
        <v/>
      </c>
      <c r="C114" s="13" t="str">
        <f>IFERROR(IF(SUMIFS(tblDaily[Discharges],tblDaily[EntryDate],DATE(2026,3,27),tblDaily[WardCode],"MAE")=0,"",SUMIFS(tblDaily[Discharges],tblDaily[EntryDate],DATE(2026,3,27),tblDaily[WardCode],"MAE")),"")</f>
        <v/>
      </c>
      <c r="D114" s="13" t="str">
        <f>IFERROR(IF(SUMIFS(tblDaily[Deaths],tblDaily[EntryDate],DATE(2026,3,27),tblDaily[WardCode],"MAE")=0,"",SUMIFS(tblDaily[Deaths],tblDaily[EntryDate],DATE(2026,3,27),tblDaily[WardCode],"MAE")),"")</f>
        <v/>
      </c>
      <c r="E114" s="13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3" t="str">
        <f>IFERROR(IF(SUMIFS(tblDaily[TransfersIn],tblDaily[EntryDate],DATE(2026,3,27),tblDaily[WardCode],"MAE")=0,"",SUMIFS(tblDaily[TransfersIn],tblDaily[EntryDate],DATE(2026,3,27),tblDaily[WardCode],"MAE")),"")</f>
        <v/>
      </c>
      <c r="G114" s="13" t="str">
        <f>IFERROR(IF(SUMIFS(tblDaily[TransfersOut],tblDaily[EntryDate],DATE(2026,3,27),tblDaily[WardCode],"MAE")=0,"",SUMIFS(tblDaily[TransfersOut],tblDaily[EntryDate],DATE(2026,3,27),tblDaily[WardCode],"MAE")),"")</f>
        <v/>
      </c>
      <c r="H114" s="13" t="str">
        <f>IFERROR(IF(SUMIFS(tblDaily[Remaining],tblDaily[EntryDate],DATE(2026,3,27),tblDaily[WardCode],"MAE")=0,"",SUMIFS(tblDaily[Remaining],tblDaily[EntryDate],DATE(2026,3,27),tblDaily[WardCode],"MAE")),"")</f>
        <v/>
      </c>
      <c r="I114" s="13" t="str">
        <f>IFERROR(IF(SUMIFS(tblDaily[Admissions],tblDaily[EntryDate],DATE(2026,3,27),tblDaily[WardCode],"FAE")=0,"",SUMIFS(tblDaily[Admissions],tblDaily[EntryDate],DATE(2026,3,27),tblDaily[WardCode],"FAE")),"")</f>
        <v/>
      </c>
      <c r="J114" s="13" t="str">
        <f>IFERROR(IF(SUMIFS(tblDaily[Discharges],tblDaily[EntryDate],DATE(2026,3,27),tblDaily[WardCode],"FAE")=0,"",SUMIFS(tblDaily[Discharges],tblDaily[EntryDate],DATE(2026,3,27),tblDaily[WardCode],"FAE")),"")</f>
        <v/>
      </c>
      <c r="K114" s="13" t="str">
        <f>IFERROR(IF(SUMIFS(tblDaily[Deaths],tblDaily[EntryDate],DATE(2026,3,27),tblDaily[WardCode],"FAE")=0,"",SUMIFS(tblDaily[Deaths],tblDaily[EntryDate],DATE(2026,3,27),tblDaily[WardCode],"FAE")),"")</f>
        <v/>
      </c>
      <c r="L114" s="13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3" t="str">
        <f>IFERROR(IF(SUMIFS(tblDaily[TransfersIn],tblDaily[EntryDate],DATE(2026,3,27),tblDaily[WardCode],"FAE")=0,"",SUMIFS(tblDaily[TransfersIn],tblDaily[EntryDate],DATE(2026,3,27),tblDaily[WardCode],"FAE")),"")</f>
        <v/>
      </c>
      <c r="N114" s="13" t="str">
        <f>IFERROR(IF(SUMIFS(tblDaily[TransfersOut],tblDaily[EntryDate],DATE(2026,3,27),tblDaily[WardCode],"FAE")=0,"",SUMIFS(tblDaily[TransfersOut],tblDaily[EntryDate],DATE(2026,3,27),tblDaily[WardCode],"FAE")),"")</f>
        <v/>
      </c>
      <c r="O114" s="13" t="str">
        <f>IFERROR(IF(SUMIFS(tblDaily[Remaining],tblDaily[EntryDate],DATE(2026,3,27),tblDaily[WardCode],"FAE")=0,"",SUMIFS(tblDaily[Remaining],tblDaily[EntryDate],DATE(2026,3,27),tblDaily[WardCode],"FAE")),"")</f>
        <v/>
      </c>
    </row>
    <row r="115" spans="1:15" x14ac:dyDescent="0.25">
      <c r="A115" s="13">
        <v>28</v>
      </c>
      <c r="B115" s="13" t="str">
        <f>IFERROR(IF(SUMIFS(tblDaily[Admissions],tblDaily[EntryDate],DATE(2026,3,28),tblDaily[WardCode],"MAE")=0,"",SUMIFS(tblDaily[Admissions],tblDaily[EntryDate],DATE(2026,3,28),tblDaily[WardCode],"MAE")),"")</f>
        <v/>
      </c>
      <c r="C115" s="13" t="str">
        <f>IFERROR(IF(SUMIFS(tblDaily[Discharges],tblDaily[EntryDate],DATE(2026,3,28),tblDaily[WardCode],"MAE")=0,"",SUMIFS(tblDaily[Discharges],tblDaily[EntryDate],DATE(2026,3,28),tblDaily[WardCode],"MAE")),"")</f>
        <v/>
      </c>
      <c r="D115" s="13" t="str">
        <f>IFERROR(IF(SUMIFS(tblDaily[Deaths],tblDaily[EntryDate],DATE(2026,3,28),tblDaily[WardCode],"MAE")=0,"",SUMIFS(tblDaily[Deaths],tblDaily[EntryDate],DATE(2026,3,28),tblDaily[WardCode],"MAE")),"")</f>
        <v/>
      </c>
      <c r="E115" s="13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3" t="str">
        <f>IFERROR(IF(SUMIFS(tblDaily[TransfersIn],tblDaily[EntryDate],DATE(2026,3,28),tblDaily[WardCode],"MAE")=0,"",SUMIFS(tblDaily[TransfersIn],tblDaily[EntryDate],DATE(2026,3,28),tblDaily[WardCode],"MAE")),"")</f>
        <v/>
      </c>
      <c r="G115" s="13" t="str">
        <f>IFERROR(IF(SUMIFS(tblDaily[TransfersOut],tblDaily[EntryDate],DATE(2026,3,28),tblDaily[WardCode],"MAE")=0,"",SUMIFS(tblDaily[TransfersOut],tblDaily[EntryDate],DATE(2026,3,28),tblDaily[WardCode],"MAE")),"")</f>
        <v/>
      </c>
      <c r="H115" s="13" t="str">
        <f>IFERROR(IF(SUMIFS(tblDaily[Remaining],tblDaily[EntryDate],DATE(2026,3,28),tblDaily[WardCode],"MAE")=0,"",SUMIFS(tblDaily[Remaining],tblDaily[EntryDate],DATE(2026,3,28),tblDaily[WardCode],"MAE")),"")</f>
        <v/>
      </c>
      <c r="I115" s="13" t="str">
        <f>IFERROR(IF(SUMIFS(tblDaily[Admissions],tblDaily[EntryDate],DATE(2026,3,28),tblDaily[WardCode],"FAE")=0,"",SUMIFS(tblDaily[Admissions],tblDaily[EntryDate],DATE(2026,3,28),tblDaily[WardCode],"FAE")),"")</f>
        <v/>
      </c>
      <c r="J115" s="13" t="str">
        <f>IFERROR(IF(SUMIFS(tblDaily[Discharges],tblDaily[EntryDate],DATE(2026,3,28),tblDaily[WardCode],"FAE")=0,"",SUMIFS(tblDaily[Discharges],tblDaily[EntryDate],DATE(2026,3,28),tblDaily[WardCode],"FAE")),"")</f>
        <v/>
      </c>
      <c r="K115" s="13" t="str">
        <f>IFERROR(IF(SUMIFS(tblDaily[Deaths],tblDaily[EntryDate],DATE(2026,3,28),tblDaily[WardCode],"FAE")=0,"",SUMIFS(tblDaily[Deaths],tblDaily[EntryDate],DATE(2026,3,28),tblDaily[WardCode],"FAE")),"")</f>
        <v/>
      </c>
      <c r="L115" s="13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3" t="str">
        <f>IFERROR(IF(SUMIFS(tblDaily[TransfersIn],tblDaily[EntryDate],DATE(2026,3,28),tblDaily[WardCode],"FAE")=0,"",SUMIFS(tblDaily[TransfersIn],tblDaily[EntryDate],DATE(2026,3,28),tblDaily[WardCode],"FAE")),"")</f>
        <v/>
      </c>
      <c r="N115" s="13" t="str">
        <f>IFERROR(IF(SUMIFS(tblDaily[TransfersOut],tblDaily[EntryDate],DATE(2026,3,28),tblDaily[WardCode],"FAE")=0,"",SUMIFS(tblDaily[TransfersOut],tblDaily[EntryDate],DATE(2026,3,28),tblDaily[WardCode],"FAE")),"")</f>
        <v/>
      </c>
      <c r="O115" s="13" t="str">
        <f>IFERROR(IF(SUMIFS(tblDaily[Remaining],tblDaily[EntryDate],DATE(2026,3,28),tblDaily[WardCode],"FAE")=0,"",SUMIFS(tblDaily[Remaining],tblDaily[EntryDate],DATE(2026,3,28),tblDaily[WardCode],"FAE")),"")</f>
        <v/>
      </c>
    </row>
    <row r="116" spans="1:15" x14ac:dyDescent="0.25">
      <c r="A116" s="13">
        <v>29</v>
      </c>
      <c r="B116" s="13" t="str">
        <f>IFERROR(IF(SUMIFS(tblDaily[Admissions],tblDaily[EntryDate],DATE(2026,3,29),tblDaily[WardCode],"MAE")=0,"",SUMIFS(tblDaily[Admissions],tblDaily[EntryDate],DATE(2026,3,29),tblDaily[WardCode],"MAE")),"")</f>
        <v/>
      </c>
      <c r="C116" s="13" t="str">
        <f>IFERROR(IF(SUMIFS(tblDaily[Discharges],tblDaily[EntryDate],DATE(2026,3,29),tblDaily[WardCode],"MAE")=0,"",SUMIFS(tblDaily[Discharges],tblDaily[EntryDate],DATE(2026,3,29),tblDaily[WardCode],"MAE")),"")</f>
        <v/>
      </c>
      <c r="D116" s="13" t="str">
        <f>IFERROR(IF(SUMIFS(tblDaily[Deaths],tblDaily[EntryDate],DATE(2026,3,29),tblDaily[WardCode],"MAE")=0,"",SUMIFS(tblDaily[Deaths],tblDaily[EntryDate],DATE(2026,3,29),tblDaily[WardCode],"MAE")),"")</f>
        <v/>
      </c>
      <c r="E116" s="13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3" t="str">
        <f>IFERROR(IF(SUMIFS(tblDaily[TransfersIn],tblDaily[EntryDate],DATE(2026,3,29),tblDaily[WardCode],"MAE")=0,"",SUMIFS(tblDaily[TransfersIn],tblDaily[EntryDate],DATE(2026,3,29),tblDaily[WardCode],"MAE")),"")</f>
        <v/>
      </c>
      <c r="G116" s="13" t="str">
        <f>IFERROR(IF(SUMIFS(tblDaily[TransfersOut],tblDaily[EntryDate],DATE(2026,3,29),tblDaily[WardCode],"MAE")=0,"",SUMIFS(tblDaily[TransfersOut],tblDaily[EntryDate],DATE(2026,3,29),tblDaily[WardCode],"MAE")),"")</f>
        <v/>
      </c>
      <c r="H116" s="13" t="str">
        <f>IFERROR(IF(SUMIFS(tblDaily[Remaining],tblDaily[EntryDate],DATE(2026,3,29),tblDaily[WardCode],"MAE")=0,"",SUMIFS(tblDaily[Remaining],tblDaily[EntryDate],DATE(2026,3,29),tblDaily[WardCode],"MAE")),"")</f>
        <v/>
      </c>
      <c r="I116" s="13" t="str">
        <f>IFERROR(IF(SUMIFS(tblDaily[Admissions],tblDaily[EntryDate],DATE(2026,3,29),tblDaily[WardCode],"FAE")=0,"",SUMIFS(tblDaily[Admissions],tblDaily[EntryDate],DATE(2026,3,29),tblDaily[WardCode],"FAE")),"")</f>
        <v/>
      </c>
      <c r="J116" s="13" t="str">
        <f>IFERROR(IF(SUMIFS(tblDaily[Discharges],tblDaily[EntryDate],DATE(2026,3,29),tblDaily[WardCode],"FAE")=0,"",SUMIFS(tblDaily[Discharges],tblDaily[EntryDate],DATE(2026,3,29),tblDaily[WardCode],"FAE")),"")</f>
        <v/>
      </c>
      <c r="K116" s="13" t="str">
        <f>IFERROR(IF(SUMIFS(tblDaily[Deaths],tblDaily[EntryDate],DATE(2026,3,29),tblDaily[WardCode],"FAE")=0,"",SUMIFS(tblDaily[Deaths],tblDaily[EntryDate],DATE(2026,3,29),tblDaily[WardCode],"FAE")),"")</f>
        <v/>
      </c>
      <c r="L116" s="13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3" t="str">
        <f>IFERROR(IF(SUMIFS(tblDaily[TransfersIn],tblDaily[EntryDate],DATE(2026,3,29),tblDaily[WardCode],"FAE")=0,"",SUMIFS(tblDaily[TransfersIn],tblDaily[EntryDate],DATE(2026,3,29),tblDaily[WardCode],"FAE")),"")</f>
        <v/>
      </c>
      <c r="N116" s="13" t="str">
        <f>IFERROR(IF(SUMIFS(tblDaily[TransfersOut],tblDaily[EntryDate],DATE(2026,3,29),tblDaily[WardCode],"FAE")=0,"",SUMIFS(tblDaily[TransfersOut],tblDaily[EntryDate],DATE(2026,3,29),tblDaily[WardCode],"FAE")),"")</f>
        <v/>
      </c>
      <c r="O116" s="13" t="str">
        <f>IFERROR(IF(SUMIFS(tblDaily[Remaining],tblDaily[EntryDate],DATE(2026,3,29),tblDaily[WardCode],"FAE")=0,"",SUMIFS(tblDaily[Remaining],tblDaily[EntryDate],DATE(2026,3,29),tblDaily[WardCode],"FAE")),"")</f>
        <v/>
      </c>
    </row>
    <row r="117" spans="1:15" x14ac:dyDescent="0.25">
      <c r="A117" s="13">
        <v>30</v>
      </c>
      <c r="B117" s="13" t="str">
        <f>IFERROR(IF(SUMIFS(tblDaily[Admissions],tblDaily[EntryDate],DATE(2026,3,30),tblDaily[WardCode],"MAE")=0,"",SUMIFS(tblDaily[Admissions],tblDaily[EntryDate],DATE(2026,3,30),tblDaily[WardCode],"MAE")),"")</f>
        <v/>
      </c>
      <c r="C117" s="13" t="str">
        <f>IFERROR(IF(SUMIFS(tblDaily[Discharges],tblDaily[EntryDate],DATE(2026,3,30),tblDaily[WardCode],"MAE")=0,"",SUMIFS(tblDaily[Discharges],tblDaily[EntryDate],DATE(2026,3,30),tblDaily[WardCode],"MAE")),"")</f>
        <v/>
      </c>
      <c r="D117" s="13" t="str">
        <f>IFERROR(IF(SUMIFS(tblDaily[Deaths],tblDaily[EntryDate],DATE(2026,3,30),tblDaily[WardCode],"MAE")=0,"",SUMIFS(tblDaily[Deaths],tblDaily[EntryDate],DATE(2026,3,30),tblDaily[WardCode],"MAE")),"")</f>
        <v/>
      </c>
      <c r="E117" s="13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3" t="str">
        <f>IFERROR(IF(SUMIFS(tblDaily[TransfersIn],tblDaily[EntryDate],DATE(2026,3,30),tblDaily[WardCode],"MAE")=0,"",SUMIFS(tblDaily[TransfersIn],tblDaily[EntryDate],DATE(2026,3,30),tblDaily[WardCode],"MAE")),"")</f>
        <v/>
      </c>
      <c r="G117" s="13" t="str">
        <f>IFERROR(IF(SUMIFS(tblDaily[TransfersOut],tblDaily[EntryDate],DATE(2026,3,30),tblDaily[WardCode],"MAE")=0,"",SUMIFS(tblDaily[TransfersOut],tblDaily[EntryDate],DATE(2026,3,30),tblDaily[WardCode],"MAE")),"")</f>
        <v/>
      </c>
      <c r="H117" s="13" t="str">
        <f>IFERROR(IF(SUMIFS(tblDaily[Remaining],tblDaily[EntryDate],DATE(2026,3,30),tblDaily[WardCode],"MAE")=0,"",SUMIFS(tblDaily[Remaining],tblDaily[EntryDate],DATE(2026,3,30),tblDaily[WardCode],"MAE")),"")</f>
        <v/>
      </c>
      <c r="I117" s="13" t="str">
        <f>IFERROR(IF(SUMIFS(tblDaily[Admissions],tblDaily[EntryDate],DATE(2026,3,30),tblDaily[WardCode],"FAE")=0,"",SUMIFS(tblDaily[Admissions],tblDaily[EntryDate],DATE(2026,3,30),tblDaily[WardCode],"FAE")),"")</f>
        <v/>
      </c>
      <c r="J117" s="13" t="str">
        <f>IFERROR(IF(SUMIFS(tblDaily[Discharges],tblDaily[EntryDate],DATE(2026,3,30),tblDaily[WardCode],"FAE")=0,"",SUMIFS(tblDaily[Discharges],tblDaily[EntryDate],DATE(2026,3,30),tblDaily[WardCode],"FAE")),"")</f>
        <v/>
      </c>
      <c r="K117" s="13" t="str">
        <f>IFERROR(IF(SUMIFS(tblDaily[Deaths],tblDaily[EntryDate],DATE(2026,3,30),tblDaily[WardCode],"FAE")=0,"",SUMIFS(tblDaily[Deaths],tblDaily[EntryDate],DATE(2026,3,30),tblDaily[WardCode],"FAE")),"")</f>
        <v/>
      </c>
      <c r="L117" s="13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3" t="str">
        <f>IFERROR(IF(SUMIFS(tblDaily[TransfersIn],tblDaily[EntryDate],DATE(2026,3,30),tblDaily[WardCode],"FAE")=0,"",SUMIFS(tblDaily[TransfersIn],tblDaily[EntryDate],DATE(2026,3,30),tblDaily[WardCode],"FAE")),"")</f>
        <v/>
      </c>
      <c r="N117" s="13" t="str">
        <f>IFERROR(IF(SUMIFS(tblDaily[TransfersOut],tblDaily[EntryDate],DATE(2026,3,30),tblDaily[WardCode],"FAE")=0,"",SUMIFS(tblDaily[TransfersOut],tblDaily[EntryDate],DATE(2026,3,30),tblDaily[WardCode],"FAE")),"")</f>
        <v/>
      </c>
      <c r="O117" s="13" t="str">
        <f>IFERROR(IF(SUMIFS(tblDaily[Remaining],tblDaily[EntryDate],DATE(2026,3,30),tblDaily[WardCode],"FAE")=0,"",SUMIFS(tblDaily[Remaining],tblDaily[EntryDate],DATE(2026,3,30),tblDaily[WardCode],"FAE")),"")</f>
        <v/>
      </c>
    </row>
    <row r="118" spans="1:15" x14ac:dyDescent="0.25">
      <c r="A118" s="13">
        <v>31</v>
      </c>
      <c r="B118" s="13" t="str">
        <f>IFERROR(IF(SUMIFS(tblDaily[Admissions],tblDaily[EntryDate],DATE(2026,3,31),tblDaily[WardCode],"MAE")=0,"",SUMIFS(tblDaily[Admissions],tblDaily[EntryDate],DATE(2026,3,31),tblDaily[WardCode],"MAE")),"")</f>
        <v/>
      </c>
      <c r="C118" s="13" t="str">
        <f>IFERROR(IF(SUMIFS(tblDaily[Discharges],tblDaily[EntryDate],DATE(2026,3,31),tblDaily[WardCode],"MAE")=0,"",SUMIFS(tblDaily[Discharges],tblDaily[EntryDate],DATE(2026,3,31),tblDaily[WardCode],"MAE")),"")</f>
        <v/>
      </c>
      <c r="D118" s="13" t="str">
        <f>IFERROR(IF(SUMIFS(tblDaily[Deaths],tblDaily[EntryDate],DATE(2026,3,31),tblDaily[WardCode],"MAE")=0,"",SUMIFS(tblDaily[Deaths],tblDaily[EntryDate],DATE(2026,3,31),tblDaily[WardCode],"MAE")),"")</f>
        <v/>
      </c>
      <c r="E118" s="13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3" t="str">
        <f>IFERROR(IF(SUMIFS(tblDaily[TransfersIn],tblDaily[EntryDate],DATE(2026,3,31),tblDaily[WardCode],"MAE")=0,"",SUMIFS(tblDaily[TransfersIn],tblDaily[EntryDate],DATE(2026,3,31),tblDaily[WardCode],"MAE")),"")</f>
        <v/>
      </c>
      <c r="G118" s="13" t="str">
        <f>IFERROR(IF(SUMIFS(tblDaily[TransfersOut],tblDaily[EntryDate],DATE(2026,3,31),tblDaily[WardCode],"MAE")=0,"",SUMIFS(tblDaily[TransfersOut],tblDaily[EntryDate],DATE(2026,3,31),tblDaily[WardCode],"MAE")),"")</f>
        <v/>
      </c>
      <c r="H118" s="13" t="str">
        <f>IFERROR(IF(SUMIFS(tblDaily[Remaining],tblDaily[EntryDate],DATE(2026,3,31),tblDaily[WardCode],"MAE")=0,"",SUMIFS(tblDaily[Remaining],tblDaily[EntryDate],DATE(2026,3,31),tblDaily[WardCode],"MAE")),"")</f>
        <v/>
      </c>
      <c r="I118" s="13" t="str">
        <f>IFERROR(IF(SUMIFS(tblDaily[Admissions],tblDaily[EntryDate],DATE(2026,3,31),tblDaily[WardCode],"FAE")=0,"",SUMIFS(tblDaily[Admissions],tblDaily[EntryDate],DATE(2026,3,31),tblDaily[WardCode],"FAE")),"")</f>
        <v/>
      </c>
      <c r="J118" s="13" t="str">
        <f>IFERROR(IF(SUMIFS(tblDaily[Discharges],tblDaily[EntryDate],DATE(2026,3,31),tblDaily[WardCode],"FAE")=0,"",SUMIFS(tblDaily[Discharges],tblDaily[EntryDate],DATE(2026,3,31),tblDaily[WardCode],"FAE")),"")</f>
        <v/>
      </c>
      <c r="K118" s="13" t="str">
        <f>IFERROR(IF(SUMIFS(tblDaily[Deaths],tblDaily[EntryDate],DATE(2026,3,31),tblDaily[WardCode],"FAE")=0,"",SUMIFS(tblDaily[Deaths],tblDaily[EntryDate],DATE(2026,3,31),tblDaily[WardCode],"FAE")),"")</f>
        <v/>
      </c>
      <c r="L118" s="13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3" t="str">
        <f>IFERROR(IF(SUMIFS(tblDaily[TransfersIn],tblDaily[EntryDate],DATE(2026,3,31),tblDaily[WardCode],"FAE")=0,"",SUMIFS(tblDaily[TransfersIn],tblDaily[EntryDate],DATE(2026,3,31),tblDaily[WardCode],"FAE")),"")</f>
        <v/>
      </c>
      <c r="N118" s="13" t="str">
        <f>IFERROR(IF(SUMIFS(tblDaily[TransfersOut],tblDaily[EntryDate],DATE(2026,3,31),tblDaily[WardCode],"FAE")=0,"",SUMIFS(tblDaily[TransfersOut],tblDaily[EntryDate],DATE(2026,3,31),tblDaily[WardCode],"FAE")),"")</f>
        <v/>
      </c>
      <c r="O118" s="13" t="str">
        <f>IFERROR(IF(SUMIFS(tblDaily[Remaining],tblDaily[EntryDate],DATE(2026,3,31),tblDaily[WardCode],"FAE")=0,"",SUMIFS(tblDaily[Remaining],tblDaily[EntryDate],DATE(2026,3,31),tblDaily[WardCode],"FAE")),"")</f>
        <v/>
      </c>
    </row>
    <row r="119" spans="1:15" x14ac:dyDescent="0.25">
      <c r="A119" s="9" t="s">
        <v>110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</row>
    <row r="121" spans="1:15" ht="18.75" x14ac:dyDescent="0.25">
      <c r="A121" s="36" t="s">
        <v>0</v>
      </c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</row>
    <row r="122" spans="1:15" ht="15.75" x14ac:dyDescent="0.25">
      <c r="A122" s="34" t="s">
        <v>99</v>
      </c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</row>
    <row r="123" spans="1:15" x14ac:dyDescent="0.25">
      <c r="A123" s="1" t="s">
        <v>4</v>
      </c>
      <c r="B123" s="2" t="s">
        <v>2</v>
      </c>
      <c r="E123" s="1" t="s">
        <v>100</v>
      </c>
      <c r="F123" s="1" t="s">
        <v>119</v>
      </c>
      <c r="M123" s="1" t="s">
        <v>102</v>
      </c>
      <c r="N123" s="1" t="s">
        <v>61</v>
      </c>
    </row>
    <row r="124" spans="1:15" x14ac:dyDescent="0.25">
      <c r="A124" s="1" t="s">
        <v>103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5" x14ac:dyDescent="0.25">
      <c r="A125" s="1" t="s">
        <v>104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5" x14ac:dyDescent="0.25">
      <c r="A126" s="3" t="s">
        <v>120</v>
      </c>
      <c r="B126" s="35" t="s">
        <v>117</v>
      </c>
      <c r="C126" s="26"/>
      <c r="D126" s="26"/>
      <c r="E126" s="26"/>
      <c r="F126" s="26"/>
      <c r="G126" s="26"/>
      <c r="H126" s="26"/>
      <c r="I126" s="37" t="s">
        <v>118</v>
      </c>
      <c r="J126" s="26"/>
      <c r="K126" s="26"/>
      <c r="L126" s="26"/>
      <c r="M126" s="26"/>
      <c r="N126" s="26"/>
      <c r="O126" s="26"/>
    </row>
    <row r="127" spans="1:15" x14ac:dyDescent="0.25">
      <c r="A127" s="3" t="s">
        <v>120</v>
      </c>
      <c r="B127" s="3" t="s">
        <v>121</v>
      </c>
      <c r="C127" s="3" t="s">
        <v>122</v>
      </c>
      <c r="D127" s="3" t="s">
        <v>123</v>
      </c>
      <c r="E127" s="3" t="s">
        <v>124</v>
      </c>
      <c r="F127" s="3" t="s">
        <v>125</v>
      </c>
      <c r="G127" s="3" t="s">
        <v>126</v>
      </c>
      <c r="H127" s="3" t="s">
        <v>127</v>
      </c>
      <c r="I127" s="3" t="s">
        <v>121</v>
      </c>
      <c r="J127" s="3" t="s">
        <v>122</v>
      </c>
      <c r="K127" s="3" t="s">
        <v>123</v>
      </c>
      <c r="L127" s="3" t="s">
        <v>124</v>
      </c>
      <c r="M127" s="3" t="s">
        <v>125</v>
      </c>
      <c r="N127" s="3" t="s">
        <v>126</v>
      </c>
      <c r="O127" s="3" t="s">
        <v>127</v>
      </c>
    </row>
    <row r="128" spans="1:15" x14ac:dyDescent="0.25">
      <c r="A128" s="13">
        <v>1</v>
      </c>
      <c r="B128" s="13" t="str">
        <f>IFERROR(IF(SUMIFS(tblDaily[Admissions],tblDaily[EntryDate],DATE(2026,4,1),tblDaily[WardCode],"MAE")=0,"",SUMIFS(tblDaily[Admissions],tblDaily[EntryDate],DATE(2026,4,1),tblDaily[WardCode],"MAE")),"")</f>
        <v/>
      </c>
      <c r="C128" s="13" t="str">
        <f>IFERROR(IF(SUMIFS(tblDaily[Discharges],tblDaily[EntryDate],DATE(2026,4,1),tblDaily[WardCode],"MAE")=0,"",SUMIFS(tblDaily[Discharges],tblDaily[EntryDate],DATE(2026,4,1),tblDaily[WardCode],"MAE")),"")</f>
        <v/>
      </c>
      <c r="D128" s="13" t="str">
        <f>IFERROR(IF(SUMIFS(tblDaily[Deaths],tblDaily[EntryDate],DATE(2026,4,1),tblDaily[WardCode],"MAE")=0,"",SUMIFS(tblDaily[Deaths],tblDaily[EntryDate],DATE(2026,4,1),tblDaily[WardCode],"MAE")),"")</f>
        <v/>
      </c>
      <c r="E128" s="13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3" t="str">
        <f>IFERROR(IF(SUMIFS(tblDaily[TransfersIn],tblDaily[EntryDate],DATE(2026,4,1),tblDaily[WardCode],"MAE")=0,"",SUMIFS(tblDaily[TransfersIn],tblDaily[EntryDate],DATE(2026,4,1),tblDaily[WardCode],"MAE")),"")</f>
        <v/>
      </c>
      <c r="G128" s="13" t="str">
        <f>IFERROR(IF(SUMIFS(tblDaily[TransfersOut],tblDaily[EntryDate],DATE(2026,4,1),tblDaily[WardCode],"MAE")=0,"",SUMIFS(tblDaily[TransfersOut],tblDaily[EntryDate],DATE(2026,4,1),tblDaily[WardCode],"MAE")),"")</f>
        <v/>
      </c>
      <c r="H128" s="13" t="str">
        <f>IFERROR(IF(SUMIFS(tblDaily[Remaining],tblDaily[EntryDate],DATE(2026,4,1),tblDaily[WardCode],"MAE")=0,"",SUMIFS(tblDaily[Remaining],tblDaily[EntryDate],DATE(2026,4,1),tblDaily[WardCode],"MAE")),"")</f>
        <v/>
      </c>
      <c r="I128" s="13" t="str">
        <f>IFERROR(IF(SUMIFS(tblDaily[Admissions],tblDaily[EntryDate],DATE(2026,4,1),tblDaily[WardCode],"FAE")=0,"",SUMIFS(tblDaily[Admissions],tblDaily[EntryDate],DATE(2026,4,1),tblDaily[WardCode],"FAE")),"")</f>
        <v/>
      </c>
      <c r="J128" s="13" t="str">
        <f>IFERROR(IF(SUMIFS(tblDaily[Discharges],tblDaily[EntryDate],DATE(2026,4,1),tblDaily[WardCode],"FAE")=0,"",SUMIFS(tblDaily[Discharges],tblDaily[EntryDate],DATE(2026,4,1),tblDaily[WardCode],"FAE")),"")</f>
        <v/>
      </c>
      <c r="K128" s="13" t="str">
        <f>IFERROR(IF(SUMIFS(tblDaily[Deaths],tblDaily[EntryDate],DATE(2026,4,1),tblDaily[WardCode],"FAE")=0,"",SUMIFS(tblDaily[Deaths],tblDaily[EntryDate],DATE(2026,4,1),tblDaily[WardCode],"FAE")),"")</f>
        <v/>
      </c>
      <c r="L128" s="13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3" t="str">
        <f>IFERROR(IF(SUMIFS(tblDaily[TransfersIn],tblDaily[EntryDate],DATE(2026,4,1),tblDaily[WardCode],"FAE")=0,"",SUMIFS(tblDaily[TransfersIn],tblDaily[EntryDate],DATE(2026,4,1),tblDaily[WardCode],"FAE")),"")</f>
        <v/>
      </c>
      <c r="N128" s="13" t="str">
        <f>IFERROR(IF(SUMIFS(tblDaily[TransfersOut],tblDaily[EntryDate],DATE(2026,4,1),tblDaily[WardCode],"FAE")=0,"",SUMIFS(tblDaily[TransfersOut],tblDaily[EntryDate],DATE(2026,4,1),tblDaily[WardCode],"FAE")),"")</f>
        <v/>
      </c>
      <c r="O128" s="13" t="str">
        <f>IFERROR(IF(SUMIFS(tblDaily[Remaining],tblDaily[EntryDate],DATE(2026,4,1),tblDaily[WardCode],"FAE")=0,"",SUMIFS(tblDaily[Remaining],tblDaily[EntryDate],DATE(2026,4,1),tblDaily[WardCode],"FAE")),"")</f>
        <v/>
      </c>
    </row>
    <row r="129" spans="1:15" x14ac:dyDescent="0.25">
      <c r="A129" s="13">
        <v>2</v>
      </c>
      <c r="B129" s="13" t="str">
        <f>IFERROR(IF(SUMIFS(tblDaily[Admissions],tblDaily[EntryDate],DATE(2026,4,2),tblDaily[WardCode],"MAE")=0,"",SUMIFS(tblDaily[Admissions],tblDaily[EntryDate],DATE(2026,4,2),tblDaily[WardCode],"MAE")),"")</f>
        <v/>
      </c>
      <c r="C129" s="13" t="str">
        <f>IFERROR(IF(SUMIFS(tblDaily[Discharges],tblDaily[EntryDate],DATE(2026,4,2),tblDaily[WardCode],"MAE")=0,"",SUMIFS(tblDaily[Discharges],tblDaily[EntryDate],DATE(2026,4,2),tblDaily[WardCode],"MAE")),"")</f>
        <v/>
      </c>
      <c r="D129" s="13" t="str">
        <f>IFERROR(IF(SUMIFS(tblDaily[Deaths],tblDaily[EntryDate],DATE(2026,4,2),tblDaily[WardCode],"MAE")=0,"",SUMIFS(tblDaily[Deaths],tblDaily[EntryDate],DATE(2026,4,2),tblDaily[WardCode],"MAE")),"")</f>
        <v/>
      </c>
      <c r="E129" s="13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3" t="str">
        <f>IFERROR(IF(SUMIFS(tblDaily[TransfersIn],tblDaily[EntryDate],DATE(2026,4,2),tblDaily[WardCode],"MAE")=0,"",SUMIFS(tblDaily[TransfersIn],tblDaily[EntryDate],DATE(2026,4,2),tblDaily[WardCode],"MAE")),"")</f>
        <v/>
      </c>
      <c r="G129" s="13" t="str">
        <f>IFERROR(IF(SUMIFS(tblDaily[TransfersOut],tblDaily[EntryDate],DATE(2026,4,2),tblDaily[WardCode],"MAE")=0,"",SUMIFS(tblDaily[TransfersOut],tblDaily[EntryDate],DATE(2026,4,2),tblDaily[WardCode],"MAE")),"")</f>
        <v/>
      </c>
      <c r="H129" s="13" t="str">
        <f>IFERROR(IF(SUMIFS(tblDaily[Remaining],tblDaily[EntryDate],DATE(2026,4,2),tblDaily[WardCode],"MAE")=0,"",SUMIFS(tblDaily[Remaining],tblDaily[EntryDate],DATE(2026,4,2),tblDaily[WardCode],"MAE")),"")</f>
        <v/>
      </c>
      <c r="I129" s="13" t="str">
        <f>IFERROR(IF(SUMIFS(tblDaily[Admissions],tblDaily[EntryDate],DATE(2026,4,2),tblDaily[WardCode],"FAE")=0,"",SUMIFS(tblDaily[Admissions],tblDaily[EntryDate],DATE(2026,4,2),tblDaily[WardCode],"FAE")),"")</f>
        <v/>
      </c>
      <c r="J129" s="13" t="str">
        <f>IFERROR(IF(SUMIFS(tblDaily[Discharges],tblDaily[EntryDate],DATE(2026,4,2),tblDaily[WardCode],"FAE")=0,"",SUMIFS(tblDaily[Discharges],tblDaily[EntryDate],DATE(2026,4,2),tblDaily[WardCode],"FAE")),"")</f>
        <v/>
      </c>
      <c r="K129" s="13" t="str">
        <f>IFERROR(IF(SUMIFS(tblDaily[Deaths],tblDaily[EntryDate],DATE(2026,4,2),tblDaily[WardCode],"FAE")=0,"",SUMIFS(tblDaily[Deaths],tblDaily[EntryDate],DATE(2026,4,2),tblDaily[WardCode],"FAE")),"")</f>
        <v/>
      </c>
      <c r="L129" s="13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3" t="str">
        <f>IFERROR(IF(SUMIFS(tblDaily[TransfersIn],tblDaily[EntryDate],DATE(2026,4,2),tblDaily[WardCode],"FAE")=0,"",SUMIFS(tblDaily[TransfersIn],tblDaily[EntryDate],DATE(2026,4,2),tblDaily[WardCode],"FAE")),"")</f>
        <v/>
      </c>
      <c r="N129" s="13" t="str">
        <f>IFERROR(IF(SUMIFS(tblDaily[TransfersOut],tblDaily[EntryDate],DATE(2026,4,2),tblDaily[WardCode],"FAE")=0,"",SUMIFS(tblDaily[TransfersOut],tblDaily[EntryDate],DATE(2026,4,2),tblDaily[WardCode],"FAE")),"")</f>
        <v/>
      </c>
      <c r="O129" s="13" t="str">
        <f>IFERROR(IF(SUMIFS(tblDaily[Remaining],tblDaily[EntryDate],DATE(2026,4,2),tblDaily[WardCode],"FAE")=0,"",SUMIFS(tblDaily[Remaining],tblDaily[EntryDate],DATE(2026,4,2),tblDaily[WardCode],"FAE")),"")</f>
        <v/>
      </c>
    </row>
    <row r="130" spans="1:15" x14ac:dyDescent="0.25">
      <c r="A130" s="13">
        <v>3</v>
      </c>
      <c r="B130" s="13" t="str">
        <f>IFERROR(IF(SUMIFS(tblDaily[Admissions],tblDaily[EntryDate],DATE(2026,4,3),tblDaily[WardCode],"MAE")=0,"",SUMIFS(tblDaily[Admissions],tblDaily[EntryDate],DATE(2026,4,3),tblDaily[WardCode],"MAE")),"")</f>
        <v/>
      </c>
      <c r="C130" s="13" t="str">
        <f>IFERROR(IF(SUMIFS(tblDaily[Discharges],tblDaily[EntryDate],DATE(2026,4,3),tblDaily[WardCode],"MAE")=0,"",SUMIFS(tblDaily[Discharges],tblDaily[EntryDate],DATE(2026,4,3),tblDaily[WardCode],"MAE")),"")</f>
        <v/>
      </c>
      <c r="D130" s="13" t="str">
        <f>IFERROR(IF(SUMIFS(tblDaily[Deaths],tblDaily[EntryDate],DATE(2026,4,3),tblDaily[WardCode],"MAE")=0,"",SUMIFS(tblDaily[Deaths],tblDaily[EntryDate],DATE(2026,4,3),tblDaily[WardCode],"MAE")),"")</f>
        <v/>
      </c>
      <c r="E130" s="13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3" t="str">
        <f>IFERROR(IF(SUMIFS(tblDaily[TransfersIn],tblDaily[EntryDate],DATE(2026,4,3),tblDaily[WardCode],"MAE")=0,"",SUMIFS(tblDaily[TransfersIn],tblDaily[EntryDate],DATE(2026,4,3),tblDaily[WardCode],"MAE")),"")</f>
        <v/>
      </c>
      <c r="G130" s="13" t="str">
        <f>IFERROR(IF(SUMIFS(tblDaily[TransfersOut],tblDaily[EntryDate],DATE(2026,4,3),tblDaily[WardCode],"MAE")=0,"",SUMIFS(tblDaily[TransfersOut],tblDaily[EntryDate],DATE(2026,4,3),tblDaily[WardCode],"MAE")),"")</f>
        <v/>
      </c>
      <c r="H130" s="13" t="str">
        <f>IFERROR(IF(SUMIFS(tblDaily[Remaining],tblDaily[EntryDate],DATE(2026,4,3),tblDaily[WardCode],"MAE")=0,"",SUMIFS(tblDaily[Remaining],tblDaily[EntryDate],DATE(2026,4,3),tblDaily[WardCode],"MAE")),"")</f>
        <v/>
      </c>
      <c r="I130" s="13" t="str">
        <f>IFERROR(IF(SUMIFS(tblDaily[Admissions],tblDaily[EntryDate],DATE(2026,4,3),tblDaily[WardCode],"FAE")=0,"",SUMIFS(tblDaily[Admissions],tblDaily[EntryDate],DATE(2026,4,3),tblDaily[WardCode],"FAE")),"")</f>
        <v/>
      </c>
      <c r="J130" s="13" t="str">
        <f>IFERROR(IF(SUMIFS(tblDaily[Discharges],tblDaily[EntryDate],DATE(2026,4,3),tblDaily[WardCode],"FAE")=0,"",SUMIFS(tblDaily[Discharges],tblDaily[EntryDate],DATE(2026,4,3),tblDaily[WardCode],"FAE")),"")</f>
        <v/>
      </c>
      <c r="K130" s="13" t="str">
        <f>IFERROR(IF(SUMIFS(tblDaily[Deaths],tblDaily[EntryDate],DATE(2026,4,3),tblDaily[WardCode],"FAE")=0,"",SUMIFS(tblDaily[Deaths],tblDaily[EntryDate],DATE(2026,4,3),tblDaily[WardCode],"FAE")),"")</f>
        <v/>
      </c>
      <c r="L130" s="13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3" t="str">
        <f>IFERROR(IF(SUMIFS(tblDaily[TransfersIn],tblDaily[EntryDate],DATE(2026,4,3),tblDaily[WardCode],"FAE")=0,"",SUMIFS(tblDaily[TransfersIn],tblDaily[EntryDate],DATE(2026,4,3),tblDaily[WardCode],"FAE")),"")</f>
        <v/>
      </c>
      <c r="N130" s="13" t="str">
        <f>IFERROR(IF(SUMIFS(tblDaily[TransfersOut],tblDaily[EntryDate],DATE(2026,4,3),tblDaily[WardCode],"FAE")=0,"",SUMIFS(tblDaily[TransfersOut],tblDaily[EntryDate],DATE(2026,4,3),tblDaily[WardCode],"FAE")),"")</f>
        <v/>
      </c>
      <c r="O130" s="13" t="str">
        <f>IFERROR(IF(SUMIFS(tblDaily[Remaining],tblDaily[EntryDate],DATE(2026,4,3),tblDaily[WardCode],"FAE")=0,"",SUMIFS(tblDaily[Remaining],tblDaily[EntryDate],DATE(2026,4,3),tblDaily[WardCode],"FAE")),"")</f>
        <v/>
      </c>
    </row>
    <row r="131" spans="1:15" x14ac:dyDescent="0.25">
      <c r="A131" s="13">
        <v>4</v>
      </c>
      <c r="B131" s="13" t="str">
        <f>IFERROR(IF(SUMIFS(tblDaily[Admissions],tblDaily[EntryDate],DATE(2026,4,4),tblDaily[WardCode],"MAE")=0,"",SUMIFS(tblDaily[Admissions],tblDaily[EntryDate],DATE(2026,4,4),tblDaily[WardCode],"MAE")),"")</f>
        <v/>
      </c>
      <c r="C131" s="13" t="str">
        <f>IFERROR(IF(SUMIFS(tblDaily[Discharges],tblDaily[EntryDate],DATE(2026,4,4),tblDaily[WardCode],"MAE")=0,"",SUMIFS(tblDaily[Discharges],tblDaily[EntryDate],DATE(2026,4,4),tblDaily[WardCode],"MAE")),"")</f>
        <v/>
      </c>
      <c r="D131" s="13" t="str">
        <f>IFERROR(IF(SUMIFS(tblDaily[Deaths],tblDaily[EntryDate],DATE(2026,4,4),tblDaily[WardCode],"MAE")=0,"",SUMIFS(tblDaily[Deaths],tblDaily[EntryDate],DATE(2026,4,4),tblDaily[WardCode],"MAE")),"")</f>
        <v/>
      </c>
      <c r="E131" s="13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3" t="str">
        <f>IFERROR(IF(SUMIFS(tblDaily[TransfersIn],tblDaily[EntryDate],DATE(2026,4,4),tblDaily[WardCode],"MAE")=0,"",SUMIFS(tblDaily[TransfersIn],tblDaily[EntryDate],DATE(2026,4,4),tblDaily[WardCode],"MAE")),"")</f>
        <v/>
      </c>
      <c r="G131" s="13" t="str">
        <f>IFERROR(IF(SUMIFS(tblDaily[TransfersOut],tblDaily[EntryDate],DATE(2026,4,4),tblDaily[WardCode],"MAE")=0,"",SUMIFS(tblDaily[TransfersOut],tblDaily[EntryDate],DATE(2026,4,4),tblDaily[WardCode],"MAE")),"")</f>
        <v/>
      </c>
      <c r="H131" s="13" t="str">
        <f>IFERROR(IF(SUMIFS(tblDaily[Remaining],tblDaily[EntryDate],DATE(2026,4,4),tblDaily[WardCode],"MAE")=0,"",SUMIFS(tblDaily[Remaining],tblDaily[EntryDate],DATE(2026,4,4),tblDaily[WardCode],"MAE")),"")</f>
        <v/>
      </c>
      <c r="I131" s="13" t="str">
        <f>IFERROR(IF(SUMIFS(tblDaily[Admissions],tblDaily[EntryDate],DATE(2026,4,4),tblDaily[WardCode],"FAE")=0,"",SUMIFS(tblDaily[Admissions],tblDaily[EntryDate],DATE(2026,4,4),tblDaily[WardCode],"FAE")),"")</f>
        <v/>
      </c>
      <c r="J131" s="13" t="str">
        <f>IFERROR(IF(SUMIFS(tblDaily[Discharges],tblDaily[EntryDate],DATE(2026,4,4),tblDaily[WardCode],"FAE")=0,"",SUMIFS(tblDaily[Discharges],tblDaily[EntryDate],DATE(2026,4,4),tblDaily[WardCode],"FAE")),"")</f>
        <v/>
      </c>
      <c r="K131" s="13" t="str">
        <f>IFERROR(IF(SUMIFS(tblDaily[Deaths],tblDaily[EntryDate],DATE(2026,4,4),tblDaily[WardCode],"FAE")=0,"",SUMIFS(tblDaily[Deaths],tblDaily[EntryDate],DATE(2026,4,4),tblDaily[WardCode],"FAE")),"")</f>
        <v/>
      </c>
      <c r="L131" s="13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3" t="str">
        <f>IFERROR(IF(SUMIFS(tblDaily[TransfersIn],tblDaily[EntryDate],DATE(2026,4,4),tblDaily[WardCode],"FAE")=0,"",SUMIFS(tblDaily[TransfersIn],tblDaily[EntryDate],DATE(2026,4,4),tblDaily[WardCode],"FAE")),"")</f>
        <v/>
      </c>
      <c r="N131" s="13" t="str">
        <f>IFERROR(IF(SUMIFS(tblDaily[TransfersOut],tblDaily[EntryDate],DATE(2026,4,4),tblDaily[WardCode],"FAE")=0,"",SUMIFS(tblDaily[TransfersOut],tblDaily[EntryDate],DATE(2026,4,4),tblDaily[WardCode],"FAE")),"")</f>
        <v/>
      </c>
      <c r="O131" s="13" t="str">
        <f>IFERROR(IF(SUMIFS(tblDaily[Remaining],tblDaily[EntryDate],DATE(2026,4,4),tblDaily[WardCode],"FAE")=0,"",SUMIFS(tblDaily[Remaining],tblDaily[EntryDate],DATE(2026,4,4),tblDaily[WardCode],"FAE")),"")</f>
        <v/>
      </c>
    </row>
    <row r="132" spans="1:15" x14ac:dyDescent="0.25">
      <c r="A132" s="13">
        <v>5</v>
      </c>
      <c r="B132" s="13" t="str">
        <f>IFERROR(IF(SUMIFS(tblDaily[Admissions],tblDaily[EntryDate],DATE(2026,4,5),tblDaily[WardCode],"MAE")=0,"",SUMIFS(tblDaily[Admissions],tblDaily[EntryDate],DATE(2026,4,5),tblDaily[WardCode],"MAE")),"")</f>
        <v/>
      </c>
      <c r="C132" s="13" t="str">
        <f>IFERROR(IF(SUMIFS(tblDaily[Discharges],tblDaily[EntryDate],DATE(2026,4,5),tblDaily[WardCode],"MAE")=0,"",SUMIFS(tblDaily[Discharges],tblDaily[EntryDate],DATE(2026,4,5),tblDaily[WardCode],"MAE")),"")</f>
        <v/>
      </c>
      <c r="D132" s="13" t="str">
        <f>IFERROR(IF(SUMIFS(tblDaily[Deaths],tblDaily[EntryDate],DATE(2026,4,5),tblDaily[WardCode],"MAE")=0,"",SUMIFS(tblDaily[Deaths],tblDaily[EntryDate],DATE(2026,4,5),tblDaily[WardCode],"MAE")),"")</f>
        <v/>
      </c>
      <c r="E132" s="13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3" t="str">
        <f>IFERROR(IF(SUMIFS(tblDaily[TransfersIn],tblDaily[EntryDate],DATE(2026,4,5),tblDaily[WardCode],"MAE")=0,"",SUMIFS(tblDaily[TransfersIn],tblDaily[EntryDate],DATE(2026,4,5),tblDaily[WardCode],"MAE")),"")</f>
        <v/>
      </c>
      <c r="G132" s="13" t="str">
        <f>IFERROR(IF(SUMIFS(tblDaily[TransfersOut],tblDaily[EntryDate],DATE(2026,4,5),tblDaily[WardCode],"MAE")=0,"",SUMIFS(tblDaily[TransfersOut],tblDaily[EntryDate],DATE(2026,4,5),tblDaily[WardCode],"MAE")),"")</f>
        <v/>
      </c>
      <c r="H132" s="13" t="str">
        <f>IFERROR(IF(SUMIFS(tblDaily[Remaining],tblDaily[EntryDate],DATE(2026,4,5),tblDaily[WardCode],"MAE")=0,"",SUMIFS(tblDaily[Remaining],tblDaily[EntryDate],DATE(2026,4,5),tblDaily[WardCode],"MAE")),"")</f>
        <v/>
      </c>
      <c r="I132" s="13" t="str">
        <f>IFERROR(IF(SUMIFS(tblDaily[Admissions],tblDaily[EntryDate],DATE(2026,4,5),tblDaily[WardCode],"FAE")=0,"",SUMIFS(tblDaily[Admissions],tblDaily[EntryDate],DATE(2026,4,5),tblDaily[WardCode],"FAE")),"")</f>
        <v/>
      </c>
      <c r="J132" s="13" t="str">
        <f>IFERROR(IF(SUMIFS(tblDaily[Discharges],tblDaily[EntryDate],DATE(2026,4,5),tblDaily[WardCode],"FAE")=0,"",SUMIFS(tblDaily[Discharges],tblDaily[EntryDate],DATE(2026,4,5),tblDaily[WardCode],"FAE")),"")</f>
        <v/>
      </c>
      <c r="K132" s="13" t="str">
        <f>IFERROR(IF(SUMIFS(tblDaily[Deaths],tblDaily[EntryDate],DATE(2026,4,5),tblDaily[WardCode],"FAE")=0,"",SUMIFS(tblDaily[Deaths],tblDaily[EntryDate],DATE(2026,4,5),tblDaily[WardCode],"FAE")),"")</f>
        <v/>
      </c>
      <c r="L132" s="13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3" t="str">
        <f>IFERROR(IF(SUMIFS(tblDaily[TransfersIn],tblDaily[EntryDate],DATE(2026,4,5),tblDaily[WardCode],"FAE")=0,"",SUMIFS(tblDaily[TransfersIn],tblDaily[EntryDate],DATE(2026,4,5),tblDaily[WardCode],"FAE")),"")</f>
        <v/>
      </c>
      <c r="N132" s="13" t="str">
        <f>IFERROR(IF(SUMIFS(tblDaily[TransfersOut],tblDaily[EntryDate],DATE(2026,4,5),tblDaily[WardCode],"FAE")=0,"",SUMIFS(tblDaily[TransfersOut],tblDaily[EntryDate],DATE(2026,4,5),tblDaily[WardCode],"FAE")),"")</f>
        <v/>
      </c>
      <c r="O132" s="13" t="str">
        <f>IFERROR(IF(SUMIFS(tblDaily[Remaining],tblDaily[EntryDate],DATE(2026,4,5),tblDaily[WardCode],"FAE")=0,"",SUMIFS(tblDaily[Remaining],tblDaily[EntryDate],DATE(2026,4,5),tblDaily[WardCode],"FAE")),"")</f>
        <v/>
      </c>
    </row>
    <row r="133" spans="1:15" x14ac:dyDescent="0.25">
      <c r="A133" s="13">
        <v>6</v>
      </c>
      <c r="B133" s="13" t="str">
        <f>IFERROR(IF(SUMIFS(tblDaily[Admissions],tblDaily[EntryDate],DATE(2026,4,6),tblDaily[WardCode],"MAE")=0,"",SUMIFS(tblDaily[Admissions],tblDaily[EntryDate],DATE(2026,4,6),tblDaily[WardCode],"MAE")),"")</f>
        <v/>
      </c>
      <c r="C133" s="13" t="str">
        <f>IFERROR(IF(SUMIFS(tblDaily[Discharges],tblDaily[EntryDate],DATE(2026,4,6),tblDaily[WardCode],"MAE")=0,"",SUMIFS(tblDaily[Discharges],tblDaily[EntryDate],DATE(2026,4,6),tblDaily[WardCode],"MAE")),"")</f>
        <v/>
      </c>
      <c r="D133" s="13" t="str">
        <f>IFERROR(IF(SUMIFS(tblDaily[Deaths],tblDaily[EntryDate],DATE(2026,4,6),tblDaily[WardCode],"MAE")=0,"",SUMIFS(tblDaily[Deaths],tblDaily[EntryDate],DATE(2026,4,6),tblDaily[WardCode],"MAE")),"")</f>
        <v/>
      </c>
      <c r="E133" s="13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3" t="str">
        <f>IFERROR(IF(SUMIFS(tblDaily[TransfersIn],tblDaily[EntryDate],DATE(2026,4,6),tblDaily[WardCode],"MAE")=0,"",SUMIFS(tblDaily[TransfersIn],tblDaily[EntryDate],DATE(2026,4,6),tblDaily[WardCode],"MAE")),"")</f>
        <v/>
      </c>
      <c r="G133" s="13" t="str">
        <f>IFERROR(IF(SUMIFS(tblDaily[TransfersOut],tblDaily[EntryDate],DATE(2026,4,6),tblDaily[WardCode],"MAE")=0,"",SUMIFS(tblDaily[TransfersOut],tblDaily[EntryDate],DATE(2026,4,6),tblDaily[WardCode],"MAE")),"")</f>
        <v/>
      </c>
      <c r="H133" s="13" t="str">
        <f>IFERROR(IF(SUMIFS(tblDaily[Remaining],tblDaily[EntryDate],DATE(2026,4,6),tblDaily[WardCode],"MAE")=0,"",SUMIFS(tblDaily[Remaining],tblDaily[EntryDate],DATE(2026,4,6),tblDaily[WardCode],"MAE")),"")</f>
        <v/>
      </c>
      <c r="I133" s="13" t="str">
        <f>IFERROR(IF(SUMIFS(tblDaily[Admissions],tblDaily[EntryDate],DATE(2026,4,6),tblDaily[WardCode],"FAE")=0,"",SUMIFS(tblDaily[Admissions],tblDaily[EntryDate],DATE(2026,4,6),tblDaily[WardCode],"FAE")),"")</f>
        <v/>
      </c>
      <c r="J133" s="13" t="str">
        <f>IFERROR(IF(SUMIFS(tblDaily[Discharges],tblDaily[EntryDate],DATE(2026,4,6),tblDaily[WardCode],"FAE")=0,"",SUMIFS(tblDaily[Discharges],tblDaily[EntryDate],DATE(2026,4,6),tblDaily[WardCode],"FAE")),"")</f>
        <v/>
      </c>
      <c r="K133" s="13" t="str">
        <f>IFERROR(IF(SUMIFS(tblDaily[Deaths],tblDaily[EntryDate],DATE(2026,4,6),tblDaily[WardCode],"FAE")=0,"",SUMIFS(tblDaily[Deaths],tblDaily[EntryDate],DATE(2026,4,6),tblDaily[WardCode],"FAE")),"")</f>
        <v/>
      </c>
      <c r="L133" s="13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3" t="str">
        <f>IFERROR(IF(SUMIFS(tblDaily[TransfersIn],tblDaily[EntryDate],DATE(2026,4,6),tblDaily[WardCode],"FAE")=0,"",SUMIFS(tblDaily[TransfersIn],tblDaily[EntryDate],DATE(2026,4,6),tblDaily[WardCode],"FAE")),"")</f>
        <v/>
      </c>
      <c r="N133" s="13" t="str">
        <f>IFERROR(IF(SUMIFS(tblDaily[TransfersOut],tblDaily[EntryDate],DATE(2026,4,6),tblDaily[WardCode],"FAE")=0,"",SUMIFS(tblDaily[TransfersOut],tblDaily[EntryDate],DATE(2026,4,6),tblDaily[WardCode],"FAE")),"")</f>
        <v/>
      </c>
      <c r="O133" s="13" t="str">
        <f>IFERROR(IF(SUMIFS(tblDaily[Remaining],tblDaily[EntryDate],DATE(2026,4,6),tblDaily[WardCode],"FAE")=0,"",SUMIFS(tblDaily[Remaining],tblDaily[EntryDate],DATE(2026,4,6),tblDaily[WardCode],"FAE")),"")</f>
        <v/>
      </c>
    </row>
    <row r="134" spans="1:15" x14ac:dyDescent="0.25">
      <c r="A134" s="13">
        <v>7</v>
      </c>
      <c r="B134" s="13" t="str">
        <f>IFERROR(IF(SUMIFS(tblDaily[Admissions],tblDaily[EntryDate],DATE(2026,4,7),tblDaily[WardCode],"MAE")=0,"",SUMIFS(tblDaily[Admissions],tblDaily[EntryDate],DATE(2026,4,7),tblDaily[WardCode],"MAE")),"")</f>
        <v/>
      </c>
      <c r="C134" s="13" t="str">
        <f>IFERROR(IF(SUMIFS(tblDaily[Discharges],tblDaily[EntryDate],DATE(2026,4,7),tblDaily[WardCode],"MAE")=0,"",SUMIFS(tblDaily[Discharges],tblDaily[EntryDate],DATE(2026,4,7),tblDaily[WardCode],"MAE")),"")</f>
        <v/>
      </c>
      <c r="D134" s="13" t="str">
        <f>IFERROR(IF(SUMIFS(tblDaily[Deaths],tblDaily[EntryDate],DATE(2026,4,7),tblDaily[WardCode],"MAE")=0,"",SUMIFS(tblDaily[Deaths],tblDaily[EntryDate],DATE(2026,4,7),tblDaily[WardCode],"MAE")),"")</f>
        <v/>
      </c>
      <c r="E134" s="13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3" t="str">
        <f>IFERROR(IF(SUMIFS(tblDaily[TransfersIn],tblDaily[EntryDate],DATE(2026,4,7),tblDaily[WardCode],"MAE")=0,"",SUMIFS(tblDaily[TransfersIn],tblDaily[EntryDate],DATE(2026,4,7),tblDaily[WardCode],"MAE")),"")</f>
        <v/>
      </c>
      <c r="G134" s="13" t="str">
        <f>IFERROR(IF(SUMIFS(tblDaily[TransfersOut],tblDaily[EntryDate],DATE(2026,4,7),tblDaily[WardCode],"MAE")=0,"",SUMIFS(tblDaily[TransfersOut],tblDaily[EntryDate],DATE(2026,4,7),tblDaily[WardCode],"MAE")),"")</f>
        <v/>
      </c>
      <c r="H134" s="13" t="str">
        <f>IFERROR(IF(SUMIFS(tblDaily[Remaining],tblDaily[EntryDate],DATE(2026,4,7),tblDaily[WardCode],"MAE")=0,"",SUMIFS(tblDaily[Remaining],tblDaily[EntryDate],DATE(2026,4,7),tblDaily[WardCode],"MAE")),"")</f>
        <v/>
      </c>
      <c r="I134" s="13" t="str">
        <f>IFERROR(IF(SUMIFS(tblDaily[Admissions],tblDaily[EntryDate],DATE(2026,4,7),tblDaily[WardCode],"FAE")=0,"",SUMIFS(tblDaily[Admissions],tblDaily[EntryDate],DATE(2026,4,7),tblDaily[WardCode],"FAE")),"")</f>
        <v/>
      </c>
      <c r="J134" s="13" t="str">
        <f>IFERROR(IF(SUMIFS(tblDaily[Discharges],tblDaily[EntryDate],DATE(2026,4,7),tblDaily[WardCode],"FAE")=0,"",SUMIFS(tblDaily[Discharges],tblDaily[EntryDate],DATE(2026,4,7),tblDaily[WardCode],"FAE")),"")</f>
        <v/>
      </c>
      <c r="K134" s="13" t="str">
        <f>IFERROR(IF(SUMIFS(tblDaily[Deaths],tblDaily[EntryDate],DATE(2026,4,7),tblDaily[WardCode],"FAE")=0,"",SUMIFS(tblDaily[Deaths],tblDaily[EntryDate],DATE(2026,4,7),tblDaily[WardCode],"FAE")),"")</f>
        <v/>
      </c>
      <c r="L134" s="13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3" t="str">
        <f>IFERROR(IF(SUMIFS(tblDaily[TransfersIn],tblDaily[EntryDate],DATE(2026,4,7),tblDaily[WardCode],"FAE")=0,"",SUMIFS(tblDaily[TransfersIn],tblDaily[EntryDate],DATE(2026,4,7),tblDaily[WardCode],"FAE")),"")</f>
        <v/>
      </c>
      <c r="N134" s="13" t="str">
        <f>IFERROR(IF(SUMIFS(tblDaily[TransfersOut],tblDaily[EntryDate],DATE(2026,4,7),tblDaily[WardCode],"FAE")=0,"",SUMIFS(tblDaily[TransfersOut],tblDaily[EntryDate],DATE(2026,4,7),tblDaily[WardCode],"FAE")),"")</f>
        <v/>
      </c>
      <c r="O134" s="13" t="str">
        <f>IFERROR(IF(SUMIFS(tblDaily[Remaining],tblDaily[EntryDate],DATE(2026,4,7),tblDaily[WardCode],"FAE")=0,"",SUMIFS(tblDaily[Remaining],tblDaily[EntryDate],DATE(2026,4,7),tblDaily[WardCode],"FAE")),"")</f>
        <v/>
      </c>
    </row>
    <row r="135" spans="1:15" x14ac:dyDescent="0.25">
      <c r="A135" s="13">
        <v>8</v>
      </c>
      <c r="B135" s="13" t="str">
        <f>IFERROR(IF(SUMIFS(tblDaily[Admissions],tblDaily[EntryDate],DATE(2026,4,8),tblDaily[WardCode],"MAE")=0,"",SUMIFS(tblDaily[Admissions],tblDaily[EntryDate],DATE(2026,4,8),tblDaily[WardCode],"MAE")),"")</f>
        <v/>
      </c>
      <c r="C135" s="13" t="str">
        <f>IFERROR(IF(SUMIFS(tblDaily[Discharges],tblDaily[EntryDate],DATE(2026,4,8),tblDaily[WardCode],"MAE")=0,"",SUMIFS(tblDaily[Discharges],tblDaily[EntryDate],DATE(2026,4,8),tblDaily[WardCode],"MAE")),"")</f>
        <v/>
      </c>
      <c r="D135" s="13" t="str">
        <f>IFERROR(IF(SUMIFS(tblDaily[Deaths],tblDaily[EntryDate],DATE(2026,4,8),tblDaily[WardCode],"MAE")=0,"",SUMIFS(tblDaily[Deaths],tblDaily[EntryDate],DATE(2026,4,8),tblDaily[WardCode],"MAE")),"")</f>
        <v/>
      </c>
      <c r="E135" s="13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3" t="str">
        <f>IFERROR(IF(SUMIFS(tblDaily[TransfersIn],tblDaily[EntryDate],DATE(2026,4,8),tblDaily[WardCode],"MAE")=0,"",SUMIFS(tblDaily[TransfersIn],tblDaily[EntryDate],DATE(2026,4,8),tblDaily[WardCode],"MAE")),"")</f>
        <v/>
      </c>
      <c r="G135" s="13" t="str">
        <f>IFERROR(IF(SUMIFS(tblDaily[TransfersOut],tblDaily[EntryDate],DATE(2026,4,8),tblDaily[WardCode],"MAE")=0,"",SUMIFS(tblDaily[TransfersOut],tblDaily[EntryDate],DATE(2026,4,8),tblDaily[WardCode],"MAE")),"")</f>
        <v/>
      </c>
      <c r="H135" s="13" t="str">
        <f>IFERROR(IF(SUMIFS(tblDaily[Remaining],tblDaily[EntryDate],DATE(2026,4,8),tblDaily[WardCode],"MAE")=0,"",SUMIFS(tblDaily[Remaining],tblDaily[EntryDate],DATE(2026,4,8),tblDaily[WardCode],"MAE")),"")</f>
        <v/>
      </c>
      <c r="I135" s="13" t="str">
        <f>IFERROR(IF(SUMIFS(tblDaily[Admissions],tblDaily[EntryDate],DATE(2026,4,8),tblDaily[WardCode],"FAE")=0,"",SUMIFS(tblDaily[Admissions],tblDaily[EntryDate],DATE(2026,4,8),tblDaily[WardCode],"FAE")),"")</f>
        <v/>
      </c>
      <c r="J135" s="13" t="str">
        <f>IFERROR(IF(SUMIFS(tblDaily[Discharges],tblDaily[EntryDate],DATE(2026,4,8),tblDaily[WardCode],"FAE")=0,"",SUMIFS(tblDaily[Discharges],tblDaily[EntryDate],DATE(2026,4,8),tblDaily[WardCode],"FAE")),"")</f>
        <v/>
      </c>
      <c r="K135" s="13" t="str">
        <f>IFERROR(IF(SUMIFS(tblDaily[Deaths],tblDaily[EntryDate],DATE(2026,4,8),tblDaily[WardCode],"FAE")=0,"",SUMIFS(tblDaily[Deaths],tblDaily[EntryDate],DATE(2026,4,8),tblDaily[WardCode],"FAE")),"")</f>
        <v/>
      </c>
      <c r="L135" s="13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3" t="str">
        <f>IFERROR(IF(SUMIFS(tblDaily[TransfersIn],tblDaily[EntryDate],DATE(2026,4,8),tblDaily[WardCode],"FAE")=0,"",SUMIFS(tblDaily[TransfersIn],tblDaily[EntryDate],DATE(2026,4,8),tblDaily[WardCode],"FAE")),"")</f>
        <v/>
      </c>
      <c r="N135" s="13" t="str">
        <f>IFERROR(IF(SUMIFS(tblDaily[TransfersOut],tblDaily[EntryDate],DATE(2026,4,8),tblDaily[WardCode],"FAE")=0,"",SUMIFS(tblDaily[TransfersOut],tblDaily[EntryDate],DATE(2026,4,8),tblDaily[WardCode],"FAE")),"")</f>
        <v/>
      </c>
      <c r="O135" s="13" t="str">
        <f>IFERROR(IF(SUMIFS(tblDaily[Remaining],tblDaily[EntryDate],DATE(2026,4,8),tblDaily[WardCode],"FAE")=0,"",SUMIFS(tblDaily[Remaining],tblDaily[EntryDate],DATE(2026,4,8),tblDaily[WardCode],"FAE")),"")</f>
        <v/>
      </c>
    </row>
    <row r="136" spans="1:15" x14ac:dyDescent="0.25">
      <c r="A136" s="13">
        <v>9</v>
      </c>
      <c r="B136" s="13" t="str">
        <f>IFERROR(IF(SUMIFS(tblDaily[Admissions],tblDaily[EntryDate],DATE(2026,4,9),tblDaily[WardCode],"MAE")=0,"",SUMIFS(tblDaily[Admissions],tblDaily[EntryDate],DATE(2026,4,9),tblDaily[WardCode],"MAE")),"")</f>
        <v/>
      </c>
      <c r="C136" s="13" t="str">
        <f>IFERROR(IF(SUMIFS(tblDaily[Discharges],tblDaily[EntryDate],DATE(2026,4,9),tblDaily[WardCode],"MAE")=0,"",SUMIFS(tblDaily[Discharges],tblDaily[EntryDate],DATE(2026,4,9),tblDaily[WardCode],"MAE")),"")</f>
        <v/>
      </c>
      <c r="D136" s="13" t="str">
        <f>IFERROR(IF(SUMIFS(tblDaily[Deaths],tblDaily[EntryDate],DATE(2026,4,9),tblDaily[WardCode],"MAE")=0,"",SUMIFS(tblDaily[Deaths],tblDaily[EntryDate],DATE(2026,4,9),tblDaily[WardCode],"MAE")),"")</f>
        <v/>
      </c>
      <c r="E136" s="13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3" t="str">
        <f>IFERROR(IF(SUMIFS(tblDaily[TransfersIn],tblDaily[EntryDate],DATE(2026,4,9),tblDaily[WardCode],"MAE")=0,"",SUMIFS(tblDaily[TransfersIn],tblDaily[EntryDate],DATE(2026,4,9),tblDaily[WardCode],"MAE")),"")</f>
        <v/>
      </c>
      <c r="G136" s="13" t="str">
        <f>IFERROR(IF(SUMIFS(tblDaily[TransfersOut],tblDaily[EntryDate],DATE(2026,4,9),tblDaily[WardCode],"MAE")=0,"",SUMIFS(tblDaily[TransfersOut],tblDaily[EntryDate],DATE(2026,4,9),tblDaily[WardCode],"MAE")),"")</f>
        <v/>
      </c>
      <c r="H136" s="13" t="str">
        <f>IFERROR(IF(SUMIFS(tblDaily[Remaining],tblDaily[EntryDate],DATE(2026,4,9),tblDaily[WardCode],"MAE")=0,"",SUMIFS(tblDaily[Remaining],tblDaily[EntryDate],DATE(2026,4,9),tblDaily[WardCode],"MAE")),"")</f>
        <v/>
      </c>
      <c r="I136" s="13" t="str">
        <f>IFERROR(IF(SUMIFS(tblDaily[Admissions],tblDaily[EntryDate],DATE(2026,4,9),tblDaily[WardCode],"FAE")=0,"",SUMIFS(tblDaily[Admissions],tblDaily[EntryDate],DATE(2026,4,9),tblDaily[WardCode],"FAE")),"")</f>
        <v/>
      </c>
      <c r="J136" s="13" t="str">
        <f>IFERROR(IF(SUMIFS(tblDaily[Discharges],tblDaily[EntryDate],DATE(2026,4,9),tblDaily[WardCode],"FAE")=0,"",SUMIFS(tblDaily[Discharges],tblDaily[EntryDate],DATE(2026,4,9),tblDaily[WardCode],"FAE")),"")</f>
        <v/>
      </c>
      <c r="K136" s="13" t="str">
        <f>IFERROR(IF(SUMIFS(tblDaily[Deaths],tblDaily[EntryDate],DATE(2026,4,9),tblDaily[WardCode],"FAE")=0,"",SUMIFS(tblDaily[Deaths],tblDaily[EntryDate],DATE(2026,4,9),tblDaily[WardCode],"FAE")),"")</f>
        <v/>
      </c>
      <c r="L136" s="13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3" t="str">
        <f>IFERROR(IF(SUMIFS(tblDaily[TransfersIn],tblDaily[EntryDate],DATE(2026,4,9),tblDaily[WardCode],"FAE")=0,"",SUMIFS(tblDaily[TransfersIn],tblDaily[EntryDate],DATE(2026,4,9),tblDaily[WardCode],"FAE")),"")</f>
        <v/>
      </c>
      <c r="N136" s="13" t="str">
        <f>IFERROR(IF(SUMIFS(tblDaily[TransfersOut],tblDaily[EntryDate],DATE(2026,4,9),tblDaily[WardCode],"FAE")=0,"",SUMIFS(tblDaily[TransfersOut],tblDaily[EntryDate],DATE(2026,4,9),tblDaily[WardCode],"FAE")),"")</f>
        <v/>
      </c>
      <c r="O136" s="13" t="str">
        <f>IFERROR(IF(SUMIFS(tblDaily[Remaining],tblDaily[EntryDate],DATE(2026,4,9),tblDaily[WardCode],"FAE")=0,"",SUMIFS(tblDaily[Remaining],tblDaily[EntryDate],DATE(2026,4,9),tblDaily[WardCode],"FAE")),"")</f>
        <v/>
      </c>
    </row>
    <row r="137" spans="1:15" x14ac:dyDescent="0.25">
      <c r="A137" s="13">
        <v>10</v>
      </c>
      <c r="B137" s="13" t="str">
        <f>IFERROR(IF(SUMIFS(tblDaily[Admissions],tblDaily[EntryDate],DATE(2026,4,10),tblDaily[WardCode],"MAE")=0,"",SUMIFS(tblDaily[Admissions],tblDaily[EntryDate],DATE(2026,4,10),tblDaily[WardCode],"MAE")),"")</f>
        <v/>
      </c>
      <c r="C137" s="13" t="str">
        <f>IFERROR(IF(SUMIFS(tblDaily[Discharges],tblDaily[EntryDate],DATE(2026,4,10),tblDaily[WardCode],"MAE")=0,"",SUMIFS(tblDaily[Discharges],tblDaily[EntryDate],DATE(2026,4,10),tblDaily[WardCode],"MAE")),"")</f>
        <v/>
      </c>
      <c r="D137" s="13" t="str">
        <f>IFERROR(IF(SUMIFS(tblDaily[Deaths],tblDaily[EntryDate],DATE(2026,4,10),tblDaily[WardCode],"MAE")=0,"",SUMIFS(tblDaily[Deaths],tblDaily[EntryDate],DATE(2026,4,10),tblDaily[WardCode],"MAE")),"")</f>
        <v/>
      </c>
      <c r="E137" s="13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3" t="str">
        <f>IFERROR(IF(SUMIFS(tblDaily[TransfersIn],tblDaily[EntryDate],DATE(2026,4,10),tblDaily[WardCode],"MAE")=0,"",SUMIFS(tblDaily[TransfersIn],tblDaily[EntryDate],DATE(2026,4,10),tblDaily[WardCode],"MAE")),"")</f>
        <v/>
      </c>
      <c r="G137" s="13" t="str">
        <f>IFERROR(IF(SUMIFS(tblDaily[TransfersOut],tblDaily[EntryDate],DATE(2026,4,10),tblDaily[WardCode],"MAE")=0,"",SUMIFS(tblDaily[TransfersOut],tblDaily[EntryDate],DATE(2026,4,10),tblDaily[WardCode],"MAE")),"")</f>
        <v/>
      </c>
      <c r="H137" s="13" t="str">
        <f>IFERROR(IF(SUMIFS(tblDaily[Remaining],tblDaily[EntryDate],DATE(2026,4,10),tblDaily[WardCode],"MAE")=0,"",SUMIFS(tblDaily[Remaining],tblDaily[EntryDate],DATE(2026,4,10),tblDaily[WardCode],"MAE")),"")</f>
        <v/>
      </c>
      <c r="I137" s="13" t="str">
        <f>IFERROR(IF(SUMIFS(tblDaily[Admissions],tblDaily[EntryDate],DATE(2026,4,10),tblDaily[WardCode],"FAE")=0,"",SUMIFS(tblDaily[Admissions],tblDaily[EntryDate],DATE(2026,4,10),tblDaily[WardCode],"FAE")),"")</f>
        <v/>
      </c>
      <c r="J137" s="13" t="str">
        <f>IFERROR(IF(SUMIFS(tblDaily[Discharges],tblDaily[EntryDate],DATE(2026,4,10),tblDaily[WardCode],"FAE")=0,"",SUMIFS(tblDaily[Discharges],tblDaily[EntryDate],DATE(2026,4,10),tblDaily[WardCode],"FAE")),"")</f>
        <v/>
      </c>
      <c r="K137" s="13" t="str">
        <f>IFERROR(IF(SUMIFS(tblDaily[Deaths],tblDaily[EntryDate],DATE(2026,4,10),tblDaily[WardCode],"FAE")=0,"",SUMIFS(tblDaily[Deaths],tblDaily[EntryDate],DATE(2026,4,10),tblDaily[WardCode],"FAE")),"")</f>
        <v/>
      </c>
      <c r="L137" s="13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3" t="str">
        <f>IFERROR(IF(SUMIFS(tblDaily[TransfersIn],tblDaily[EntryDate],DATE(2026,4,10),tblDaily[WardCode],"FAE")=0,"",SUMIFS(tblDaily[TransfersIn],tblDaily[EntryDate],DATE(2026,4,10),tblDaily[WardCode],"FAE")),"")</f>
        <v/>
      </c>
      <c r="N137" s="13" t="str">
        <f>IFERROR(IF(SUMIFS(tblDaily[TransfersOut],tblDaily[EntryDate],DATE(2026,4,10),tblDaily[WardCode],"FAE")=0,"",SUMIFS(tblDaily[TransfersOut],tblDaily[EntryDate],DATE(2026,4,10),tblDaily[WardCode],"FAE")),"")</f>
        <v/>
      </c>
      <c r="O137" s="13" t="str">
        <f>IFERROR(IF(SUMIFS(tblDaily[Remaining],tblDaily[EntryDate],DATE(2026,4,10),tblDaily[WardCode],"FAE")=0,"",SUMIFS(tblDaily[Remaining],tblDaily[EntryDate],DATE(2026,4,10),tblDaily[WardCode],"FAE")),"")</f>
        <v/>
      </c>
    </row>
    <row r="138" spans="1:15" x14ac:dyDescent="0.25">
      <c r="A138" s="13">
        <v>11</v>
      </c>
      <c r="B138" s="13" t="str">
        <f>IFERROR(IF(SUMIFS(tblDaily[Admissions],tblDaily[EntryDate],DATE(2026,4,11),tblDaily[WardCode],"MAE")=0,"",SUMIFS(tblDaily[Admissions],tblDaily[EntryDate],DATE(2026,4,11),tblDaily[WardCode],"MAE")),"")</f>
        <v/>
      </c>
      <c r="C138" s="13" t="str">
        <f>IFERROR(IF(SUMIFS(tblDaily[Discharges],tblDaily[EntryDate],DATE(2026,4,11),tblDaily[WardCode],"MAE")=0,"",SUMIFS(tblDaily[Discharges],tblDaily[EntryDate],DATE(2026,4,11),tblDaily[WardCode],"MAE")),"")</f>
        <v/>
      </c>
      <c r="D138" s="13" t="str">
        <f>IFERROR(IF(SUMIFS(tblDaily[Deaths],tblDaily[EntryDate],DATE(2026,4,11),tblDaily[WardCode],"MAE")=0,"",SUMIFS(tblDaily[Deaths],tblDaily[EntryDate],DATE(2026,4,11),tblDaily[WardCode],"MAE")),"")</f>
        <v/>
      </c>
      <c r="E138" s="13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3" t="str">
        <f>IFERROR(IF(SUMIFS(tblDaily[TransfersIn],tblDaily[EntryDate],DATE(2026,4,11),tblDaily[WardCode],"MAE")=0,"",SUMIFS(tblDaily[TransfersIn],tblDaily[EntryDate],DATE(2026,4,11),tblDaily[WardCode],"MAE")),"")</f>
        <v/>
      </c>
      <c r="G138" s="13" t="str">
        <f>IFERROR(IF(SUMIFS(tblDaily[TransfersOut],tblDaily[EntryDate],DATE(2026,4,11),tblDaily[WardCode],"MAE")=0,"",SUMIFS(tblDaily[TransfersOut],tblDaily[EntryDate],DATE(2026,4,11),tblDaily[WardCode],"MAE")),"")</f>
        <v/>
      </c>
      <c r="H138" s="13" t="str">
        <f>IFERROR(IF(SUMIFS(tblDaily[Remaining],tblDaily[EntryDate],DATE(2026,4,11),tblDaily[WardCode],"MAE")=0,"",SUMIFS(tblDaily[Remaining],tblDaily[EntryDate],DATE(2026,4,11),tblDaily[WardCode],"MAE")),"")</f>
        <v/>
      </c>
      <c r="I138" s="13" t="str">
        <f>IFERROR(IF(SUMIFS(tblDaily[Admissions],tblDaily[EntryDate],DATE(2026,4,11),tblDaily[WardCode],"FAE")=0,"",SUMIFS(tblDaily[Admissions],tblDaily[EntryDate],DATE(2026,4,11),tblDaily[WardCode],"FAE")),"")</f>
        <v/>
      </c>
      <c r="J138" s="13" t="str">
        <f>IFERROR(IF(SUMIFS(tblDaily[Discharges],tblDaily[EntryDate],DATE(2026,4,11),tblDaily[WardCode],"FAE")=0,"",SUMIFS(tblDaily[Discharges],tblDaily[EntryDate],DATE(2026,4,11),tblDaily[WardCode],"FAE")),"")</f>
        <v/>
      </c>
      <c r="K138" s="13" t="str">
        <f>IFERROR(IF(SUMIFS(tblDaily[Deaths],tblDaily[EntryDate],DATE(2026,4,11),tblDaily[WardCode],"FAE")=0,"",SUMIFS(tblDaily[Deaths],tblDaily[EntryDate],DATE(2026,4,11),tblDaily[WardCode],"FAE")),"")</f>
        <v/>
      </c>
      <c r="L138" s="13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3" t="str">
        <f>IFERROR(IF(SUMIFS(tblDaily[TransfersIn],tblDaily[EntryDate],DATE(2026,4,11),tblDaily[WardCode],"FAE")=0,"",SUMIFS(tblDaily[TransfersIn],tblDaily[EntryDate],DATE(2026,4,11),tblDaily[WardCode],"FAE")),"")</f>
        <v/>
      </c>
      <c r="N138" s="13" t="str">
        <f>IFERROR(IF(SUMIFS(tblDaily[TransfersOut],tblDaily[EntryDate],DATE(2026,4,11),tblDaily[WardCode],"FAE")=0,"",SUMIFS(tblDaily[TransfersOut],tblDaily[EntryDate],DATE(2026,4,11),tblDaily[WardCode],"FAE")),"")</f>
        <v/>
      </c>
      <c r="O138" s="13" t="str">
        <f>IFERROR(IF(SUMIFS(tblDaily[Remaining],tblDaily[EntryDate],DATE(2026,4,11),tblDaily[WardCode],"FAE")=0,"",SUMIFS(tblDaily[Remaining],tblDaily[EntryDate],DATE(2026,4,11),tblDaily[WardCode],"FAE")),"")</f>
        <v/>
      </c>
    </row>
    <row r="139" spans="1:15" x14ac:dyDescent="0.25">
      <c r="A139" s="13">
        <v>12</v>
      </c>
      <c r="B139" s="13" t="str">
        <f>IFERROR(IF(SUMIFS(tblDaily[Admissions],tblDaily[EntryDate],DATE(2026,4,12),tblDaily[WardCode],"MAE")=0,"",SUMIFS(tblDaily[Admissions],tblDaily[EntryDate],DATE(2026,4,12),tblDaily[WardCode],"MAE")),"")</f>
        <v/>
      </c>
      <c r="C139" s="13" t="str">
        <f>IFERROR(IF(SUMIFS(tblDaily[Discharges],tblDaily[EntryDate],DATE(2026,4,12),tblDaily[WardCode],"MAE")=0,"",SUMIFS(tblDaily[Discharges],tblDaily[EntryDate],DATE(2026,4,12),tblDaily[WardCode],"MAE")),"")</f>
        <v/>
      </c>
      <c r="D139" s="13" t="str">
        <f>IFERROR(IF(SUMIFS(tblDaily[Deaths],tblDaily[EntryDate],DATE(2026,4,12),tblDaily[WardCode],"MAE")=0,"",SUMIFS(tblDaily[Deaths],tblDaily[EntryDate],DATE(2026,4,12),tblDaily[WardCode],"MAE")),"")</f>
        <v/>
      </c>
      <c r="E139" s="13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3" t="str">
        <f>IFERROR(IF(SUMIFS(tblDaily[TransfersIn],tblDaily[EntryDate],DATE(2026,4,12),tblDaily[WardCode],"MAE")=0,"",SUMIFS(tblDaily[TransfersIn],tblDaily[EntryDate],DATE(2026,4,12),tblDaily[WardCode],"MAE")),"")</f>
        <v/>
      </c>
      <c r="G139" s="13" t="str">
        <f>IFERROR(IF(SUMIFS(tblDaily[TransfersOut],tblDaily[EntryDate],DATE(2026,4,12),tblDaily[WardCode],"MAE")=0,"",SUMIFS(tblDaily[TransfersOut],tblDaily[EntryDate],DATE(2026,4,12),tblDaily[WardCode],"MAE")),"")</f>
        <v/>
      </c>
      <c r="H139" s="13" t="str">
        <f>IFERROR(IF(SUMIFS(tblDaily[Remaining],tblDaily[EntryDate],DATE(2026,4,12),tblDaily[WardCode],"MAE")=0,"",SUMIFS(tblDaily[Remaining],tblDaily[EntryDate],DATE(2026,4,12),tblDaily[WardCode],"MAE")),"")</f>
        <v/>
      </c>
      <c r="I139" s="13" t="str">
        <f>IFERROR(IF(SUMIFS(tblDaily[Admissions],tblDaily[EntryDate],DATE(2026,4,12),tblDaily[WardCode],"FAE")=0,"",SUMIFS(tblDaily[Admissions],tblDaily[EntryDate],DATE(2026,4,12),tblDaily[WardCode],"FAE")),"")</f>
        <v/>
      </c>
      <c r="J139" s="13" t="str">
        <f>IFERROR(IF(SUMIFS(tblDaily[Discharges],tblDaily[EntryDate],DATE(2026,4,12),tblDaily[WardCode],"FAE")=0,"",SUMIFS(tblDaily[Discharges],tblDaily[EntryDate],DATE(2026,4,12),tblDaily[WardCode],"FAE")),"")</f>
        <v/>
      </c>
      <c r="K139" s="13" t="str">
        <f>IFERROR(IF(SUMIFS(tblDaily[Deaths],tblDaily[EntryDate],DATE(2026,4,12),tblDaily[WardCode],"FAE")=0,"",SUMIFS(tblDaily[Deaths],tblDaily[EntryDate],DATE(2026,4,12),tblDaily[WardCode],"FAE")),"")</f>
        <v/>
      </c>
      <c r="L139" s="13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3" t="str">
        <f>IFERROR(IF(SUMIFS(tblDaily[TransfersIn],tblDaily[EntryDate],DATE(2026,4,12),tblDaily[WardCode],"FAE")=0,"",SUMIFS(tblDaily[TransfersIn],tblDaily[EntryDate],DATE(2026,4,12),tblDaily[WardCode],"FAE")),"")</f>
        <v/>
      </c>
      <c r="N139" s="13" t="str">
        <f>IFERROR(IF(SUMIFS(tblDaily[TransfersOut],tblDaily[EntryDate],DATE(2026,4,12),tblDaily[WardCode],"FAE")=0,"",SUMIFS(tblDaily[TransfersOut],tblDaily[EntryDate],DATE(2026,4,12),tblDaily[WardCode],"FAE")),"")</f>
        <v/>
      </c>
      <c r="O139" s="13" t="str">
        <f>IFERROR(IF(SUMIFS(tblDaily[Remaining],tblDaily[EntryDate],DATE(2026,4,12),tblDaily[WardCode],"FAE")=0,"",SUMIFS(tblDaily[Remaining],tblDaily[EntryDate],DATE(2026,4,12),tblDaily[WardCode],"FAE")),"")</f>
        <v/>
      </c>
    </row>
    <row r="140" spans="1:15" x14ac:dyDescent="0.25">
      <c r="A140" s="13">
        <v>13</v>
      </c>
      <c r="B140" s="13" t="str">
        <f>IFERROR(IF(SUMIFS(tblDaily[Admissions],tblDaily[EntryDate],DATE(2026,4,13),tblDaily[WardCode],"MAE")=0,"",SUMIFS(tblDaily[Admissions],tblDaily[EntryDate],DATE(2026,4,13),tblDaily[WardCode],"MAE")),"")</f>
        <v/>
      </c>
      <c r="C140" s="13" t="str">
        <f>IFERROR(IF(SUMIFS(tblDaily[Discharges],tblDaily[EntryDate],DATE(2026,4,13),tblDaily[WardCode],"MAE")=0,"",SUMIFS(tblDaily[Discharges],tblDaily[EntryDate],DATE(2026,4,13),tblDaily[WardCode],"MAE")),"")</f>
        <v/>
      </c>
      <c r="D140" s="13" t="str">
        <f>IFERROR(IF(SUMIFS(tblDaily[Deaths],tblDaily[EntryDate],DATE(2026,4,13),tblDaily[WardCode],"MAE")=0,"",SUMIFS(tblDaily[Deaths],tblDaily[EntryDate],DATE(2026,4,13),tblDaily[WardCode],"MAE")),"")</f>
        <v/>
      </c>
      <c r="E140" s="13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3" t="str">
        <f>IFERROR(IF(SUMIFS(tblDaily[TransfersIn],tblDaily[EntryDate],DATE(2026,4,13),tblDaily[WardCode],"MAE")=0,"",SUMIFS(tblDaily[TransfersIn],tblDaily[EntryDate],DATE(2026,4,13),tblDaily[WardCode],"MAE")),"")</f>
        <v/>
      </c>
      <c r="G140" s="13" t="str">
        <f>IFERROR(IF(SUMIFS(tblDaily[TransfersOut],tblDaily[EntryDate],DATE(2026,4,13),tblDaily[WardCode],"MAE")=0,"",SUMIFS(tblDaily[TransfersOut],tblDaily[EntryDate],DATE(2026,4,13),tblDaily[WardCode],"MAE")),"")</f>
        <v/>
      </c>
      <c r="H140" s="13" t="str">
        <f>IFERROR(IF(SUMIFS(tblDaily[Remaining],tblDaily[EntryDate],DATE(2026,4,13),tblDaily[WardCode],"MAE")=0,"",SUMIFS(tblDaily[Remaining],tblDaily[EntryDate],DATE(2026,4,13),tblDaily[WardCode],"MAE")),"")</f>
        <v/>
      </c>
      <c r="I140" s="13" t="str">
        <f>IFERROR(IF(SUMIFS(tblDaily[Admissions],tblDaily[EntryDate],DATE(2026,4,13),tblDaily[WardCode],"FAE")=0,"",SUMIFS(tblDaily[Admissions],tblDaily[EntryDate],DATE(2026,4,13),tblDaily[WardCode],"FAE")),"")</f>
        <v/>
      </c>
      <c r="J140" s="13" t="str">
        <f>IFERROR(IF(SUMIFS(tblDaily[Discharges],tblDaily[EntryDate],DATE(2026,4,13),tblDaily[WardCode],"FAE")=0,"",SUMIFS(tblDaily[Discharges],tblDaily[EntryDate],DATE(2026,4,13),tblDaily[WardCode],"FAE")),"")</f>
        <v/>
      </c>
      <c r="K140" s="13" t="str">
        <f>IFERROR(IF(SUMIFS(tblDaily[Deaths],tblDaily[EntryDate],DATE(2026,4,13),tblDaily[WardCode],"FAE")=0,"",SUMIFS(tblDaily[Deaths],tblDaily[EntryDate],DATE(2026,4,13),tblDaily[WardCode],"FAE")),"")</f>
        <v/>
      </c>
      <c r="L140" s="13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3" t="str">
        <f>IFERROR(IF(SUMIFS(tblDaily[TransfersIn],tblDaily[EntryDate],DATE(2026,4,13),tblDaily[WardCode],"FAE")=0,"",SUMIFS(tblDaily[TransfersIn],tblDaily[EntryDate],DATE(2026,4,13),tblDaily[WardCode],"FAE")),"")</f>
        <v/>
      </c>
      <c r="N140" s="13" t="str">
        <f>IFERROR(IF(SUMIFS(tblDaily[TransfersOut],tblDaily[EntryDate],DATE(2026,4,13),tblDaily[WardCode],"FAE")=0,"",SUMIFS(tblDaily[TransfersOut],tblDaily[EntryDate],DATE(2026,4,13),tblDaily[WardCode],"FAE")),"")</f>
        <v/>
      </c>
      <c r="O140" s="13" t="str">
        <f>IFERROR(IF(SUMIFS(tblDaily[Remaining],tblDaily[EntryDate],DATE(2026,4,13),tblDaily[WardCode],"FAE")=0,"",SUMIFS(tblDaily[Remaining],tblDaily[EntryDate],DATE(2026,4,13),tblDaily[WardCode],"FAE")),"")</f>
        <v/>
      </c>
    </row>
    <row r="141" spans="1:15" x14ac:dyDescent="0.25">
      <c r="A141" s="13">
        <v>14</v>
      </c>
      <c r="B141" s="13" t="str">
        <f>IFERROR(IF(SUMIFS(tblDaily[Admissions],tblDaily[EntryDate],DATE(2026,4,14),tblDaily[WardCode],"MAE")=0,"",SUMIFS(tblDaily[Admissions],tblDaily[EntryDate],DATE(2026,4,14),tblDaily[WardCode],"MAE")),"")</f>
        <v/>
      </c>
      <c r="C141" s="13" t="str">
        <f>IFERROR(IF(SUMIFS(tblDaily[Discharges],tblDaily[EntryDate],DATE(2026,4,14),tblDaily[WardCode],"MAE")=0,"",SUMIFS(tblDaily[Discharges],tblDaily[EntryDate],DATE(2026,4,14),tblDaily[WardCode],"MAE")),"")</f>
        <v/>
      </c>
      <c r="D141" s="13" t="str">
        <f>IFERROR(IF(SUMIFS(tblDaily[Deaths],tblDaily[EntryDate],DATE(2026,4,14),tblDaily[WardCode],"MAE")=0,"",SUMIFS(tblDaily[Deaths],tblDaily[EntryDate],DATE(2026,4,14),tblDaily[WardCode],"MAE")),"")</f>
        <v/>
      </c>
      <c r="E141" s="13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3" t="str">
        <f>IFERROR(IF(SUMIFS(tblDaily[TransfersIn],tblDaily[EntryDate],DATE(2026,4,14),tblDaily[WardCode],"MAE")=0,"",SUMIFS(tblDaily[TransfersIn],tblDaily[EntryDate],DATE(2026,4,14),tblDaily[WardCode],"MAE")),"")</f>
        <v/>
      </c>
      <c r="G141" s="13" t="str">
        <f>IFERROR(IF(SUMIFS(tblDaily[TransfersOut],tblDaily[EntryDate],DATE(2026,4,14),tblDaily[WardCode],"MAE")=0,"",SUMIFS(tblDaily[TransfersOut],tblDaily[EntryDate],DATE(2026,4,14),tblDaily[WardCode],"MAE")),"")</f>
        <v/>
      </c>
      <c r="H141" s="13" t="str">
        <f>IFERROR(IF(SUMIFS(tblDaily[Remaining],tblDaily[EntryDate],DATE(2026,4,14),tblDaily[WardCode],"MAE")=0,"",SUMIFS(tblDaily[Remaining],tblDaily[EntryDate],DATE(2026,4,14),tblDaily[WardCode],"MAE")),"")</f>
        <v/>
      </c>
      <c r="I141" s="13" t="str">
        <f>IFERROR(IF(SUMIFS(tblDaily[Admissions],tblDaily[EntryDate],DATE(2026,4,14),tblDaily[WardCode],"FAE")=0,"",SUMIFS(tblDaily[Admissions],tblDaily[EntryDate],DATE(2026,4,14),tblDaily[WardCode],"FAE")),"")</f>
        <v/>
      </c>
      <c r="J141" s="13" t="str">
        <f>IFERROR(IF(SUMIFS(tblDaily[Discharges],tblDaily[EntryDate],DATE(2026,4,14),tblDaily[WardCode],"FAE")=0,"",SUMIFS(tblDaily[Discharges],tblDaily[EntryDate],DATE(2026,4,14),tblDaily[WardCode],"FAE")),"")</f>
        <v/>
      </c>
      <c r="K141" s="13" t="str">
        <f>IFERROR(IF(SUMIFS(tblDaily[Deaths],tblDaily[EntryDate],DATE(2026,4,14),tblDaily[WardCode],"FAE")=0,"",SUMIFS(tblDaily[Deaths],tblDaily[EntryDate],DATE(2026,4,14),tblDaily[WardCode],"FAE")),"")</f>
        <v/>
      </c>
      <c r="L141" s="13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3" t="str">
        <f>IFERROR(IF(SUMIFS(tblDaily[TransfersIn],tblDaily[EntryDate],DATE(2026,4,14),tblDaily[WardCode],"FAE")=0,"",SUMIFS(tblDaily[TransfersIn],tblDaily[EntryDate],DATE(2026,4,14),tblDaily[WardCode],"FAE")),"")</f>
        <v/>
      </c>
      <c r="N141" s="13" t="str">
        <f>IFERROR(IF(SUMIFS(tblDaily[TransfersOut],tblDaily[EntryDate],DATE(2026,4,14),tblDaily[WardCode],"FAE")=0,"",SUMIFS(tblDaily[TransfersOut],tblDaily[EntryDate],DATE(2026,4,14),tblDaily[WardCode],"FAE")),"")</f>
        <v/>
      </c>
      <c r="O141" s="13" t="str">
        <f>IFERROR(IF(SUMIFS(tblDaily[Remaining],tblDaily[EntryDate],DATE(2026,4,14),tblDaily[WardCode],"FAE")=0,"",SUMIFS(tblDaily[Remaining],tblDaily[EntryDate],DATE(2026,4,14),tblDaily[WardCode],"FAE")),"")</f>
        <v/>
      </c>
    </row>
    <row r="142" spans="1:15" x14ac:dyDescent="0.25">
      <c r="A142" s="13">
        <v>15</v>
      </c>
      <c r="B142" s="13" t="str">
        <f>IFERROR(IF(SUMIFS(tblDaily[Admissions],tblDaily[EntryDate],DATE(2026,4,15),tblDaily[WardCode],"MAE")=0,"",SUMIFS(tblDaily[Admissions],tblDaily[EntryDate],DATE(2026,4,15),tblDaily[WardCode],"MAE")),"")</f>
        <v/>
      </c>
      <c r="C142" s="13" t="str">
        <f>IFERROR(IF(SUMIFS(tblDaily[Discharges],tblDaily[EntryDate],DATE(2026,4,15),tblDaily[WardCode],"MAE")=0,"",SUMIFS(tblDaily[Discharges],tblDaily[EntryDate],DATE(2026,4,15),tblDaily[WardCode],"MAE")),"")</f>
        <v/>
      </c>
      <c r="D142" s="13" t="str">
        <f>IFERROR(IF(SUMIFS(tblDaily[Deaths],tblDaily[EntryDate],DATE(2026,4,15),tblDaily[WardCode],"MAE")=0,"",SUMIFS(tblDaily[Deaths],tblDaily[EntryDate],DATE(2026,4,15),tblDaily[WardCode],"MAE")),"")</f>
        <v/>
      </c>
      <c r="E142" s="13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3" t="str">
        <f>IFERROR(IF(SUMIFS(tblDaily[TransfersIn],tblDaily[EntryDate],DATE(2026,4,15),tblDaily[WardCode],"MAE")=0,"",SUMIFS(tblDaily[TransfersIn],tblDaily[EntryDate],DATE(2026,4,15),tblDaily[WardCode],"MAE")),"")</f>
        <v/>
      </c>
      <c r="G142" s="13" t="str">
        <f>IFERROR(IF(SUMIFS(tblDaily[TransfersOut],tblDaily[EntryDate],DATE(2026,4,15),tblDaily[WardCode],"MAE")=0,"",SUMIFS(tblDaily[TransfersOut],tblDaily[EntryDate],DATE(2026,4,15),tblDaily[WardCode],"MAE")),"")</f>
        <v/>
      </c>
      <c r="H142" s="13" t="str">
        <f>IFERROR(IF(SUMIFS(tblDaily[Remaining],tblDaily[EntryDate],DATE(2026,4,15),tblDaily[WardCode],"MAE")=0,"",SUMIFS(tblDaily[Remaining],tblDaily[EntryDate],DATE(2026,4,15),tblDaily[WardCode],"MAE")),"")</f>
        <v/>
      </c>
      <c r="I142" s="13" t="str">
        <f>IFERROR(IF(SUMIFS(tblDaily[Admissions],tblDaily[EntryDate],DATE(2026,4,15),tblDaily[WardCode],"FAE")=0,"",SUMIFS(tblDaily[Admissions],tblDaily[EntryDate],DATE(2026,4,15),tblDaily[WardCode],"FAE")),"")</f>
        <v/>
      </c>
      <c r="J142" s="13" t="str">
        <f>IFERROR(IF(SUMIFS(tblDaily[Discharges],tblDaily[EntryDate],DATE(2026,4,15),tblDaily[WardCode],"FAE")=0,"",SUMIFS(tblDaily[Discharges],tblDaily[EntryDate],DATE(2026,4,15),tblDaily[WardCode],"FAE")),"")</f>
        <v/>
      </c>
      <c r="K142" s="13" t="str">
        <f>IFERROR(IF(SUMIFS(tblDaily[Deaths],tblDaily[EntryDate],DATE(2026,4,15),tblDaily[WardCode],"FAE")=0,"",SUMIFS(tblDaily[Deaths],tblDaily[EntryDate],DATE(2026,4,15),tblDaily[WardCode],"FAE")),"")</f>
        <v/>
      </c>
      <c r="L142" s="13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3" t="str">
        <f>IFERROR(IF(SUMIFS(tblDaily[TransfersIn],tblDaily[EntryDate],DATE(2026,4,15),tblDaily[WardCode],"FAE")=0,"",SUMIFS(tblDaily[TransfersIn],tblDaily[EntryDate],DATE(2026,4,15),tblDaily[WardCode],"FAE")),"")</f>
        <v/>
      </c>
      <c r="N142" s="13" t="str">
        <f>IFERROR(IF(SUMIFS(tblDaily[TransfersOut],tblDaily[EntryDate],DATE(2026,4,15),tblDaily[WardCode],"FAE")=0,"",SUMIFS(tblDaily[TransfersOut],tblDaily[EntryDate],DATE(2026,4,15),tblDaily[WardCode],"FAE")),"")</f>
        <v/>
      </c>
      <c r="O142" s="13" t="str">
        <f>IFERROR(IF(SUMIFS(tblDaily[Remaining],tblDaily[EntryDate],DATE(2026,4,15),tblDaily[WardCode],"FAE")=0,"",SUMIFS(tblDaily[Remaining],tblDaily[EntryDate],DATE(2026,4,15),tblDaily[WardCode],"FAE")),"")</f>
        <v/>
      </c>
    </row>
    <row r="143" spans="1:15" x14ac:dyDescent="0.25">
      <c r="A143" s="13">
        <v>16</v>
      </c>
      <c r="B143" s="13" t="str">
        <f>IFERROR(IF(SUMIFS(tblDaily[Admissions],tblDaily[EntryDate],DATE(2026,4,16),tblDaily[WardCode],"MAE")=0,"",SUMIFS(tblDaily[Admissions],tblDaily[EntryDate],DATE(2026,4,16),tblDaily[WardCode],"MAE")),"")</f>
        <v/>
      </c>
      <c r="C143" s="13" t="str">
        <f>IFERROR(IF(SUMIFS(tblDaily[Discharges],tblDaily[EntryDate],DATE(2026,4,16),tblDaily[WardCode],"MAE")=0,"",SUMIFS(tblDaily[Discharges],tblDaily[EntryDate],DATE(2026,4,16),tblDaily[WardCode],"MAE")),"")</f>
        <v/>
      </c>
      <c r="D143" s="13" t="str">
        <f>IFERROR(IF(SUMIFS(tblDaily[Deaths],tblDaily[EntryDate],DATE(2026,4,16),tblDaily[WardCode],"MAE")=0,"",SUMIFS(tblDaily[Deaths],tblDaily[EntryDate],DATE(2026,4,16),tblDaily[WardCode],"MAE")),"")</f>
        <v/>
      </c>
      <c r="E143" s="13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3" t="str">
        <f>IFERROR(IF(SUMIFS(tblDaily[TransfersIn],tblDaily[EntryDate],DATE(2026,4,16),tblDaily[WardCode],"MAE")=0,"",SUMIFS(tblDaily[TransfersIn],tblDaily[EntryDate],DATE(2026,4,16),tblDaily[WardCode],"MAE")),"")</f>
        <v/>
      </c>
      <c r="G143" s="13" t="str">
        <f>IFERROR(IF(SUMIFS(tblDaily[TransfersOut],tblDaily[EntryDate],DATE(2026,4,16),tblDaily[WardCode],"MAE")=0,"",SUMIFS(tblDaily[TransfersOut],tblDaily[EntryDate],DATE(2026,4,16),tblDaily[WardCode],"MAE")),"")</f>
        <v/>
      </c>
      <c r="H143" s="13" t="str">
        <f>IFERROR(IF(SUMIFS(tblDaily[Remaining],tblDaily[EntryDate],DATE(2026,4,16),tblDaily[WardCode],"MAE")=0,"",SUMIFS(tblDaily[Remaining],tblDaily[EntryDate],DATE(2026,4,16),tblDaily[WardCode],"MAE")),"")</f>
        <v/>
      </c>
      <c r="I143" s="13" t="str">
        <f>IFERROR(IF(SUMIFS(tblDaily[Admissions],tblDaily[EntryDate],DATE(2026,4,16),tblDaily[WardCode],"FAE")=0,"",SUMIFS(tblDaily[Admissions],tblDaily[EntryDate],DATE(2026,4,16),tblDaily[WardCode],"FAE")),"")</f>
        <v/>
      </c>
      <c r="J143" s="13" t="str">
        <f>IFERROR(IF(SUMIFS(tblDaily[Discharges],tblDaily[EntryDate],DATE(2026,4,16),tblDaily[WardCode],"FAE")=0,"",SUMIFS(tblDaily[Discharges],tblDaily[EntryDate],DATE(2026,4,16),tblDaily[WardCode],"FAE")),"")</f>
        <v/>
      </c>
      <c r="K143" s="13" t="str">
        <f>IFERROR(IF(SUMIFS(tblDaily[Deaths],tblDaily[EntryDate],DATE(2026,4,16),tblDaily[WardCode],"FAE")=0,"",SUMIFS(tblDaily[Deaths],tblDaily[EntryDate],DATE(2026,4,16),tblDaily[WardCode],"FAE")),"")</f>
        <v/>
      </c>
      <c r="L143" s="13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3" t="str">
        <f>IFERROR(IF(SUMIFS(tblDaily[TransfersIn],tblDaily[EntryDate],DATE(2026,4,16),tblDaily[WardCode],"FAE")=0,"",SUMIFS(tblDaily[TransfersIn],tblDaily[EntryDate],DATE(2026,4,16),tblDaily[WardCode],"FAE")),"")</f>
        <v/>
      </c>
      <c r="N143" s="13" t="str">
        <f>IFERROR(IF(SUMIFS(tblDaily[TransfersOut],tblDaily[EntryDate],DATE(2026,4,16),tblDaily[WardCode],"FAE")=0,"",SUMIFS(tblDaily[TransfersOut],tblDaily[EntryDate],DATE(2026,4,16),tblDaily[WardCode],"FAE")),"")</f>
        <v/>
      </c>
      <c r="O143" s="13" t="str">
        <f>IFERROR(IF(SUMIFS(tblDaily[Remaining],tblDaily[EntryDate],DATE(2026,4,16),tblDaily[WardCode],"FAE")=0,"",SUMIFS(tblDaily[Remaining],tblDaily[EntryDate],DATE(2026,4,16),tblDaily[WardCode],"FAE")),"")</f>
        <v/>
      </c>
    </row>
    <row r="144" spans="1:15" x14ac:dyDescent="0.25">
      <c r="A144" s="13">
        <v>17</v>
      </c>
      <c r="B144" s="13" t="str">
        <f>IFERROR(IF(SUMIFS(tblDaily[Admissions],tblDaily[EntryDate],DATE(2026,4,17),tblDaily[WardCode],"MAE")=0,"",SUMIFS(tblDaily[Admissions],tblDaily[EntryDate],DATE(2026,4,17),tblDaily[WardCode],"MAE")),"")</f>
        <v/>
      </c>
      <c r="C144" s="13" t="str">
        <f>IFERROR(IF(SUMIFS(tblDaily[Discharges],tblDaily[EntryDate],DATE(2026,4,17),tblDaily[WardCode],"MAE")=0,"",SUMIFS(tblDaily[Discharges],tblDaily[EntryDate],DATE(2026,4,17),tblDaily[WardCode],"MAE")),"")</f>
        <v/>
      </c>
      <c r="D144" s="13" t="str">
        <f>IFERROR(IF(SUMIFS(tblDaily[Deaths],tblDaily[EntryDate],DATE(2026,4,17),tblDaily[WardCode],"MAE")=0,"",SUMIFS(tblDaily[Deaths],tblDaily[EntryDate],DATE(2026,4,17),tblDaily[WardCode],"MAE")),"")</f>
        <v/>
      </c>
      <c r="E144" s="13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3" t="str">
        <f>IFERROR(IF(SUMIFS(tblDaily[TransfersIn],tblDaily[EntryDate],DATE(2026,4,17),tblDaily[WardCode],"MAE")=0,"",SUMIFS(tblDaily[TransfersIn],tblDaily[EntryDate],DATE(2026,4,17),tblDaily[WardCode],"MAE")),"")</f>
        <v/>
      </c>
      <c r="G144" s="13" t="str">
        <f>IFERROR(IF(SUMIFS(tblDaily[TransfersOut],tblDaily[EntryDate],DATE(2026,4,17),tblDaily[WardCode],"MAE")=0,"",SUMIFS(tblDaily[TransfersOut],tblDaily[EntryDate],DATE(2026,4,17),tblDaily[WardCode],"MAE")),"")</f>
        <v/>
      </c>
      <c r="H144" s="13" t="str">
        <f>IFERROR(IF(SUMIFS(tblDaily[Remaining],tblDaily[EntryDate],DATE(2026,4,17),tblDaily[WardCode],"MAE")=0,"",SUMIFS(tblDaily[Remaining],tblDaily[EntryDate],DATE(2026,4,17),tblDaily[WardCode],"MAE")),"")</f>
        <v/>
      </c>
      <c r="I144" s="13" t="str">
        <f>IFERROR(IF(SUMIFS(tblDaily[Admissions],tblDaily[EntryDate],DATE(2026,4,17),tblDaily[WardCode],"FAE")=0,"",SUMIFS(tblDaily[Admissions],tblDaily[EntryDate],DATE(2026,4,17),tblDaily[WardCode],"FAE")),"")</f>
        <v/>
      </c>
      <c r="J144" s="13" t="str">
        <f>IFERROR(IF(SUMIFS(tblDaily[Discharges],tblDaily[EntryDate],DATE(2026,4,17),tblDaily[WardCode],"FAE")=0,"",SUMIFS(tblDaily[Discharges],tblDaily[EntryDate],DATE(2026,4,17),tblDaily[WardCode],"FAE")),"")</f>
        <v/>
      </c>
      <c r="K144" s="13" t="str">
        <f>IFERROR(IF(SUMIFS(tblDaily[Deaths],tblDaily[EntryDate],DATE(2026,4,17),tblDaily[WardCode],"FAE")=0,"",SUMIFS(tblDaily[Deaths],tblDaily[EntryDate],DATE(2026,4,17),tblDaily[WardCode],"FAE")),"")</f>
        <v/>
      </c>
      <c r="L144" s="13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3" t="str">
        <f>IFERROR(IF(SUMIFS(tblDaily[TransfersIn],tblDaily[EntryDate],DATE(2026,4,17),tblDaily[WardCode],"FAE")=0,"",SUMIFS(tblDaily[TransfersIn],tblDaily[EntryDate],DATE(2026,4,17),tblDaily[WardCode],"FAE")),"")</f>
        <v/>
      </c>
      <c r="N144" s="13" t="str">
        <f>IFERROR(IF(SUMIFS(tblDaily[TransfersOut],tblDaily[EntryDate],DATE(2026,4,17),tblDaily[WardCode],"FAE")=0,"",SUMIFS(tblDaily[TransfersOut],tblDaily[EntryDate],DATE(2026,4,17),tblDaily[WardCode],"FAE")),"")</f>
        <v/>
      </c>
      <c r="O144" s="13" t="str">
        <f>IFERROR(IF(SUMIFS(tblDaily[Remaining],tblDaily[EntryDate],DATE(2026,4,17),tblDaily[WardCode],"FAE")=0,"",SUMIFS(tblDaily[Remaining],tblDaily[EntryDate],DATE(2026,4,17),tblDaily[WardCode],"FAE")),"")</f>
        <v/>
      </c>
    </row>
    <row r="145" spans="1:15" x14ac:dyDescent="0.25">
      <c r="A145" s="13">
        <v>18</v>
      </c>
      <c r="B145" s="13" t="str">
        <f>IFERROR(IF(SUMIFS(tblDaily[Admissions],tblDaily[EntryDate],DATE(2026,4,18),tblDaily[WardCode],"MAE")=0,"",SUMIFS(tblDaily[Admissions],tblDaily[EntryDate],DATE(2026,4,18),tblDaily[WardCode],"MAE")),"")</f>
        <v/>
      </c>
      <c r="C145" s="13" t="str">
        <f>IFERROR(IF(SUMIFS(tblDaily[Discharges],tblDaily[EntryDate],DATE(2026,4,18),tblDaily[WardCode],"MAE")=0,"",SUMIFS(tblDaily[Discharges],tblDaily[EntryDate],DATE(2026,4,18),tblDaily[WardCode],"MAE")),"")</f>
        <v/>
      </c>
      <c r="D145" s="13" t="str">
        <f>IFERROR(IF(SUMIFS(tblDaily[Deaths],tblDaily[EntryDate],DATE(2026,4,18),tblDaily[WardCode],"MAE")=0,"",SUMIFS(tblDaily[Deaths],tblDaily[EntryDate],DATE(2026,4,18),tblDaily[WardCode],"MAE")),"")</f>
        <v/>
      </c>
      <c r="E145" s="13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3" t="str">
        <f>IFERROR(IF(SUMIFS(tblDaily[TransfersIn],tblDaily[EntryDate],DATE(2026,4,18),tblDaily[WardCode],"MAE")=0,"",SUMIFS(tblDaily[TransfersIn],tblDaily[EntryDate],DATE(2026,4,18),tblDaily[WardCode],"MAE")),"")</f>
        <v/>
      </c>
      <c r="G145" s="13" t="str">
        <f>IFERROR(IF(SUMIFS(tblDaily[TransfersOut],tblDaily[EntryDate],DATE(2026,4,18),tblDaily[WardCode],"MAE")=0,"",SUMIFS(tblDaily[TransfersOut],tblDaily[EntryDate],DATE(2026,4,18),tblDaily[WardCode],"MAE")),"")</f>
        <v/>
      </c>
      <c r="H145" s="13" t="str">
        <f>IFERROR(IF(SUMIFS(tblDaily[Remaining],tblDaily[EntryDate],DATE(2026,4,18),tblDaily[WardCode],"MAE")=0,"",SUMIFS(tblDaily[Remaining],tblDaily[EntryDate],DATE(2026,4,18),tblDaily[WardCode],"MAE")),"")</f>
        <v/>
      </c>
      <c r="I145" s="13" t="str">
        <f>IFERROR(IF(SUMIFS(tblDaily[Admissions],tblDaily[EntryDate],DATE(2026,4,18),tblDaily[WardCode],"FAE")=0,"",SUMIFS(tblDaily[Admissions],tblDaily[EntryDate],DATE(2026,4,18),tblDaily[WardCode],"FAE")),"")</f>
        <v/>
      </c>
      <c r="J145" s="13" t="str">
        <f>IFERROR(IF(SUMIFS(tblDaily[Discharges],tblDaily[EntryDate],DATE(2026,4,18),tblDaily[WardCode],"FAE")=0,"",SUMIFS(tblDaily[Discharges],tblDaily[EntryDate],DATE(2026,4,18),tblDaily[WardCode],"FAE")),"")</f>
        <v/>
      </c>
      <c r="K145" s="13" t="str">
        <f>IFERROR(IF(SUMIFS(tblDaily[Deaths],tblDaily[EntryDate],DATE(2026,4,18),tblDaily[WardCode],"FAE")=0,"",SUMIFS(tblDaily[Deaths],tblDaily[EntryDate],DATE(2026,4,18),tblDaily[WardCode],"FAE")),"")</f>
        <v/>
      </c>
      <c r="L145" s="13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3" t="str">
        <f>IFERROR(IF(SUMIFS(tblDaily[TransfersIn],tblDaily[EntryDate],DATE(2026,4,18),tblDaily[WardCode],"FAE")=0,"",SUMIFS(tblDaily[TransfersIn],tblDaily[EntryDate],DATE(2026,4,18),tblDaily[WardCode],"FAE")),"")</f>
        <v/>
      </c>
      <c r="N145" s="13" t="str">
        <f>IFERROR(IF(SUMIFS(tblDaily[TransfersOut],tblDaily[EntryDate],DATE(2026,4,18),tblDaily[WardCode],"FAE")=0,"",SUMIFS(tblDaily[TransfersOut],tblDaily[EntryDate],DATE(2026,4,18),tblDaily[WardCode],"FAE")),"")</f>
        <v/>
      </c>
      <c r="O145" s="13" t="str">
        <f>IFERROR(IF(SUMIFS(tblDaily[Remaining],tblDaily[EntryDate],DATE(2026,4,18),tblDaily[WardCode],"FAE")=0,"",SUMIFS(tblDaily[Remaining],tblDaily[EntryDate],DATE(2026,4,18),tblDaily[WardCode],"FAE")),"")</f>
        <v/>
      </c>
    </row>
    <row r="146" spans="1:15" x14ac:dyDescent="0.25">
      <c r="A146" s="13">
        <v>19</v>
      </c>
      <c r="B146" s="13" t="str">
        <f>IFERROR(IF(SUMIFS(tblDaily[Admissions],tblDaily[EntryDate],DATE(2026,4,19),tblDaily[WardCode],"MAE")=0,"",SUMIFS(tblDaily[Admissions],tblDaily[EntryDate],DATE(2026,4,19),tblDaily[WardCode],"MAE")),"")</f>
        <v/>
      </c>
      <c r="C146" s="13" t="str">
        <f>IFERROR(IF(SUMIFS(tblDaily[Discharges],tblDaily[EntryDate],DATE(2026,4,19),tblDaily[WardCode],"MAE")=0,"",SUMIFS(tblDaily[Discharges],tblDaily[EntryDate],DATE(2026,4,19),tblDaily[WardCode],"MAE")),"")</f>
        <v/>
      </c>
      <c r="D146" s="13" t="str">
        <f>IFERROR(IF(SUMIFS(tblDaily[Deaths],tblDaily[EntryDate],DATE(2026,4,19),tblDaily[WardCode],"MAE")=0,"",SUMIFS(tblDaily[Deaths],tblDaily[EntryDate],DATE(2026,4,19),tblDaily[WardCode],"MAE")),"")</f>
        <v/>
      </c>
      <c r="E146" s="13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3" t="str">
        <f>IFERROR(IF(SUMIFS(tblDaily[TransfersIn],tblDaily[EntryDate],DATE(2026,4,19),tblDaily[WardCode],"MAE")=0,"",SUMIFS(tblDaily[TransfersIn],tblDaily[EntryDate],DATE(2026,4,19),tblDaily[WardCode],"MAE")),"")</f>
        <v/>
      </c>
      <c r="G146" s="13" t="str">
        <f>IFERROR(IF(SUMIFS(tblDaily[TransfersOut],tblDaily[EntryDate],DATE(2026,4,19),tblDaily[WardCode],"MAE")=0,"",SUMIFS(tblDaily[TransfersOut],tblDaily[EntryDate],DATE(2026,4,19),tblDaily[WardCode],"MAE")),"")</f>
        <v/>
      </c>
      <c r="H146" s="13" t="str">
        <f>IFERROR(IF(SUMIFS(tblDaily[Remaining],tblDaily[EntryDate],DATE(2026,4,19),tblDaily[WardCode],"MAE")=0,"",SUMIFS(tblDaily[Remaining],tblDaily[EntryDate],DATE(2026,4,19),tblDaily[WardCode],"MAE")),"")</f>
        <v/>
      </c>
      <c r="I146" s="13" t="str">
        <f>IFERROR(IF(SUMIFS(tblDaily[Admissions],tblDaily[EntryDate],DATE(2026,4,19),tblDaily[WardCode],"FAE")=0,"",SUMIFS(tblDaily[Admissions],tblDaily[EntryDate],DATE(2026,4,19),tblDaily[WardCode],"FAE")),"")</f>
        <v/>
      </c>
      <c r="J146" s="13" t="str">
        <f>IFERROR(IF(SUMIFS(tblDaily[Discharges],tblDaily[EntryDate],DATE(2026,4,19),tblDaily[WardCode],"FAE")=0,"",SUMIFS(tblDaily[Discharges],tblDaily[EntryDate],DATE(2026,4,19),tblDaily[WardCode],"FAE")),"")</f>
        <v/>
      </c>
      <c r="K146" s="13" t="str">
        <f>IFERROR(IF(SUMIFS(tblDaily[Deaths],tblDaily[EntryDate],DATE(2026,4,19),tblDaily[WardCode],"FAE")=0,"",SUMIFS(tblDaily[Deaths],tblDaily[EntryDate],DATE(2026,4,19),tblDaily[WardCode],"FAE")),"")</f>
        <v/>
      </c>
      <c r="L146" s="13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3" t="str">
        <f>IFERROR(IF(SUMIFS(tblDaily[TransfersIn],tblDaily[EntryDate],DATE(2026,4,19),tblDaily[WardCode],"FAE")=0,"",SUMIFS(tblDaily[TransfersIn],tblDaily[EntryDate],DATE(2026,4,19),tblDaily[WardCode],"FAE")),"")</f>
        <v/>
      </c>
      <c r="N146" s="13" t="str">
        <f>IFERROR(IF(SUMIFS(tblDaily[TransfersOut],tblDaily[EntryDate],DATE(2026,4,19),tblDaily[WardCode],"FAE")=0,"",SUMIFS(tblDaily[TransfersOut],tblDaily[EntryDate],DATE(2026,4,19),tblDaily[WardCode],"FAE")),"")</f>
        <v/>
      </c>
      <c r="O146" s="13" t="str">
        <f>IFERROR(IF(SUMIFS(tblDaily[Remaining],tblDaily[EntryDate],DATE(2026,4,19),tblDaily[WardCode],"FAE")=0,"",SUMIFS(tblDaily[Remaining],tblDaily[EntryDate],DATE(2026,4,19),tblDaily[WardCode],"FAE")),"")</f>
        <v/>
      </c>
    </row>
    <row r="147" spans="1:15" x14ac:dyDescent="0.25">
      <c r="A147" s="13">
        <v>20</v>
      </c>
      <c r="B147" s="13" t="str">
        <f>IFERROR(IF(SUMIFS(tblDaily[Admissions],tblDaily[EntryDate],DATE(2026,4,20),tblDaily[WardCode],"MAE")=0,"",SUMIFS(tblDaily[Admissions],tblDaily[EntryDate],DATE(2026,4,20),tblDaily[WardCode],"MAE")),"")</f>
        <v/>
      </c>
      <c r="C147" s="13" t="str">
        <f>IFERROR(IF(SUMIFS(tblDaily[Discharges],tblDaily[EntryDate],DATE(2026,4,20),tblDaily[WardCode],"MAE")=0,"",SUMIFS(tblDaily[Discharges],tblDaily[EntryDate],DATE(2026,4,20),tblDaily[WardCode],"MAE")),"")</f>
        <v/>
      </c>
      <c r="D147" s="13" t="str">
        <f>IFERROR(IF(SUMIFS(tblDaily[Deaths],tblDaily[EntryDate],DATE(2026,4,20),tblDaily[WardCode],"MAE")=0,"",SUMIFS(tblDaily[Deaths],tblDaily[EntryDate],DATE(2026,4,20),tblDaily[WardCode],"MAE")),"")</f>
        <v/>
      </c>
      <c r="E147" s="13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3" t="str">
        <f>IFERROR(IF(SUMIFS(tblDaily[TransfersIn],tblDaily[EntryDate],DATE(2026,4,20),tblDaily[WardCode],"MAE")=0,"",SUMIFS(tblDaily[TransfersIn],tblDaily[EntryDate],DATE(2026,4,20),tblDaily[WardCode],"MAE")),"")</f>
        <v/>
      </c>
      <c r="G147" s="13" t="str">
        <f>IFERROR(IF(SUMIFS(tblDaily[TransfersOut],tblDaily[EntryDate],DATE(2026,4,20),tblDaily[WardCode],"MAE")=0,"",SUMIFS(tblDaily[TransfersOut],tblDaily[EntryDate],DATE(2026,4,20),tblDaily[WardCode],"MAE")),"")</f>
        <v/>
      </c>
      <c r="H147" s="13" t="str">
        <f>IFERROR(IF(SUMIFS(tblDaily[Remaining],tblDaily[EntryDate],DATE(2026,4,20),tblDaily[WardCode],"MAE")=0,"",SUMIFS(tblDaily[Remaining],tblDaily[EntryDate],DATE(2026,4,20),tblDaily[WardCode],"MAE")),"")</f>
        <v/>
      </c>
      <c r="I147" s="13" t="str">
        <f>IFERROR(IF(SUMIFS(tblDaily[Admissions],tblDaily[EntryDate],DATE(2026,4,20),tblDaily[WardCode],"FAE")=0,"",SUMIFS(tblDaily[Admissions],tblDaily[EntryDate],DATE(2026,4,20),tblDaily[WardCode],"FAE")),"")</f>
        <v/>
      </c>
      <c r="J147" s="13" t="str">
        <f>IFERROR(IF(SUMIFS(tblDaily[Discharges],tblDaily[EntryDate],DATE(2026,4,20),tblDaily[WardCode],"FAE")=0,"",SUMIFS(tblDaily[Discharges],tblDaily[EntryDate],DATE(2026,4,20),tblDaily[WardCode],"FAE")),"")</f>
        <v/>
      </c>
      <c r="K147" s="13" t="str">
        <f>IFERROR(IF(SUMIFS(tblDaily[Deaths],tblDaily[EntryDate],DATE(2026,4,20),tblDaily[WardCode],"FAE")=0,"",SUMIFS(tblDaily[Deaths],tblDaily[EntryDate],DATE(2026,4,20),tblDaily[WardCode],"FAE")),"")</f>
        <v/>
      </c>
      <c r="L147" s="13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3" t="str">
        <f>IFERROR(IF(SUMIFS(tblDaily[TransfersIn],tblDaily[EntryDate],DATE(2026,4,20),tblDaily[WardCode],"FAE")=0,"",SUMIFS(tblDaily[TransfersIn],tblDaily[EntryDate],DATE(2026,4,20),tblDaily[WardCode],"FAE")),"")</f>
        <v/>
      </c>
      <c r="N147" s="13" t="str">
        <f>IFERROR(IF(SUMIFS(tblDaily[TransfersOut],tblDaily[EntryDate],DATE(2026,4,20),tblDaily[WardCode],"FAE")=0,"",SUMIFS(tblDaily[TransfersOut],tblDaily[EntryDate],DATE(2026,4,20),tblDaily[WardCode],"FAE")),"")</f>
        <v/>
      </c>
      <c r="O147" s="13" t="str">
        <f>IFERROR(IF(SUMIFS(tblDaily[Remaining],tblDaily[EntryDate],DATE(2026,4,20),tblDaily[WardCode],"FAE")=0,"",SUMIFS(tblDaily[Remaining],tblDaily[EntryDate],DATE(2026,4,20),tblDaily[WardCode],"FAE")),"")</f>
        <v/>
      </c>
    </row>
    <row r="148" spans="1:15" x14ac:dyDescent="0.25">
      <c r="A148" s="13">
        <v>21</v>
      </c>
      <c r="B148" s="13" t="str">
        <f>IFERROR(IF(SUMIFS(tblDaily[Admissions],tblDaily[EntryDate],DATE(2026,4,21),tblDaily[WardCode],"MAE")=0,"",SUMIFS(tblDaily[Admissions],tblDaily[EntryDate],DATE(2026,4,21),tblDaily[WardCode],"MAE")),"")</f>
        <v/>
      </c>
      <c r="C148" s="13" t="str">
        <f>IFERROR(IF(SUMIFS(tblDaily[Discharges],tblDaily[EntryDate],DATE(2026,4,21),tblDaily[WardCode],"MAE")=0,"",SUMIFS(tblDaily[Discharges],tblDaily[EntryDate],DATE(2026,4,21),tblDaily[WardCode],"MAE")),"")</f>
        <v/>
      </c>
      <c r="D148" s="13" t="str">
        <f>IFERROR(IF(SUMIFS(tblDaily[Deaths],tblDaily[EntryDate],DATE(2026,4,21),tblDaily[WardCode],"MAE")=0,"",SUMIFS(tblDaily[Deaths],tblDaily[EntryDate],DATE(2026,4,21),tblDaily[WardCode],"MAE")),"")</f>
        <v/>
      </c>
      <c r="E148" s="13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3" t="str">
        <f>IFERROR(IF(SUMIFS(tblDaily[TransfersIn],tblDaily[EntryDate],DATE(2026,4,21),tblDaily[WardCode],"MAE")=0,"",SUMIFS(tblDaily[TransfersIn],tblDaily[EntryDate],DATE(2026,4,21),tblDaily[WardCode],"MAE")),"")</f>
        <v/>
      </c>
      <c r="G148" s="13" t="str">
        <f>IFERROR(IF(SUMIFS(tblDaily[TransfersOut],tblDaily[EntryDate],DATE(2026,4,21),tblDaily[WardCode],"MAE")=0,"",SUMIFS(tblDaily[TransfersOut],tblDaily[EntryDate],DATE(2026,4,21),tblDaily[WardCode],"MAE")),"")</f>
        <v/>
      </c>
      <c r="H148" s="13" t="str">
        <f>IFERROR(IF(SUMIFS(tblDaily[Remaining],tblDaily[EntryDate],DATE(2026,4,21),tblDaily[WardCode],"MAE")=0,"",SUMIFS(tblDaily[Remaining],tblDaily[EntryDate],DATE(2026,4,21),tblDaily[WardCode],"MAE")),"")</f>
        <v/>
      </c>
      <c r="I148" s="13" t="str">
        <f>IFERROR(IF(SUMIFS(tblDaily[Admissions],tblDaily[EntryDate],DATE(2026,4,21),tblDaily[WardCode],"FAE")=0,"",SUMIFS(tblDaily[Admissions],tblDaily[EntryDate],DATE(2026,4,21),tblDaily[WardCode],"FAE")),"")</f>
        <v/>
      </c>
      <c r="J148" s="13" t="str">
        <f>IFERROR(IF(SUMIFS(tblDaily[Discharges],tblDaily[EntryDate],DATE(2026,4,21),tblDaily[WardCode],"FAE")=0,"",SUMIFS(tblDaily[Discharges],tblDaily[EntryDate],DATE(2026,4,21),tblDaily[WardCode],"FAE")),"")</f>
        <v/>
      </c>
      <c r="K148" s="13" t="str">
        <f>IFERROR(IF(SUMIFS(tblDaily[Deaths],tblDaily[EntryDate],DATE(2026,4,21),tblDaily[WardCode],"FAE")=0,"",SUMIFS(tblDaily[Deaths],tblDaily[EntryDate],DATE(2026,4,21),tblDaily[WardCode],"FAE")),"")</f>
        <v/>
      </c>
      <c r="L148" s="13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3" t="str">
        <f>IFERROR(IF(SUMIFS(tblDaily[TransfersIn],tblDaily[EntryDate],DATE(2026,4,21),tblDaily[WardCode],"FAE")=0,"",SUMIFS(tblDaily[TransfersIn],tblDaily[EntryDate],DATE(2026,4,21),tblDaily[WardCode],"FAE")),"")</f>
        <v/>
      </c>
      <c r="N148" s="13" t="str">
        <f>IFERROR(IF(SUMIFS(tblDaily[TransfersOut],tblDaily[EntryDate],DATE(2026,4,21),tblDaily[WardCode],"FAE")=0,"",SUMIFS(tblDaily[TransfersOut],tblDaily[EntryDate],DATE(2026,4,21),tblDaily[WardCode],"FAE")),"")</f>
        <v/>
      </c>
      <c r="O148" s="13" t="str">
        <f>IFERROR(IF(SUMIFS(tblDaily[Remaining],tblDaily[EntryDate],DATE(2026,4,21),tblDaily[WardCode],"FAE")=0,"",SUMIFS(tblDaily[Remaining],tblDaily[EntryDate],DATE(2026,4,21),tblDaily[WardCode],"FAE")),"")</f>
        <v/>
      </c>
    </row>
    <row r="149" spans="1:15" x14ac:dyDescent="0.25">
      <c r="A149" s="13">
        <v>22</v>
      </c>
      <c r="B149" s="13" t="str">
        <f>IFERROR(IF(SUMIFS(tblDaily[Admissions],tblDaily[EntryDate],DATE(2026,4,22),tblDaily[WardCode],"MAE")=0,"",SUMIFS(tblDaily[Admissions],tblDaily[EntryDate],DATE(2026,4,22),tblDaily[WardCode],"MAE")),"")</f>
        <v/>
      </c>
      <c r="C149" s="13" t="str">
        <f>IFERROR(IF(SUMIFS(tblDaily[Discharges],tblDaily[EntryDate],DATE(2026,4,22),tblDaily[WardCode],"MAE")=0,"",SUMIFS(tblDaily[Discharges],tblDaily[EntryDate],DATE(2026,4,22),tblDaily[WardCode],"MAE")),"")</f>
        <v/>
      </c>
      <c r="D149" s="13" t="str">
        <f>IFERROR(IF(SUMIFS(tblDaily[Deaths],tblDaily[EntryDate],DATE(2026,4,22),tblDaily[WardCode],"MAE")=0,"",SUMIFS(tblDaily[Deaths],tblDaily[EntryDate],DATE(2026,4,22),tblDaily[WardCode],"MAE")),"")</f>
        <v/>
      </c>
      <c r="E149" s="13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3" t="str">
        <f>IFERROR(IF(SUMIFS(tblDaily[TransfersIn],tblDaily[EntryDate],DATE(2026,4,22),tblDaily[WardCode],"MAE")=0,"",SUMIFS(tblDaily[TransfersIn],tblDaily[EntryDate],DATE(2026,4,22),tblDaily[WardCode],"MAE")),"")</f>
        <v/>
      </c>
      <c r="G149" s="13" t="str">
        <f>IFERROR(IF(SUMIFS(tblDaily[TransfersOut],tblDaily[EntryDate],DATE(2026,4,22),tblDaily[WardCode],"MAE")=0,"",SUMIFS(tblDaily[TransfersOut],tblDaily[EntryDate],DATE(2026,4,22),tblDaily[WardCode],"MAE")),"")</f>
        <v/>
      </c>
      <c r="H149" s="13" t="str">
        <f>IFERROR(IF(SUMIFS(tblDaily[Remaining],tblDaily[EntryDate],DATE(2026,4,22),tblDaily[WardCode],"MAE")=0,"",SUMIFS(tblDaily[Remaining],tblDaily[EntryDate],DATE(2026,4,22),tblDaily[WardCode],"MAE")),"")</f>
        <v/>
      </c>
      <c r="I149" s="13" t="str">
        <f>IFERROR(IF(SUMIFS(tblDaily[Admissions],tblDaily[EntryDate],DATE(2026,4,22),tblDaily[WardCode],"FAE")=0,"",SUMIFS(tblDaily[Admissions],tblDaily[EntryDate],DATE(2026,4,22),tblDaily[WardCode],"FAE")),"")</f>
        <v/>
      </c>
      <c r="J149" s="13" t="str">
        <f>IFERROR(IF(SUMIFS(tblDaily[Discharges],tblDaily[EntryDate],DATE(2026,4,22),tblDaily[WardCode],"FAE")=0,"",SUMIFS(tblDaily[Discharges],tblDaily[EntryDate],DATE(2026,4,22),tblDaily[WardCode],"FAE")),"")</f>
        <v/>
      </c>
      <c r="K149" s="13" t="str">
        <f>IFERROR(IF(SUMIFS(tblDaily[Deaths],tblDaily[EntryDate],DATE(2026,4,22),tblDaily[WardCode],"FAE")=0,"",SUMIFS(tblDaily[Deaths],tblDaily[EntryDate],DATE(2026,4,22),tblDaily[WardCode],"FAE")),"")</f>
        <v/>
      </c>
      <c r="L149" s="13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3" t="str">
        <f>IFERROR(IF(SUMIFS(tblDaily[TransfersIn],tblDaily[EntryDate],DATE(2026,4,22),tblDaily[WardCode],"FAE")=0,"",SUMIFS(tblDaily[TransfersIn],tblDaily[EntryDate],DATE(2026,4,22),tblDaily[WardCode],"FAE")),"")</f>
        <v/>
      </c>
      <c r="N149" s="13" t="str">
        <f>IFERROR(IF(SUMIFS(tblDaily[TransfersOut],tblDaily[EntryDate],DATE(2026,4,22),tblDaily[WardCode],"FAE")=0,"",SUMIFS(tblDaily[TransfersOut],tblDaily[EntryDate],DATE(2026,4,22),tblDaily[WardCode],"FAE")),"")</f>
        <v/>
      </c>
      <c r="O149" s="13" t="str">
        <f>IFERROR(IF(SUMIFS(tblDaily[Remaining],tblDaily[EntryDate],DATE(2026,4,22),tblDaily[WardCode],"FAE")=0,"",SUMIFS(tblDaily[Remaining],tblDaily[EntryDate],DATE(2026,4,22),tblDaily[WardCode],"FAE")),"")</f>
        <v/>
      </c>
    </row>
    <row r="150" spans="1:15" x14ac:dyDescent="0.25">
      <c r="A150" s="13">
        <v>23</v>
      </c>
      <c r="B150" s="13" t="str">
        <f>IFERROR(IF(SUMIFS(tblDaily[Admissions],tblDaily[EntryDate],DATE(2026,4,23),tblDaily[WardCode],"MAE")=0,"",SUMIFS(tblDaily[Admissions],tblDaily[EntryDate],DATE(2026,4,23),tblDaily[WardCode],"MAE")),"")</f>
        <v/>
      </c>
      <c r="C150" s="13" t="str">
        <f>IFERROR(IF(SUMIFS(tblDaily[Discharges],tblDaily[EntryDate],DATE(2026,4,23),tblDaily[WardCode],"MAE")=0,"",SUMIFS(tblDaily[Discharges],tblDaily[EntryDate],DATE(2026,4,23),tblDaily[WardCode],"MAE")),"")</f>
        <v/>
      </c>
      <c r="D150" s="13" t="str">
        <f>IFERROR(IF(SUMIFS(tblDaily[Deaths],tblDaily[EntryDate],DATE(2026,4,23),tblDaily[WardCode],"MAE")=0,"",SUMIFS(tblDaily[Deaths],tblDaily[EntryDate],DATE(2026,4,23),tblDaily[WardCode],"MAE")),"")</f>
        <v/>
      </c>
      <c r="E150" s="13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3" t="str">
        <f>IFERROR(IF(SUMIFS(tblDaily[TransfersIn],tblDaily[EntryDate],DATE(2026,4,23),tblDaily[WardCode],"MAE")=0,"",SUMIFS(tblDaily[TransfersIn],tblDaily[EntryDate],DATE(2026,4,23),tblDaily[WardCode],"MAE")),"")</f>
        <v/>
      </c>
      <c r="G150" s="13" t="str">
        <f>IFERROR(IF(SUMIFS(tblDaily[TransfersOut],tblDaily[EntryDate],DATE(2026,4,23),tblDaily[WardCode],"MAE")=0,"",SUMIFS(tblDaily[TransfersOut],tblDaily[EntryDate],DATE(2026,4,23),tblDaily[WardCode],"MAE")),"")</f>
        <v/>
      </c>
      <c r="H150" s="13" t="str">
        <f>IFERROR(IF(SUMIFS(tblDaily[Remaining],tblDaily[EntryDate],DATE(2026,4,23),tblDaily[WardCode],"MAE")=0,"",SUMIFS(tblDaily[Remaining],tblDaily[EntryDate],DATE(2026,4,23),tblDaily[WardCode],"MAE")),"")</f>
        <v/>
      </c>
      <c r="I150" s="13" t="str">
        <f>IFERROR(IF(SUMIFS(tblDaily[Admissions],tblDaily[EntryDate],DATE(2026,4,23),tblDaily[WardCode],"FAE")=0,"",SUMIFS(tblDaily[Admissions],tblDaily[EntryDate],DATE(2026,4,23),tblDaily[WardCode],"FAE")),"")</f>
        <v/>
      </c>
      <c r="J150" s="13" t="str">
        <f>IFERROR(IF(SUMIFS(tblDaily[Discharges],tblDaily[EntryDate],DATE(2026,4,23),tblDaily[WardCode],"FAE")=0,"",SUMIFS(tblDaily[Discharges],tblDaily[EntryDate],DATE(2026,4,23),tblDaily[WardCode],"FAE")),"")</f>
        <v/>
      </c>
      <c r="K150" s="13" t="str">
        <f>IFERROR(IF(SUMIFS(tblDaily[Deaths],tblDaily[EntryDate],DATE(2026,4,23),tblDaily[WardCode],"FAE")=0,"",SUMIFS(tblDaily[Deaths],tblDaily[EntryDate],DATE(2026,4,23),tblDaily[WardCode],"FAE")),"")</f>
        <v/>
      </c>
      <c r="L150" s="13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3" t="str">
        <f>IFERROR(IF(SUMIFS(tblDaily[TransfersIn],tblDaily[EntryDate],DATE(2026,4,23),tblDaily[WardCode],"FAE")=0,"",SUMIFS(tblDaily[TransfersIn],tblDaily[EntryDate],DATE(2026,4,23),tblDaily[WardCode],"FAE")),"")</f>
        <v/>
      </c>
      <c r="N150" s="13" t="str">
        <f>IFERROR(IF(SUMIFS(tblDaily[TransfersOut],tblDaily[EntryDate],DATE(2026,4,23),tblDaily[WardCode],"FAE")=0,"",SUMIFS(tblDaily[TransfersOut],tblDaily[EntryDate],DATE(2026,4,23),tblDaily[WardCode],"FAE")),"")</f>
        <v/>
      </c>
      <c r="O150" s="13" t="str">
        <f>IFERROR(IF(SUMIFS(tblDaily[Remaining],tblDaily[EntryDate],DATE(2026,4,23),tblDaily[WardCode],"FAE")=0,"",SUMIFS(tblDaily[Remaining],tblDaily[EntryDate],DATE(2026,4,23),tblDaily[WardCode],"FAE")),"")</f>
        <v/>
      </c>
    </row>
    <row r="151" spans="1:15" x14ac:dyDescent="0.25">
      <c r="A151" s="13">
        <v>24</v>
      </c>
      <c r="B151" s="13" t="str">
        <f>IFERROR(IF(SUMIFS(tblDaily[Admissions],tblDaily[EntryDate],DATE(2026,4,24),tblDaily[WardCode],"MAE")=0,"",SUMIFS(tblDaily[Admissions],tblDaily[EntryDate],DATE(2026,4,24),tblDaily[WardCode],"MAE")),"")</f>
        <v/>
      </c>
      <c r="C151" s="13" t="str">
        <f>IFERROR(IF(SUMIFS(tblDaily[Discharges],tblDaily[EntryDate],DATE(2026,4,24),tblDaily[WardCode],"MAE")=0,"",SUMIFS(tblDaily[Discharges],tblDaily[EntryDate],DATE(2026,4,24),tblDaily[WardCode],"MAE")),"")</f>
        <v/>
      </c>
      <c r="D151" s="13" t="str">
        <f>IFERROR(IF(SUMIFS(tblDaily[Deaths],tblDaily[EntryDate],DATE(2026,4,24),tblDaily[WardCode],"MAE")=0,"",SUMIFS(tblDaily[Deaths],tblDaily[EntryDate],DATE(2026,4,24),tblDaily[WardCode],"MAE")),"")</f>
        <v/>
      </c>
      <c r="E151" s="13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3" t="str">
        <f>IFERROR(IF(SUMIFS(tblDaily[TransfersIn],tblDaily[EntryDate],DATE(2026,4,24),tblDaily[WardCode],"MAE")=0,"",SUMIFS(tblDaily[TransfersIn],tblDaily[EntryDate],DATE(2026,4,24),tblDaily[WardCode],"MAE")),"")</f>
        <v/>
      </c>
      <c r="G151" s="13" t="str">
        <f>IFERROR(IF(SUMIFS(tblDaily[TransfersOut],tblDaily[EntryDate],DATE(2026,4,24),tblDaily[WardCode],"MAE")=0,"",SUMIFS(tblDaily[TransfersOut],tblDaily[EntryDate],DATE(2026,4,24),tblDaily[WardCode],"MAE")),"")</f>
        <v/>
      </c>
      <c r="H151" s="13" t="str">
        <f>IFERROR(IF(SUMIFS(tblDaily[Remaining],tblDaily[EntryDate],DATE(2026,4,24),tblDaily[WardCode],"MAE")=0,"",SUMIFS(tblDaily[Remaining],tblDaily[EntryDate],DATE(2026,4,24),tblDaily[WardCode],"MAE")),"")</f>
        <v/>
      </c>
      <c r="I151" s="13" t="str">
        <f>IFERROR(IF(SUMIFS(tblDaily[Admissions],tblDaily[EntryDate],DATE(2026,4,24),tblDaily[WardCode],"FAE")=0,"",SUMIFS(tblDaily[Admissions],tblDaily[EntryDate],DATE(2026,4,24),tblDaily[WardCode],"FAE")),"")</f>
        <v/>
      </c>
      <c r="J151" s="13" t="str">
        <f>IFERROR(IF(SUMIFS(tblDaily[Discharges],tblDaily[EntryDate],DATE(2026,4,24),tblDaily[WardCode],"FAE")=0,"",SUMIFS(tblDaily[Discharges],tblDaily[EntryDate],DATE(2026,4,24),tblDaily[WardCode],"FAE")),"")</f>
        <v/>
      </c>
      <c r="K151" s="13" t="str">
        <f>IFERROR(IF(SUMIFS(tblDaily[Deaths],tblDaily[EntryDate],DATE(2026,4,24),tblDaily[WardCode],"FAE")=0,"",SUMIFS(tblDaily[Deaths],tblDaily[EntryDate],DATE(2026,4,24),tblDaily[WardCode],"FAE")),"")</f>
        <v/>
      </c>
      <c r="L151" s="13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3" t="str">
        <f>IFERROR(IF(SUMIFS(tblDaily[TransfersIn],tblDaily[EntryDate],DATE(2026,4,24),tblDaily[WardCode],"FAE")=0,"",SUMIFS(tblDaily[TransfersIn],tblDaily[EntryDate],DATE(2026,4,24),tblDaily[WardCode],"FAE")),"")</f>
        <v/>
      </c>
      <c r="N151" s="13" t="str">
        <f>IFERROR(IF(SUMIFS(tblDaily[TransfersOut],tblDaily[EntryDate],DATE(2026,4,24),tblDaily[WardCode],"FAE")=0,"",SUMIFS(tblDaily[TransfersOut],tblDaily[EntryDate],DATE(2026,4,24),tblDaily[WardCode],"FAE")),"")</f>
        <v/>
      </c>
      <c r="O151" s="13" t="str">
        <f>IFERROR(IF(SUMIFS(tblDaily[Remaining],tblDaily[EntryDate],DATE(2026,4,24),tblDaily[WardCode],"FAE")=0,"",SUMIFS(tblDaily[Remaining],tblDaily[EntryDate],DATE(2026,4,24),tblDaily[WardCode],"FAE")),"")</f>
        <v/>
      </c>
    </row>
    <row r="152" spans="1:15" x14ac:dyDescent="0.25">
      <c r="A152" s="13">
        <v>25</v>
      </c>
      <c r="B152" s="13" t="str">
        <f>IFERROR(IF(SUMIFS(tblDaily[Admissions],tblDaily[EntryDate],DATE(2026,4,25),tblDaily[WardCode],"MAE")=0,"",SUMIFS(tblDaily[Admissions],tblDaily[EntryDate],DATE(2026,4,25),tblDaily[WardCode],"MAE")),"")</f>
        <v/>
      </c>
      <c r="C152" s="13" t="str">
        <f>IFERROR(IF(SUMIFS(tblDaily[Discharges],tblDaily[EntryDate],DATE(2026,4,25),tblDaily[WardCode],"MAE")=0,"",SUMIFS(tblDaily[Discharges],tblDaily[EntryDate],DATE(2026,4,25),tblDaily[WardCode],"MAE")),"")</f>
        <v/>
      </c>
      <c r="D152" s="13" t="str">
        <f>IFERROR(IF(SUMIFS(tblDaily[Deaths],tblDaily[EntryDate],DATE(2026,4,25),tblDaily[WardCode],"MAE")=0,"",SUMIFS(tblDaily[Deaths],tblDaily[EntryDate],DATE(2026,4,25),tblDaily[WardCode],"MAE")),"")</f>
        <v/>
      </c>
      <c r="E152" s="13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3" t="str">
        <f>IFERROR(IF(SUMIFS(tblDaily[TransfersIn],tblDaily[EntryDate],DATE(2026,4,25),tblDaily[WardCode],"MAE")=0,"",SUMIFS(tblDaily[TransfersIn],tblDaily[EntryDate],DATE(2026,4,25),tblDaily[WardCode],"MAE")),"")</f>
        <v/>
      </c>
      <c r="G152" s="13" t="str">
        <f>IFERROR(IF(SUMIFS(tblDaily[TransfersOut],tblDaily[EntryDate],DATE(2026,4,25),tblDaily[WardCode],"MAE")=0,"",SUMIFS(tblDaily[TransfersOut],tblDaily[EntryDate],DATE(2026,4,25),tblDaily[WardCode],"MAE")),"")</f>
        <v/>
      </c>
      <c r="H152" s="13" t="str">
        <f>IFERROR(IF(SUMIFS(tblDaily[Remaining],tblDaily[EntryDate],DATE(2026,4,25),tblDaily[WardCode],"MAE")=0,"",SUMIFS(tblDaily[Remaining],tblDaily[EntryDate],DATE(2026,4,25),tblDaily[WardCode],"MAE")),"")</f>
        <v/>
      </c>
      <c r="I152" s="13" t="str">
        <f>IFERROR(IF(SUMIFS(tblDaily[Admissions],tblDaily[EntryDate],DATE(2026,4,25),tblDaily[WardCode],"FAE")=0,"",SUMIFS(tblDaily[Admissions],tblDaily[EntryDate],DATE(2026,4,25),tblDaily[WardCode],"FAE")),"")</f>
        <v/>
      </c>
      <c r="J152" s="13" t="str">
        <f>IFERROR(IF(SUMIFS(tblDaily[Discharges],tblDaily[EntryDate],DATE(2026,4,25),tblDaily[WardCode],"FAE")=0,"",SUMIFS(tblDaily[Discharges],tblDaily[EntryDate],DATE(2026,4,25),tblDaily[WardCode],"FAE")),"")</f>
        <v/>
      </c>
      <c r="K152" s="13" t="str">
        <f>IFERROR(IF(SUMIFS(tblDaily[Deaths],tblDaily[EntryDate],DATE(2026,4,25),tblDaily[WardCode],"FAE")=0,"",SUMIFS(tblDaily[Deaths],tblDaily[EntryDate],DATE(2026,4,25),tblDaily[WardCode],"FAE")),"")</f>
        <v/>
      </c>
      <c r="L152" s="13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3" t="str">
        <f>IFERROR(IF(SUMIFS(tblDaily[TransfersIn],tblDaily[EntryDate],DATE(2026,4,25),tblDaily[WardCode],"FAE")=0,"",SUMIFS(tblDaily[TransfersIn],tblDaily[EntryDate],DATE(2026,4,25),tblDaily[WardCode],"FAE")),"")</f>
        <v/>
      </c>
      <c r="N152" s="13" t="str">
        <f>IFERROR(IF(SUMIFS(tblDaily[TransfersOut],tblDaily[EntryDate],DATE(2026,4,25),tblDaily[WardCode],"FAE")=0,"",SUMIFS(tblDaily[TransfersOut],tblDaily[EntryDate],DATE(2026,4,25),tblDaily[WardCode],"FAE")),"")</f>
        <v/>
      </c>
      <c r="O152" s="13" t="str">
        <f>IFERROR(IF(SUMIFS(tblDaily[Remaining],tblDaily[EntryDate],DATE(2026,4,25),tblDaily[WardCode],"FAE")=0,"",SUMIFS(tblDaily[Remaining],tblDaily[EntryDate],DATE(2026,4,25),tblDaily[WardCode],"FAE")),"")</f>
        <v/>
      </c>
    </row>
    <row r="153" spans="1:15" x14ac:dyDescent="0.25">
      <c r="A153" s="13">
        <v>26</v>
      </c>
      <c r="B153" s="13" t="str">
        <f>IFERROR(IF(SUMIFS(tblDaily[Admissions],tblDaily[EntryDate],DATE(2026,4,26),tblDaily[WardCode],"MAE")=0,"",SUMIFS(tblDaily[Admissions],tblDaily[EntryDate],DATE(2026,4,26),tblDaily[WardCode],"MAE")),"")</f>
        <v/>
      </c>
      <c r="C153" s="13" t="str">
        <f>IFERROR(IF(SUMIFS(tblDaily[Discharges],tblDaily[EntryDate],DATE(2026,4,26),tblDaily[WardCode],"MAE")=0,"",SUMIFS(tblDaily[Discharges],tblDaily[EntryDate],DATE(2026,4,26),tblDaily[WardCode],"MAE")),"")</f>
        <v/>
      </c>
      <c r="D153" s="13" t="str">
        <f>IFERROR(IF(SUMIFS(tblDaily[Deaths],tblDaily[EntryDate],DATE(2026,4,26),tblDaily[WardCode],"MAE")=0,"",SUMIFS(tblDaily[Deaths],tblDaily[EntryDate],DATE(2026,4,26),tblDaily[WardCode],"MAE")),"")</f>
        <v/>
      </c>
      <c r="E153" s="13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3" t="str">
        <f>IFERROR(IF(SUMIFS(tblDaily[TransfersIn],tblDaily[EntryDate],DATE(2026,4,26),tblDaily[WardCode],"MAE")=0,"",SUMIFS(tblDaily[TransfersIn],tblDaily[EntryDate],DATE(2026,4,26),tblDaily[WardCode],"MAE")),"")</f>
        <v/>
      </c>
      <c r="G153" s="13" t="str">
        <f>IFERROR(IF(SUMIFS(tblDaily[TransfersOut],tblDaily[EntryDate],DATE(2026,4,26),tblDaily[WardCode],"MAE")=0,"",SUMIFS(tblDaily[TransfersOut],tblDaily[EntryDate],DATE(2026,4,26),tblDaily[WardCode],"MAE")),"")</f>
        <v/>
      </c>
      <c r="H153" s="13" t="str">
        <f>IFERROR(IF(SUMIFS(tblDaily[Remaining],tblDaily[EntryDate],DATE(2026,4,26),tblDaily[WardCode],"MAE")=0,"",SUMIFS(tblDaily[Remaining],tblDaily[EntryDate],DATE(2026,4,26),tblDaily[WardCode],"MAE")),"")</f>
        <v/>
      </c>
      <c r="I153" s="13" t="str">
        <f>IFERROR(IF(SUMIFS(tblDaily[Admissions],tblDaily[EntryDate],DATE(2026,4,26),tblDaily[WardCode],"FAE")=0,"",SUMIFS(tblDaily[Admissions],tblDaily[EntryDate],DATE(2026,4,26),tblDaily[WardCode],"FAE")),"")</f>
        <v/>
      </c>
      <c r="J153" s="13" t="str">
        <f>IFERROR(IF(SUMIFS(tblDaily[Discharges],tblDaily[EntryDate],DATE(2026,4,26),tblDaily[WardCode],"FAE")=0,"",SUMIFS(tblDaily[Discharges],tblDaily[EntryDate],DATE(2026,4,26),tblDaily[WardCode],"FAE")),"")</f>
        <v/>
      </c>
      <c r="K153" s="13" t="str">
        <f>IFERROR(IF(SUMIFS(tblDaily[Deaths],tblDaily[EntryDate],DATE(2026,4,26),tblDaily[WardCode],"FAE")=0,"",SUMIFS(tblDaily[Deaths],tblDaily[EntryDate],DATE(2026,4,26),tblDaily[WardCode],"FAE")),"")</f>
        <v/>
      </c>
      <c r="L153" s="13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3" t="str">
        <f>IFERROR(IF(SUMIFS(tblDaily[TransfersIn],tblDaily[EntryDate],DATE(2026,4,26),tblDaily[WardCode],"FAE")=0,"",SUMIFS(tblDaily[TransfersIn],tblDaily[EntryDate],DATE(2026,4,26),tblDaily[WardCode],"FAE")),"")</f>
        <v/>
      </c>
      <c r="N153" s="13" t="str">
        <f>IFERROR(IF(SUMIFS(tblDaily[TransfersOut],tblDaily[EntryDate],DATE(2026,4,26),tblDaily[WardCode],"FAE")=0,"",SUMIFS(tblDaily[TransfersOut],tblDaily[EntryDate],DATE(2026,4,26),tblDaily[WardCode],"FAE")),"")</f>
        <v/>
      </c>
      <c r="O153" s="13" t="str">
        <f>IFERROR(IF(SUMIFS(tblDaily[Remaining],tblDaily[EntryDate],DATE(2026,4,26),tblDaily[WardCode],"FAE")=0,"",SUMIFS(tblDaily[Remaining],tblDaily[EntryDate],DATE(2026,4,26),tblDaily[WardCode],"FAE")),"")</f>
        <v/>
      </c>
    </row>
    <row r="154" spans="1:15" x14ac:dyDescent="0.25">
      <c r="A154" s="13">
        <v>27</v>
      </c>
      <c r="B154" s="13" t="str">
        <f>IFERROR(IF(SUMIFS(tblDaily[Admissions],tblDaily[EntryDate],DATE(2026,4,27),tblDaily[WardCode],"MAE")=0,"",SUMIFS(tblDaily[Admissions],tblDaily[EntryDate],DATE(2026,4,27),tblDaily[WardCode],"MAE")),"")</f>
        <v/>
      </c>
      <c r="C154" s="13" t="str">
        <f>IFERROR(IF(SUMIFS(tblDaily[Discharges],tblDaily[EntryDate],DATE(2026,4,27),tblDaily[WardCode],"MAE")=0,"",SUMIFS(tblDaily[Discharges],tblDaily[EntryDate],DATE(2026,4,27),tblDaily[WardCode],"MAE")),"")</f>
        <v/>
      </c>
      <c r="D154" s="13" t="str">
        <f>IFERROR(IF(SUMIFS(tblDaily[Deaths],tblDaily[EntryDate],DATE(2026,4,27),tblDaily[WardCode],"MAE")=0,"",SUMIFS(tblDaily[Deaths],tblDaily[EntryDate],DATE(2026,4,27),tblDaily[WardCode],"MAE")),"")</f>
        <v/>
      </c>
      <c r="E154" s="13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3" t="str">
        <f>IFERROR(IF(SUMIFS(tblDaily[TransfersIn],tblDaily[EntryDate],DATE(2026,4,27),tblDaily[WardCode],"MAE")=0,"",SUMIFS(tblDaily[TransfersIn],tblDaily[EntryDate],DATE(2026,4,27),tblDaily[WardCode],"MAE")),"")</f>
        <v/>
      </c>
      <c r="G154" s="13" t="str">
        <f>IFERROR(IF(SUMIFS(tblDaily[TransfersOut],tblDaily[EntryDate],DATE(2026,4,27),tblDaily[WardCode],"MAE")=0,"",SUMIFS(tblDaily[TransfersOut],tblDaily[EntryDate],DATE(2026,4,27),tblDaily[WardCode],"MAE")),"")</f>
        <v/>
      </c>
      <c r="H154" s="13" t="str">
        <f>IFERROR(IF(SUMIFS(tblDaily[Remaining],tblDaily[EntryDate],DATE(2026,4,27),tblDaily[WardCode],"MAE")=0,"",SUMIFS(tblDaily[Remaining],tblDaily[EntryDate],DATE(2026,4,27),tblDaily[WardCode],"MAE")),"")</f>
        <v/>
      </c>
      <c r="I154" s="13" t="str">
        <f>IFERROR(IF(SUMIFS(tblDaily[Admissions],tblDaily[EntryDate],DATE(2026,4,27),tblDaily[WardCode],"FAE")=0,"",SUMIFS(tblDaily[Admissions],tblDaily[EntryDate],DATE(2026,4,27),tblDaily[WardCode],"FAE")),"")</f>
        <v/>
      </c>
      <c r="J154" s="13" t="str">
        <f>IFERROR(IF(SUMIFS(tblDaily[Discharges],tblDaily[EntryDate],DATE(2026,4,27),tblDaily[WardCode],"FAE")=0,"",SUMIFS(tblDaily[Discharges],tblDaily[EntryDate],DATE(2026,4,27),tblDaily[WardCode],"FAE")),"")</f>
        <v/>
      </c>
      <c r="K154" s="13" t="str">
        <f>IFERROR(IF(SUMIFS(tblDaily[Deaths],tblDaily[EntryDate],DATE(2026,4,27),tblDaily[WardCode],"FAE")=0,"",SUMIFS(tblDaily[Deaths],tblDaily[EntryDate],DATE(2026,4,27),tblDaily[WardCode],"FAE")),"")</f>
        <v/>
      </c>
      <c r="L154" s="13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3" t="str">
        <f>IFERROR(IF(SUMIFS(tblDaily[TransfersIn],tblDaily[EntryDate],DATE(2026,4,27),tblDaily[WardCode],"FAE")=0,"",SUMIFS(tblDaily[TransfersIn],tblDaily[EntryDate],DATE(2026,4,27),tblDaily[WardCode],"FAE")),"")</f>
        <v/>
      </c>
      <c r="N154" s="13" t="str">
        <f>IFERROR(IF(SUMIFS(tblDaily[TransfersOut],tblDaily[EntryDate],DATE(2026,4,27),tblDaily[WardCode],"FAE")=0,"",SUMIFS(tblDaily[TransfersOut],tblDaily[EntryDate],DATE(2026,4,27),tblDaily[WardCode],"FAE")),"")</f>
        <v/>
      </c>
      <c r="O154" s="13" t="str">
        <f>IFERROR(IF(SUMIFS(tblDaily[Remaining],tblDaily[EntryDate],DATE(2026,4,27),tblDaily[WardCode],"FAE")=0,"",SUMIFS(tblDaily[Remaining],tblDaily[EntryDate],DATE(2026,4,27),tblDaily[WardCode],"FAE")),"")</f>
        <v/>
      </c>
    </row>
    <row r="155" spans="1:15" x14ac:dyDescent="0.25">
      <c r="A155" s="13">
        <v>28</v>
      </c>
      <c r="B155" s="13" t="str">
        <f>IFERROR(IF(SUMIFS(tblDaily[Admissions],tblDaily[EntryDate],DATE(2026,4,28),tblDaily[WardCode],"MAE")=0,"",SUMIFS(tblDaily[Admissions],tblDaily[EntryDate],DATE(2026,4,28),tblDaily[WardCode],"MAE")),"")</f>
        <v/>
      </c>
      <c r="C155" s="13" t="str">
        <f>IFERROR(IF(SUMIFS(tblDaily[Discharges],tblDaily[EntryDate],DATE(2026,4,28),tblDaily[WardCode],"MAE")=0,"",SUMIFS(tblDaily[Discharges],tblDaily[EntryDate],DATE(2026,4,28),tblDaily[WardCode],"MAE")),"")</f>
        <v/>
      </c>
      <c r="D155" s="13" t="str">
        <f>IFERROR(IF(SUMIFS(tblDaily[Deaths],tblDaily[EntryDate],DATE(2026,4,28),tblDaily[WardCode],"MAE")=0,"",SUMIFS(tblDaily[Deaths],tblDaily[EntryDate],DATE(2026,4,28),tblDaily[WardCode],"MAE")),"")</f>
        <v/>
      </c>
      <c r="E155" s="13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3" t="str">
        <f>IFERROR(IF(SUMIFS(tblDaily[TransfersIn],tblDaily[EntryDate],DATE(2026,4,28),tblDaily[WardCode],"MAE")=0,"",SUMIFS(tblDaily[TransfersIn],tblDaily[EntryDate],DATE(2026,4,28),tblDaily[WardCode],"MAE")),"")</f>
        <v/>
      </c>
      <c r="G155" s="13" t="str">
        <f>IFERROR(IF(SUMIFS(tblDaily[TransfersOut],tblDaily[EntryDate],DATE(2026,4,28),tblDaily[WardCode],"MAE")=0,"",SUMIFS(tblDaily[TransfersOut],tblDaily[EntryDate],DATE(2026,4,28),tblDaily[WardCode],"MAE")),"")</f>
        <v/>
      </c>
      <c r="H155" s="13" t="str">
        <f>IFERROR(IF(SUMIFS(tblDaily[Remaining],tblDaily[EntryDate],DATE(2026,4,28),tblDaily[WardCode],"MAE")=0,"",SUMIFS(tblDaily[Remaining],tblDaily[EntryDate],DATE(2026,4,28),tblDaily[WardCode],"MAE")),"")</f>
        <v/>
      </c>
      <c r="I155" s="13" t="str">
        <f>IFERROR(IF(SUMIFS(tblDaily[Admissions],tblDaily[EntryDate],DATE(2026,4,28),tblDaily[WardCode],"FAE")=0,"",SUMIFS(tblDaily[Admissions],tblDaily[EntryDate],DATE(2026,4,28),tblDaily[WardCode],"FAE")),"")</f>
        <v/>
      </c>
      <c r="J155" s="13" t="str">
        <f>IFERROR(IF(SUMIFS(tblDaily[Discharges],tblDaily[EntryDate],DATE(2026,4,28),tblDaily[WardCode],"FAE")=0,"",SUMIFS(tblDaily[Discharges],tblDaily[EntryDate],DATE(2026,4,28),tblDaily[WardCode],"FAE")),"")</f>
        <v/>
      </c>
      <c r="K155" s="13" t="str">
        <f>IFERROR(IF(SUMIFS(tblDaily[Deaths],tblDaily[EntryDate],DATE(2026,4,28),tblDaily[WardCode],"FAE")=0,"",SUMIFS(tblDaily[Deaths],tblDaily[EntryDate],DATE(2026,4,28),tblDaily[WardCode],"FAE")),"")</f>
        <v/>
      </c>
      <c r="L155" s="13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3" t="str">
        <f>IFERROR(IF(SUMIFS(tblDaily[TransfersIn],tblDaily[EntryDate],DATE(2026,4,28),tblDaily[WardCode],"FAE")=0,"",SUMIFS(tblDaily[TransfersIn],tblDaily[EntryDate],DATE(2026,4,28),tblDaily[WardCode],"FAE")),"")</f>
        <v/>
      </c>
      <c r="N155" s="13" t="str">
        <f>IFERROR(IF(SUMIFS(tblDaily[TransfersOut],tblDaily[EntryDate],DATE(2026,4,28),tblDaily[WardCode],"FAE")=0,"",SUMIFS(tblDaily[TransfersOut],tblDaily[EntryDate],DATE(2026,4,28),tblDaily[WardCode],"FAE")),"")</f>
        <v/>
      </c>
      <c r="O155" s="13" t="str">
        <f>IFERROR(IF(SUMIFS(tblDaily[Remaining],tblDaily[EntryDate],DATE(2026,4,28),tblDaily[WardCode],"FAE")=0,"",SUMIFS(tblDaily[Remaining],tblDaily[EntryDate],DATE(2026,4,28),tblDaily[WardCode],"FAE")),"")</f>
        <v/>
      </c>
    </row>
    <row r="156" spans="1:15" x14ac:dyDescent="0.25">
      <c r="A156" s="13">
        <v>29</v>
      </c>
      <c r="B156" s="13" t="str">
        <f>IFERROR(IF(SUMIFS(tblDaily[Admissions],tblDaily[EntryDate],DATE(2026,4,29),tblDaily[WardCode],"MAE")=0,"",SUMIFS(tblDaily[Admissions],tblDaily[EntryDate],DATE(2026,4,29),tblDaily[WardCode],"MAE")),"")</f>
        <v/>
      </c>
      <c r="C156" s="13" t="str">
        <f>IFERROR(IF(SUMIFS(tblDaily[Discharges],tblDaily[EntryDate],DATE(2026,4,29),tblDaily[WardCode],"MAE")=0,"",SUMIFS(tblDaily[Discharges],tblDaily[EntryDate],DATE(2026,4,29),tblDaily[WardCode],"MAE")),"")</f>
        <v/>
      </c>
      <c r="D156" s="13" t="str">
        <f>IFERROR(IF(SUMIFS(tblDaily[Deaths],tblDaily[EntryDate],DATE(2026,4,29),tblDaily[WardCode],"MAE")=0,"",SUMIFS(tblDaily[Deaths],tblDaily[EntryDate],DATE(2026,4,29),tblDaily[WardCode],"MAE")),"")</f>
        <v/>
      </c>
      <c r="E156" s="13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3" t="str">
        <f>IFERROR(IF(SUMIFS(tblDaily[TransfersIn],tblDaily[EntryDate],DATE(2026,4,29),tblDaily[WardCode],"MAE")=0,"",SUMIFS(tblDaily[TransfersIn],tblDaily[EntryDate],DATE(2026,4,29),tblDaily[WardCode],"MAE")),"")</f>
        <v/>
      </c>
      <c r="G156" s="13" t="str">
        <f>IFERROR(IF(SUMIFS(tblDaily[TransfersOut],tblDaily[EntryDate],DATE(2026,4,29),tblDaily[WardCode],"MAE")=0,"",SUMIFS(tblDaily[TransfersOut],tblDaily[EntryDate],DATE(2026,4,29),tblDaily[WardCode],"MAE")),"")</f>
        <v/>
      </c>
      <c r="H156" s="13" t="str">
        <f>IFERROR(IF(SUMIFS(tblDaily[Remaining],tblDaily[EntryDate],DATE(2026,4,29),tblDaily[WardCode],"MAE")=0,"",SUMIFS(tblDaily[Remaining],tblDaily[EntryDate],DATE(2026,4,29),tblDaily[WardCode],"MAE")),"")</f>
        <v/>
      </c>
      <c r="I156" s="13" t="str">
        <f>IFERROR(IF(SUMIFS(tblDaily[Admissions],tblDaily[EntryDate],DATE(2026,4,29),tblDaily[WardCode],"FAE")=0,"",SUMIFS(tblDaily[Admissions],tblDaily[EntryDate],DATE(2026,4,29),tblDaily[WardCode],"FAE")),"")</f>
        <v/>
      </c>
      <c r="J156" s="13" t="str">
        <f>IFERROR(IF(SUMIFS(tblDaily[Discharges],tblDaily[EntryDate],DATE(2026,4,29),tblDaily[WardCode],"FAE")=0,"",SUMIFS(tblDaily[Discharges],tblDaily[EntryDate],DATE(2026,4,29),tblDaily[WardCode],"FAE")),"")</f>
        <v/>
      </c>
      <c r="K156" s="13" t="str">
        <f>IFERROR(IF(SUMIFS(tblDaily[Deaths],tblDaily[EntryDate],DATE(2026,4,29),tblDaily[WardCode],"FAE")=0,"",SUMIFS(tblDaily[Deaths],tblDaily[EntryDate],DATE(2026,4,29),tblDaily[WardCode],"FAE")),"")</f>
        <v/>
      </c>
      <c r="L156" s="13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3" t="str">
        <f>IFERROR(IF(SUMIFS(tblDaily[TransfersIn],tblDaily[EntryDate],DATE(2026,4,29),tblDaily[WardCode],"FAE")=0,"",SUMIFS(tblDaily[TransfersIn],tblDaily[EntryDate],DATE(2026,4,29),tblDaily[WardCode],"FAE")),"")</f>
        <v/>
      </c>
      <c r="N156" s="13" t="str">
        <f>IFERROR(IF(SUMIFS(tblDaily[TransfersOut],tblDaily[EntryDate],DATE(2026,4,29),tblDaily[WardCode],"FAE")=0,"",SUMIFS(tblDaily[TransfersOut],tblDaily[EntryDate],DATE(2026,4,29),tblDaily[WardCode],"FAE")),"")</f>
        <v/>
      </c>
      <c r="O156" s="13" t="str">
        <f>IFERROR(IF(SUMIFS(tblDaily[Remaining],tblDaily[EntryDate],DATE(2026,4,29),tblDaily[WardCode],"FAE")=0,"",SUMIFS(tblDaily[Remaining],tblDaily[EntryDate],DATE(2026,4,29),tblDaily[WardCode],"FAE")),"")</f>
        <v/>
      </c>
    </row>
    <row r="157" spans="1:15" x14ac:dyDescent="0.25">
      <c r="A157" s="13">
        <v>30</v>
      </c>
      <c r="B157" s="13" t="str">
        <f>IFERROR(IF(SUMIFS(tblDaily[Admissions],tblDaily[EntryDate],DATE(2026,4,30),tblDaily[WardCode],"MAE")=0,"",SUMIFS(tblDaily[Admissions],tblDaily[EntryDate],DATE(2026,4,30),tblDaily[WardCode],"MAE")),"")</f>
        <v/>
      </c>
      <c r="C157" s="13" t="str">
        <f>IFERROR(IF(SUMIFS(tblDaily[Discharges],tblDaily[EntryDate],DATE(2026,4,30),tblDaily[WardCode],"MAE")=0,"",SUMIFS(tblDaily[Discharges],tblDaily[EntryDate],DATE(2026,4,30),tblDaily[WardCode],"MAE")),"")</f>
        <v/>
      </c>
      <c r="D157" s="13" t="str">
        <f>IFERROR(IF(SUMIFS(tblDaily[Deaths],tblDaily[EntryDate],DATE(2026,4,30),tblDaily[WardCode],"MAE")=0,"",SUMIFS(tblDaily[Deaths],tblDaily[EntryDate],DATE(2026,4,30),tblDaily[WardCode],"MAE")),"")</f>
        <v/>
      </c>
      <c r="E157" s="13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3" t="str">
        <f>IFERROR(IF(SUMIFS(tblDaily[TransfersIn],tblDaily[EntryDate],DATE(2026,4,30),tblDaily[WardCode],"MAE")=0,"",SUMIFS(tblDaily[TransfersIn],tblDaily[EntryDate],DATE(2026,4,30),tblDaily[WardCode],"MAE")),"")</f>
        <v/>
      </c>
      <c r="G157" s="13" t="str">
        <f>IFERROR(IF(SUMIFS(tblDaily[TransfersOut],tblDaily[EntryDate],DATE(2026,4,30),tblDaily[WardCode],"MAE")=0,"",SUMIFS(tblDaily[TransfersOut],tblDaily[EntryDate],DATE(2026,4,30),tblDaily[WardCode],"MAE")),"")</f>
        <v/>
      </c>
      <c r="H157" s="13" t="str">
        <f>IFERROR(IF(SUMIFS(tblDaily[Remaining],tblDaily[EntryDate],DATE(2026,4,30),tblDaily[WardCode],"MAE")=0,"",SUMIFS(tblDaily[Remaining],tblDaily[EntryDate],DATE(2026,4,30),tblDaily[WardCode],"MAE")),"")</f>
        <v/>
      </c>
      <c r="I157" s="13" t="str">
        <f>IFERROR(IF(SUMIFS(tblDaily[Admissions],tblDaily[EntryDate],DATE(2026,4,30),tblDaily[WardCode],"FAE")=0,"",SUMIFS(tblDaily[Admissions],tblDaily[EntryDate],DATE(2026,4,30),tblDaily[WardCode],"FAE")),"")</f>
        <v/>
      </c>
      <c r="J157" s="13" t="str">
        <f>IFERROR(IF(SUMIFS(tblDaily[Discharges],tblDaily[EntryDate],DATE(2026,4,30),tblDaily[WardCode],"FAE")=0,"",SUMIFS(tblDaily[Discharges],tblDaily[EntryDate],DATE(2026,4,30),tblDaily[WardCode],"FAE")),"")</f>
        <v/>
      </c>
      <c r="K157" s="13" t="str">
        <f>IFERROR(IF(SUMIFS(tblDaily[Deaths],tblDaily[EntryDate],DATE(2026,4,30),tblDaily[WardCode],"FAE")=0,"",SUMIFS(tblDaily[Deaths],tblDaily[EntryDate],DATE(2026,4,30),tblDaily[WardCode],"FAE")),"")</f>
        <v/>
      </c>
      <c r="L157" s="13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3" t="str">
        <f>IFERROR(IF(SUMIFS(tblDaily[TransfersIn],tblDaily[EntryDate],DATE(2026,4,30),tblDaily[WardCode],"FAE")=0,"",SUMIFS(tblDaily[TransfersIn],tblDaily[EntryDate],DATE(2026,4,30),tblDaily[WardCode],"FAE")),"")</f>
        <v/>
      </c>
      <c r="N157" s="13" t="str">
        <f>IFERROR(IF(SUMIFS(tblDaily[TransfersOut],tblDaily[EntryDate],DATE(2026,4,30),tblDaily[WardCode],"FAE")=0,"",SUMIFS(tblDaily[TransfersOut],tblDaily[EntryDate],DATE(2026,4,30),tblDaily[WardCode],"FAE")),"")</f>
        <v/>
      </c>
      <c r="O157" s="13" t="str">
        <f>IFERROR(IF(SUMIFS(tblDaily[Remaining],tblDaily[EntryDate],DATE(2026,4,30),tblDaily[WardCode],"FAE")=0,"",SUMIFS(tblDaily[Remaining],tblDaily[EntryDate],DATE(2026,4,30),tblDaily[WardCode],"FAE")),"")</f>
        <v/>
      </c>
    </row>
    <row r="158" spans="1:15" x14ac:dyDescent="0.25">
      <c r="A158" s="13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1:15" x14ac:dyDescent="0.25">
      <c r="A159" s="9" t="s">
        <v>110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</row>
    <row r="161" spans="1:15" ht="18.75" x14ac:dyDescent="0.25">
      <c r="A161" s="36" t="s">
        <v>0</v>
      </c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</row>
    <row r="162" spans="1:15" ht="15.75" x14ac:dyDescent="0.25">
      <c r="A162" s="34" t="s">
        <v>99</v>
      </c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</row>
    <row r="163" spans="1:15" x14ac:dyDescent="0.25">
      <c r="A163" s="1" t="s">
        <v>4</v>
      </c>
      <c r="B163" s="2" t="s">
        <v>2</v>
      </c>
      <c r="E163" s="1" t="s">
        <v>100</v>
      </c>
      <c r="F163" s="1" t="s">
        <v>119</v>
      </c>
      <c r="M163" s="1" t="s">
        <v>102</v>
      </c>
      <c r="N163" s="1" t="s">
        <v>62</v>
      </c>
    </row>
    <row r="164" spans="1:15" x14ac:dyDescent="0.25">
      <c r="A164" s="1" t="s">
        <v>103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5" x14ac:dyDescent="0.25">
      <c r="A165" s="1" t="s">
        <v>104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5" x14ac:dyDescent="0.25">
      <c r="A166" s="3" t="s">
        <v>120</v>
      </c>
      <c r="B166" s="35" t="s">
        <v>117</v>
      </c>
      <c r="C166" s="26"/>
      <c r="D166" s="26"/>
      <c r="E166" s="26"/>
      <c r="F166" s="26"/>
      <c r="G166" s="26"/>
      <c r="H166" s="26"/>
      <c r="I166" s="37" t="s">
        <v>118</v>
      </c>
      <c r="J166" s="26"/>
      <c r="K166" s="26"/>
      <c r="L166" s="26"/>
      <c r="M166" s="26"/>
      <c r="N166" s="26"/>
      <c r="O166" s="26"/>
    </row>
    <row r="167" spans="1:15" x14ac:dyDescent="0.25">
      <c r="A167" s="3" t="s">
        <v>120</v>
      </c>
      <c r="B167" s="3" t="s">
        <v>121</v>
      </c>
      <c r="C167" s="3" t="s">
        <v>122</v>
      </c>
      <c r="D167" s="3" t="s">
        <v>123</v>
      </c>
      <c r="E167" s="3" t="s">
        <v>124</v>
      </c>
      <c r="F167" s="3" t="s">
        <v>125</v>
      </c>
      <c r="G167" s="3" t="s">
        <v>126</v>
      </c>
      <c r="H167" s="3" t="s">
        <v>127</v>
      </c>
      <c r="I167" s="3" t="s">
        <v>121</v>
      </c>
      <c r="J167" s="3" t="s">
        <v>122</v>
      </c>
      <c r="K167" s="3" t="s">
        <v>123</v>
      </c>
      <c r="L167" s="3" t="s">
        <v>124</v>
      </c>
      <c r="M167" s="3" t="s">
        <v>125</v>
      </c>
      <c r="N167" s="3" t="s">
        <v>126</v>
      </c>
      <c r="O167" s="3" t="s">
        <v>127</v>
      </c>
    </row>
    <row r="168" spans="1:15" x14ac:dyDescent="0.25">
      <c r="A168" s="13">
        <v>1</v>
      </c>
      <c r="B168" s="13" t="str">
        <f>IFERROR(IF(SUMIFS(tblDaily[Admissions],tblDaily[EntryDate],DATE(2026,5,1),tblDaily[WardCode],"MAE")=0,"",SUMIFS(tblDaily[Admissions],tblDaily[EntryDate],DATE(2026,5,1),tblDaily[WardCode],"MAE")),"")</f>
        <v/>
      </c>
      <c r="C168" s="13" t="str">
        <f>IFERROR(IF(SUMIFS(tblDaily[Discharges],tblDaily[EntryDate],DATE(2026,5,1),tblDaily[WardCode],"MAE")=0,"",SUMIFS(tblDaily[Discharges],tblDaily[EntryDate],DATE(2026,5,1),tblDaily[WardCode],"MAE")),"")</f>
        <v/>
      </c>
      <c r="D168" s="13" t="str">
        <f>IFERROR(IF(SUMIFS(tblDaily[Deaths],tblDaily[EntryDate],DATE(2026,5,1),tblDaily[WardCode],"MAE")=0,"",SUMIFS(tblDaily[Deaths],tblDaily[EntryDate],DATE(2026,5,1),tblDaily[WardCode],"MAE")),"")</f>
        <v/>
      </c>
      <c r="E168" s="13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3" t="str">
        <f>IFERROR(IF(SUMIFS(tblDaily[TransfersIn],tblDaily[EntryDate],DATE(2026,5,1),tblDaily[WardCode],"MAE")=0,"",SUMIFS(tblDaily[TransfersIn],tblDaily[EntryDate],DATE(2026,5,1),tblDaily[WardCode],"MAE")),"")</f>
        <v/>
      </c>
      <c r="G168" s="13" t="str">
        <f>IFERROR(IF(SUMIFS(tblDaily[TransfersOut],tblDaily[EntryDate],DATE(2026,5,1),tblDaily[WardCode],"MAE")=0,"",SUMIFS(tblDaily[TransfersOut],tblDaily[EntryDate],DATE(2026,5,1),tblDaily[WardCode],"MAE")),"")</f>
        <v/>
      </c>
      <c r="H168" s="13" t="str">
        <f>IFERROR(IF(SUMIFS(tblDaily[Remaining],tblDaily[EntryDate],DATE(2026,5,1),tblDaily[WardCode],"MAE")=0,"",SUMIFS(tblDaily[Remaining],tblDaily[EntryDate],DATE(2026,5,1),tblDaily[WardCode],"MAE")),"")</f>
        <v/>
      </c>
      <c r="I168" s="13" t="str">
        <f>IFERROR(IF(SUMIFS(tblDaily[Admissions],tblDaily[EntryDate],DATE(2026,5,1),tblDaily[WardCode],"FAE")=0,"",SUMIFS(tblDaily[Admissions],tblDaily[EntryDate],DATE(2026,5,1),tblDaily[WardCode],"FAE")),"")</f>
        <v/>
      </c>
      <c r="J168" s="13" t="str">
        <f>IFERROR(IF(SUMIFS(tblDaily[Discharges],tblDaily[EntryDate],DATE(2026,5,1),tblDaily[WardCode],"FAE")=0,"",SUMIFS(tblDaily[Discharges],tblDaily[EntryDate],DATE(2026,5,1),tblDaily[WardCode],"FAE")),"")</f>
        <v/>
      </c>
      <c r="K168" s="13" t="str">
        <f>IFERROR(IF(SUMIFS(tblDaily[Deaths],tblDaily[EntryDate],DATE(2026,5,1),tblDaily[WardCode],"FAE")=0,"",SUMIFS(tblDaily[Deaths],tblDaily[EntryDate],DATE(2026,5,1),tblDaily[WardCode],"FAE")),"")</f>
        <v/>
      </c>
      <c r="L168" s="13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3" t="str">
        <f>IFERROR(IF(SUMIFS(tblDaily[TransfersIn],tblDaily[EntryDate],DATE(2026,5,1),tblDaily[WardCode],"FAE")=0,"",SUMIFS(tblDaily[TransfersIn],tblDaily[EntryDate],DATE(2026,5,1),tblDaily[WardCode],"FAE")),"")</f>
        <v/>
      </c>
      <c r="N168" s="13" t="str">
        <f>IFERROR(IF(SUMIFS(tblDaily[TransfersOut],tblDaily[EntryDate],DATE(2026,5,1),tblDaily[WardCode],"FAE")=0,"",SUMIFS(tblDaily[TransfersOut],tblDaily[EntryDate],DATE(2026,5,1),tblDaily[WardCode],"FAE")),"")</f>
        <v/>
      </c>
      <c r="O168" s="13" t="str">
        <f>IFERROR(IF(SUMIFS(tblDaily[Remaining],tblDaily[EntryDate],DATE(2026,5,1),tblDaily[WardCode],"FAE")=0,"",SUMIFS(tblDaily[Remaining],tblDaily[EntryDate],DATE(2026,5,1),tblDaily[WardCode],"FAE")),"")</f>
        <v/>
      </c>
    </row>
    <row r="169" spans="1:15" x14ac:dyDescent="0.25">
      <c r="A169" s="13">
        <v>2</v>
      </c>
      <c r="B169" s="13" t="str">
        <f>IFERROR(IF(SUMIFS(tblDaily[Admissions],tblDaily[EntryDate],DATE(2026,5,2),tblDaily[WardCode],"MAE")=0,"",SUMIFS(tblDaily[Admissions],tblDaily[EntryDate],DATE(2026,5,2),tblDaily[WardCode],"MAE")),"")</f>
        <v/>
      </c>
      <c r="C169" s="13" t="str">
        <f>IFERROR(IF(SUMIFS(tblDaily[Discharges],tblDaily[EntryDate],DATE(2026,5,2),tblDaily[WardCode],"MAE")=0,"",SUMIFS(tblDaily[Discharges],tblDaily[EntryDate],DATE(2026,5,2),tblDaily[WardCode],"MAE")),"")</f>
        <v/>
      </c>
      <c r="D169" s="13" t="str">
        <f>IFERROR(IF(SUMIFS(tblDaily[Deaths],tblDaily[EntryDate],DATE(2026,5,2),tblDaily[WardCode],"MAE")=0,"",SUMIFS(tblDaily[Deaths],tblDaily[EntryDate],DATE(2026,5,2),tblDaily[WardCode],"MAE")),"")</f>
        <v/>
      </c>
      <c r="E169" s="13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3" t="str">
        <f>IFERROR(IF(SUMIFS(tblDaily[TransfersIn],tblDaily[EntryDate],DATE(2026,5,2),tblDaily[WardCode],"MAE")=0,"",SUMIFS(tblDaily[TransfersIn],tblDaily[EntryDate],DATE(2026,5,2),tblDaily[WardCode],"MAE")),"")</f>
        <v/>
      </c>
      <c r="G169" s="13" t="str">
        <f>IFERROR(IF(SUMIFS(tblDaily[TransfersOut],tblDaily[EntryDate],DATE(2026,5,2),tblDaily[WardCode],"MAE")=0,"",SUMIFS(tblDaily[TransfersOut],tblDaily[EntryDate],DATE(2026,5,2),tblDaily[WardCode],"MAE")),"")</f>
        <v/>
      </c>
      <c r="H169" s="13" t="str">
        <f>IFERROR(IF(SUMIFS(tblDaily[Remaining],tblDaily[EntryDate],DATE(2026,5,2),tblDaily[WardCode],"MAE")=0,"",SUMIFS(tblDaily[Remaining],tblDaily[EntryDate],DATE(2026,5,2),tblDaily[WardCode],"MAE")),"")</f>
        <v/>
      </c>
      <c r="I169" s="13" t="str">
        <f>IFERROR(IF(SUMIFS(tblDaily[Admissions],tblDaily[EntryDate],DATE(2026,5,2),tblDaily[WardCode],"FAE")=0,"",SUMIFS(tblDaily[Admissions],tblDaily[EntryDate],DATE(2026,5,2),tblDaily[WardCode],"FAE")),"")</f>
        <v/>
      </c>
      <c r="J169" s="13" t="str">
        <f>IFERROR(IF(SUMIFS(tblDaily[Discharges],tblDaily[EntryDate],DATE(2026,5,2),tblDaily[WardCode],"FAE")=0,"",SUMIFS(tblDaily[Discharges],tblDaily[EntryDate],DATE(2026,5,2),tblDaily[WardCode],"FAE")),"")</f>
        <v/>
      </c>
      <c r="K169" s="13" t="str">
        <f>IFERROR(IF(SUMIFS(tblDaily[Deaths],tblDaily[EntryDate],DATE(2026,5,2),tblDaily[WardCode],"FAE")=0,"",SUMIFS(tblDaily[Deaths],tblDaily[EntryDate],DATE(2026,5,2),tblDaily[WardCode],"FAE")),"")</f>
        <v/>
      </c>
      <c r="L169" s="13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3" t="str">
        <f>IFERROR(IF(SUMIFS(tblDaily[TransfersIn],tblDaily[EntryDate],DATE(2026,5,2),tblDaily[WardCode],"FAE")=0,"",SUMIFS(tblDaily[TransfersIn],tblDaily[EntryDate],DATE(2026,5,2),tblDaily[WardCode],"FAE")),"")</f>
        <v/>
      </c>
      <c r="N169" s="13" t="str">
        <f>IFERROR(IF(SUMIFS(tblDaily[TransfersOut],tblDaily[EntryDate],DATE(2026,5,2),tblDaily[WardCode],"FAE")=0,"",SUMIFS(tblDaily[TransfersOut],tblDaily[EntryDate],DATE(2026,5,2),tblDaily[WardCode],"FAE")),"")</f>
        <v/>
      </c>
      <c r="O169" s="13" t="str">
        <f>IFERROR(IF(SUMIFS(tblDaily[Remaining],tblDaily[EntryDate],DATE(2026,5,2),tblDaily[WardCode],"FAE")=0,"",SUMIFS(tblDaily[Remaining],tblDaily[EntryDate],DATE(2026,5,2),tblDaily[WardCode],"FAE")),"")</f>
        <v/>
      </c>
    </row>
    <row r="170" spans="1:15" x14ac:dyDescent="0.25">
      <c r="A170" s="13">
        <v>3</v>
      </c>
      <c r="B170" s="13" t="str">
        <f>IFERROR(IF(SUMIFS(tblDaily[Admissions],tblDaily[EntryDate],DATE(2026,5,3),tblDaily[WardCode],"MAE")=0,"",SUMIFS(tblDaily[Admissions],tblDaily[EntryDate],DATE(2026,5,3),tblDaily[WardCode],"MAE")),"")</f>
        <v/>
      </c>
      <c r="C170" s="13" t="str">
        <f>IFERROR(IF(SUMIFS(tblDaily[Discharges],tblDaily[EntryDate],DATE(2026,5,3),tblDaily[WardCode],"MAE")=0,"",SUMIFS(tblDaily[Discharges],tblDaily[EntryDate],DATE(2026,5,3),tblDaily[WardCode],"MAE")),"")</f>
        <v/>
      </c>
      <c r="D170" s="13" t="str">
        <f>IFERROR(IF(SUMIFS(tblDaily[Deaths],tblDaily[EntryDate],DATE(2026,5,3),tblDaily[WardCode],"MAE")=0,"",SUMIFS(tblDaily[Deaths],tblDaily[EntryDate],DATE(2026,5,3),tblDaily[WardCode],"MAE")),"")</f>
        <v/>
      </c>
      <c r="E170" s="13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3" t="str">
        <f>IFERROR(IF(SUMIFS(tblDaily[TransfersIn],tblDaily[EntryDate],DATE(2026,5,3),tblDaily[WardCode],"MAE")=0,"",SUMIFS(tblDaily[TransfersIn],tblDaily[EntryDate],DATE(2026,5,3),tblDaily[WardCode],"MAE")),"")</f>
        <v/>
      </c>
      <c r="G170" s="13" t="str">
        <f>IFERROR(IF(SUMIFS(tblDaily[TransfersOut],tblDaily[EntryDate],DATE(2026,5,3),tblDaily[WardCode],"MAE")=0,"",SUMIFS(tblDaily[TransfersOut],tblDaily[EntryDate],DATE(2026,5,3),tblDaily[WardCode],"MAE")),"")</f>
        <v/>
      </c>
      <c r="H170" s="13" t="str">
        <f>IFERROR(IF(SUMIFS(tblDaily[Remaining],tblDaily[EntryDate],DATE(2026,5,3),tblDaily[WardCode],"MAE")=0,"",SUMIFS(tblDaily[Remaining],tblDaily[EntryDate],DATE(2026,5,3),tblDaily[WardCode],"MAE")),"")</f>
        <v/>
      </c>
      <c r="I170" s="13" t="str">
        <f>IFERROR(IF(SUMIFS(tblDaily[Admissions],tblDaily[EntryDate],DATE(2026,5,3),tblDaily[WardCode],"FAE")=0,"",SUMIFS(tblDaily[Admissions],tblDaily[EntryDate],DATE(2026,5,3),tblDaily[WardCode],"FAE")),"")</f>
        <v/>
      </c>
      <c r="J170" s="13" t="str">
        <f>IFERROR(IF(SUMIFS(tblDaily[Discharges],tblDaily[EntryDate],DATE(2026,5,3),tblDaily[WardCode],"FAE")=0,"",SUMIFS(tblDaily[Discharges],tblDaily[EntryDate],DATE(2026,5,3),tblDaily[WardCode],"FAE")),"")</f>
        <v/>
      </c>
      <c r="K170" s="13" t="str">
        <f>IFERROR(IF(SUMIFS(tblDaily[Deaths],tblDaily[EntryDate],DATE(2026,5,3),tblDaily[WardCode],"FAE")=0,"",SUMIFS(tblDaily[Deaths],tblDaily[EntryDate],DATE(2026,5,3),tblDaily[WardCode],"FAE")),"")</f>
        <v/>
      </c>
      <c r="L170" s="13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3" t="str">
        <f>IFERROR(IF(SUMIFS(tblDaily[TransfersIn],tblDaily[EntryDate],DATE(2026,5,3),tblDaily[WardCode],"FAE")=0,"",SUMIFS(tblDaily[TransfersIn],tblDaily[EntryDate],DATE(2026,5,3),tblDaily[WardCode],"FAE")),"")</f>
        <v/>
      </c>
      <c r="N170" s="13" t="str">
        <f>IFERROR(IF(SUMIFS(tblDaily[TransfersOut],tblDaily[EntryDate],DATE(2026,5,3),tblDaily[WardCode],"FAE")=0,"",SUMIFS(tblDaily[TransfersOut],tblDaily[EntryDate],DATE(2026,5,3),tblDaily[WardCode],"FAE")),"")</f>
        <v/>
      </c>
      <c r="O170" s="13" t="str">
        <f>IFERROR(IF(SUMIFS(tblDaily[Remaining],tblDaily[EntryDate],DATE(2026,5,3),tblDaily[WardCode],"FAE")=0,"",SUMIFS(tblDaily[Remaining],tblDaily[EntryDate],DATE(2026,5,3),tblDaily[WardCode],"FAE")),"")</f>
        <v/>
      </c>
    </row>
    <row r="171" spans="1:15" x14ac:dyDescent="0.25">
      <c r="A171" s="13">
        <v>4</v>
      </c>
      <c r="B171" s="13" t="str">
        <f>IFERROR(IF(SUMIFS(tblDaily[Admissions],tblDaily[EntryDate],DATE(2026,5,4),tblDaily[WardCode],"MAE")=0,"",SUMIFS(tblDaily[Admissions],tblDaily[EntryDate],DATE(2026,5,4),tblDaily[WardCode],"MAE")),"")</f>
        <v/>
      </c>
      <c r="C171" s="13" t="str">
        <f>IFERROR(IF(SUMIFS(tblDaily[Discharges],tblDaily[EntryDate],DATE(2026,5,4),tblDaily[WardCode],"MAE")=0,"",SUMIFS(tblDaily[Discharges],tblDaily[EntryDate],DATE(2026,5,4),tblDaily[WardCode],"MAE")),"")</f>
        <v/>
      </c>
      <c r="D171" s="13" t="str">
        <f>IFERROR(IF(SUMIFS(tblDaily[Deaths],tblDaily[EntryDate],DATE(2026,5,4),tblDaily[WardCode],"MAE")=0,"",SUMIFS(tblDaily[Deaths],tblDaily[EntryDate],DATE(2026,5,4),tblDaily[WardCode],"MAE")),"")</f>
        <v/>
      </c>
      <c r="E171" s="13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3" t="str">
        <f>IFERROR(IF(SUMIFS(tblDaily[TransfersIn],tblDaily[EntryDate],DATE(2026,5,4),tblDaily[WardCode],"MAE")=0,"",SUMIFS(tblDaily[TransfersIn],tblDaily[EntryDate],DATE(2026,5,4),tblDaily[WardCode],"MAE")),"")</f>
        <v/>
      </c>
      <c r="G171" s="13" t="str">
        <f>IFERROR(IF(SUMIFS(tblDaily[TransfersOut],tblDaily[EntryDate],DATE(2026,5,4),tblDaily[WardCode],"MAE")=0,"",SUMIFS(tblDaily[TransfersOut],tblDaily[EntryDate],DATE(2026,5,4),tblDaily[WardCode],"MAE")),"")</f>
        <v/>
      </c>
      <c r="H171" s="13" t="str">
        <f>IFERROR(IF(SUMIFS(tblDaily[Remaining],tblDaily[EntryDate],DATE(2026,5,4),tblDaily[WardCode],"MAE")=0,"",SUMIFS(tblDaily[Remaining],tblDaily[EntryDate],DATE(2026,5,4),tblDaily[WardCode],"MAE")),"")</f>
        <v/>
      </c>
      <c r="I171" s="13" t="str">
        <f>IFERROR(IF(SUMIFS(tblDaily[Admissions],tblDaily[EntryDate],DATE(2026,5,4),tblDaily[WardCode],"FAE")=0,"",SUMIFS(tblDaily[Admissions],tblDaily[EntryDate],DATE(2026,5,4),tblDaily[WardCode],"FAE")),"")</f>
        <v/>
      </c>
      <c r="J171" s="13" t="str">
        <f>IFERROR(IF(SUMIFS(tblDaily[Discharges],tblDaily[EntryDate],DATE(2026,5,4),tblDaily[WardCode],"FAE")=0,"",SUMIFS(tblDaily[Discharges],tblDaily[EntryDate],DATE(2026,5,4),tblDaily[WardCode],"FAE")),"")</f>
        <v/>
      </c>
      <c r="K171" s="13" t="str">
        <f>IFERROR(IF(SUMIFS(tblDaily[Deaths],tblDaily[EntryDate],DATE(2026,5,4),tblDaily[WardCode],"FAE")=0,"",SUMIFS(tblDaily[Deaths],tblDaily[EntryDate],DATE(2026,5,4),tblDaily[WardCode],"FAE")),"")</f>
        <v/>
      </c>
      <c r="L171" s="13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3" t="str">
        <f>IFERROR(IF(SUMIFS(tblDaily[TransfersIn],tblDaily[EntryDate],DATE(2026,5,4),tblDaily[WardCode],"FAE")=0,"",SUMIFS(tblDaily[TransfersIn],tblDaily[EntryDate],DATE(2026,5,4),tblDaily[WardCode],"FAE")),"")</f>
        <v/>
      </c>
      <c r="N171" s="13" t="str">
        <f>IFERROR(IF(SUMIFS(tblDaily[TransfersOut],tblDaily[EntryDate],DATE(2026,5,4),tblDaily[WardCode],"FAE")=0,"",SUMIFS(tblDaily[TransfersOut],tblDaily[EntryDate],DATE(2026,5,4),tblDaily[WardCode],"FAE")),"")</f>
        <v/>
      </c>
      <c r="O171" s="13" t="str">
        <f>IFERROR(IF(SUMIFS(tblDaily[Remaining],tblDaily[EntryDate],DATE(2026,5,4),tblDaily[WardCode],"FAE")=0,"",SUMIFS(tblDaily[Remaining],tblDaily[EntryDate],DATE(2026,5,4),tblDaily[WardCode],"FAE")),"")</f>
        <v/>
      </c>
    </row>
    <row r="172" spans="1:15" x14ac:dyDescent="0.25">
      <c r="A172" s="13">
        <v>5</v>
      </c>
      <c r="B172" s="13" t="str">
        <f>IFERROR(IF(SUMIFS(tblDaily[Admissions],tblDaily[EntryDate],DATE(2026,5,5),tblDaily[WardCode],"MAE")=0,"",SUMIFS(tblDaily[Admissions],tblDaily[EntryDate],DATE(2026,5,5),tblDaily[WardCode],"MAE")),"")</f>
        <v/>
      </c>
      <c r="C172" s="13" t="str">
        <f>IFERROR(IF(SUMIFS(tblDaily[Discharges],tblDaily[EntryDate],DATE(2026,5,5),tblDaily[WardCode],"MAE")=0,"",SUMIFS(tblDaily[Discharges],tblDaily[EntryDate],DATE(2026,5,5),tblDaily[WardCode],"MAE")),"")</f>
        <v/>
      </c>
      <c r="D172" s="13" t="str">
        <f>IFERROR(IF(SUMIFS(tblDaily[Deaths],tblDaily[EntryDate],DATE(2026,5,5),tblDaily[WardCode],"MAE")=0,"",SUMIFS(tblDaily[Deaths],tblDaily[EntryDate],DATE(2026,5,5),tblDaily[WardCode],"MAE")),"")</f>
        <v/>
      </c>
      <c r="E172" s="13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3" t="str">
        <f>IFERROR(IF(SUMIFS(tblDaily[TransfersIn],tblDaily[EntryDate],DATE(2026,5,5),tblDaily[WardCode],"MAE")=0,"",SUMIFS(tblDaily[TransfersIn],tblDaily[EntryDate],DATE(2026,5,5),tblDaily[WardCode],"MAE")),"")</f>
        <v/>
      </c>
      <c r="G172" s="13" t="str">
        <f>IFERROR(IF(SUMIFS(tblDaily[TransfersOut],tblDaily[EntryDate],DATE(2026,5,5),tblDaily[WardCode],"MAE")=0,"",SUMIFS(tblDaily[TransfersOut],tblDaily[EntryDate],DATE(2026,5,5),tblDaily[WardCode],"MAE")),"")</f>
        <v/>
      </c>
      <c r="H172" s="13" t="str">
        <f>IFERROR(IF(SUMIFS(tblDaily[Remaining],tblDaily[EntryDate],DATE(2026,5,5),tblDaily[WardCode],"MAE")=0,"",SUMIFS(tblDaily[Remaining],tblDaily[EntryDate],DATE(2026,5,5),tblDaily[WardCode],"MAE")),"")</f>
        <v/>
      </c>
      <c r="I172" s="13" t="str">
        <f>IFERROR(IF(SUMIFS(tblDaily[Admissions],tblDaily[EntryDate],DATE(2026,5,5),tblDaily[WardCode],"FAE")=0,"",SUMIFS(tblDaily[Admissions],tblDaily[EntryDate],DATE(2026,5,5),tblDaily[WardCode],"FAE")),"")</f>
        <v/>
      </c>
      <c r="J172" s="13" t="str">
        <f>IFERROR(IF(SUMIFS(tblDaily[Discharges],tblDaily[EntryDate],DATE(2026,5,5),tblDaily[WardCode],"FAE")=0,"",SUMIFS(tblDaily[Discharges],tblDaily[EntryDate],DATE(2026,5,5),tblDaily[WardCode],"FAE")),"")</f>
        <v/>
      </c>
      <c r="K172" s="13" t="str">
        <f>IFERROR(IF(SUMIFS(tblDaily[Deaths],tblDaily[EntryDate],DATE(2026,5,5),tblDaily[WardCode],"FAE")=0,"",SUMIFS(tblDaily[Deaths],tblDaily[EntryDate],DATE(2026,5,5),tblDaily[WardCode],"FAE")),"")</f>
        <v/>
      </c>
      <c r="L172" s="13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3" t="str">
        <f>IFERROR(IF(SUMIFS(tblDaily[TransfersIn],tblDaily[EntryDate],DATE(2026,5,5),tblDaily[WardCode],"FAE")=0,"",SUMIFS(tblDaily[TransfersIn],tblDaily[EntryDate],DATE(2026,5,5),tblDaily[WardCode],"FAE")),"")</f>
        <v/>
      </c>
      <c r="N172" s="13" t="str">
        <f>IFERROR(IF(SUMIFS(tblDaily[TransfersOut],tblDaily[EntryDate],DATE(2026,5,5),tblDaily[WardCode],"FAE")=0,"",SUMIFS(tblDaily[TransfersOut],tblDaily[EntryDate],DATE(2026,5,5),tblDaily[WardCode],"FAE")),"")</f>
        <v/>
      </c>
      <c r="O172" s="13" t="str">
        <f>IFERROR(IF(SUMIFS(tblDaily[Remaining],tblDaily[EntryDate],DATE(2026,5,5),tblDaily[WardCode],"FAE")=0,"",SUMIFS(tblDaily[Remaining],tblDaily[EntryDate],DATE(2026,5,5),tblDaily[WardCode],"FAE")),"")</f>
        <v/>
      </c>
    </row>
    <row r="173" spans="1:15" x14ac:dyDescent="0.25">
      <c r="A173" s="13">
        <v>6</v>
      </c>
      <c r="B173" s="13" t="str">
        <f>IFERROR(IF(SUMIFS(tblDaily[Admissions],tblDaily[EntryDate],DATE(2026,5,6),tblDaily[WardCode],"MAE")=0,"",SUMIFS(tblDaily[Admissions],tblDaily[EntryDate],DATE(2026,5,6),tblDaily[WardCode],"MAE")),"")</f>
        <v/>
      </c>
      <c r="C173" s="13" t="str">
        <f>IFERROR(IF(SUMIFS(tblDaily[Discharges],tblDaily[EntryDate],DATE(2026,5,6),tblDaily[WardCode],"MAE")=0,"",SUMIFS(tblDaily[Discharges],tblDaily[EntryDate],DATE(2026,5,6),tblDaily[WardCode],"MAE")),"")</f>
        <v/>
      </c>
      <c r="D173" s="13" t="str">
        <f>IFERROR(IF(SUMIFS(tblDaily[Deaths],tblDaily[EntryDate],DATE(2026,5,6),tblDaily[WardCode],"MAE")=0,"",SUMIFS(tblDaily[Deaths],tblDaily[EntryDate],DATE(2026,5,6),tblDaily[WardCode],"MAE")),"")</f>
        <v/>
      </c>
      <c r="E173" s="13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3" t="str">
        <f>IFERROR(IF(SUMIFS(tblDaily[TransfersIn],tblDaily[EntryDate],DATE(2026,5,6),tblDaily[WardCode],"MAE")=0,"",SUMIFS(tblDaily[TransfersIn],tblDaily[EntryDate],DATE(2026,5,6),tblDaily[WardCode],"MAE")),"")</f>
        <v/>
      </c>
      <c r="G173" s="13" t="str">
        <f>IFERROR(IF(SUMIFS(tblDaily[TransfersOut],tblDaily[EntryDate],DATE(2026,5,6),tblDaily[WardCode],"MAE")=0,"",SUMIFS(tblDaily[TransfersOut],tblDaily[EntryDate],DATE(2026,5,6),tblDaily[WardCode],"MAE")),"")</f>
        <v/>
      </c>
      <c r="H173" s="13" t="str">
        <f>IFERROR(IF(SUMIFS(tblDaily[Remaining],tblDaily[EntryDate],DATE(2026,5,6),tblDaily[WardCode],"MAE")=0,"",SUMIFS(tblDaily[Remaining],tblDaily[EntryDate],DATE(2026,5,6),tblDaily[WardCode],"MAE")),"")</f>
        <v/>
      </c>
      <c r="I173" s="13" t="str">
        <f>IFERROR(IF(SUMIFS(tblDaily[Admissions],tblDaily[EntryDate],DATE(2026,5,6),tblDaily[WardCode],"FAE")=0,"",SUMIFS(tblDaily[Admissions],tblDaily[EntryDate],DATE(2026,5,6),tblDaily[WardCode],"FAE")),"")</f>
        <v/>
      </c>
      <c r="J173" s="13" t="str">
        <f>IFERROR(IF(SUMIFS(tblDaily[Discharges],tblDaily[EntryDate],DATE(2026,5,6),tblDaily[WardCode],"FAE")=0,"",SUMIFS(tblDaily[Discharges],tblDaily[EntryDate],DATE(2026,5,6),tblDaily[WardCode],"FAE")),"")</f>
        <v/>
      </c>
      <c r="K173" s="13" t="str">
        <f>IFERROR(IF(SUMIFS(tblDaily[Deaths],tblDaily[EntryDate],DATE(2026,5,6),tblDaily[WardCode],"FAE")=0,"",SUMIFS(tblDaily[Deaths],tblDaily[EntryDate],DATE(2026,5,6),tblDaily[WardCode],"FAE")),"")</f>
        <v/>
      </c>
      <c r="L173" s="13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3" t="str">
        <f>IFERROR(IF(SUMIFS(tblDaily[TransfersIn],tblDaily[EntryDate],DATE(2026,5,6),tblDaily[WardCode],"FAE")=0,"",SUMIFS(tblDaily[TransfersIn],tblDaily[EntryDate],DATE(2026,5,6),tblDaily[WardCode],"FAE")),"")</f>
        <v/>
      </c>
      <c r="N173" s="13" t="str">
        <f>IFERROR(IF(SUMIFS(tblDaily[TransfersOut],tblDaily[EntryDate],DATE(2026,5,6),tblDaily[WardCode],"FAE")=0,"",SUMIFS(tblDaily[TransfersOut],tblDaily[EntryDate],DATE(2026,5,6),tblDaily[WardCode],"FAE")),"")</f>
        <v/>
      </c>
      <c r="O173" s="13" t="str">
        <f>IFERROR(IF(SUMIFS(tblDaily[Remaining],tblDaily[EntryDate],DATE(2026,5,6),tblDaily[WardCode],"FAE")=0,"",SUMIFS(tblDaily[Remaining],tblDaily[EntryDate],DATE(2026,5,6),tblDaily[WardCode],"FAE")),"")</f>
        <v/>
      </c>
    </row>
    <row r="174" spans="1:15" x14ac:dyDescent="0.25">
      <c r="A174" s="13">
        <v>7</v>
      </c>
      <c r="B174" s="13" t="str">
        <f>IFERROR(IF(SUMIFS(tblDaily[Admissions],tblDaily[EntryDate],DATE(2026,5,7),tblDaily[WardCode],"MAE")=0,"",SUMIFS(tblDaily[Admissions],tblDaily[EntryDate],DATE(2026,5,7),tblDaily[WardCode],"MAE")),"")</f>
        <v/>
      </c>
      <c r="C174" s="13" t="str">
        <f>IFERROR(IF(SUMIFS(tblDaily[Discharges],tblDaily[EntryDate],DATE(2026,5,7),tblDaily[WardCode],"MAE")=0,"",SUMIFS(tblDaily[Discharges],tblDaily[EntryDate],DATE(2026,5,7),tblDaily[WardCode],"MAE")),"")</f>
        <v/>
      </c>
      <c r="D174" s="13" t="str">
        <f>IFERROR(IF(SUMIFS(tblDaily[Deaths],tblDaily[EntryDate],DATE(2026,5,7),tblDaily[WardCode],"MAE")=0,"",SUMIFS(tblDaily[Deaths],tblDaily[EntryDate],DATE(2026,5,7),tblDaily[WardCode],"MAE")),"")</f>
        <v/>
      </c>
      <c r="E174" s="13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3" t="str">
        <f>IFERROR(IF(SUMIFS(tblDaily[TransfersIn],tblDaily[EntryDate],DATE(2026,5,7),tblDaily[WardCode],"MAE")=0,"",SUMIFS(tblDaily[TransfersIn],tblDaily[EntryDate],DATE(2026,5,7),tblDaily[WardCode],"MAE")),"")</f>
        <v/>
      </c>
      <c r="G174" s="13" t="str">
        <f>IFERROR(IF(SUMIFS(tblDaily[TransfersOut],tblDaily[EntryDate],DATE(2026,5,7),tblDaily[WardCode],"MAE")=0,"",SUMIFS(tblDaily[TransfersOut],tblDaily[EntryDate],DATE(2026,5,7),tblDaily[WardCode],"MAE")),"")</f>
        <v/>
      </c>
      <c r="H174" s="13" t="str">
        <f>IFERROR(IF(SUMIFS(tblDaily[Remaining],tblDaily[EntryDate],DATE(2026,5,7),tblDaily[WardCode],"MAE")=0,"",SUMIFS(tblDaily[Remaining],tblDaily[EntryDate],DATE(2026,5,7),tblDaily[WardCode],"MAE")),"")</f>
        <v/>
      </c>
      <c r="I174" s="13" t="str">
        <f>IFERROR(IF(SUMIFS(tblDaily[Admissions],tblDaily[EntryDate],DATE(2026,5,7),tblDaily[WardCode],"FAE")=0,"",SUMIFS(tblDaily[Admissions],tblDaily[EntryDate],DATE(2026,5,7),tblDaily[WardCode],"FAE")),"")</f>
        <v/>
      </c>
      <c r="J174" s="13" t="str">
        <f>IFERROR(IF(SUMIFS(tblDaily[Discharges],tblDaily[EntryDate],DATE(2026,5,7),tblDaily[WardCode],"FAE")=0,"",SUMIFS(tblDaily[Discharges],tblDaily[EntryDate],DATE(2026,5,7),tblDaily[WardCode],"FAE")),"")</f>
        <v/>
      </c>
      <c r="K174" s="13" t="str">
        <f>IFERROR(IF(SUMIFS(tblDaily[Deaths],tblDaily[EntryDate],DATE(2026,5,7),tblDaily[WardCode],"FAE")=0,"",SUMIFS(tblDaily[Deaths],tblDaily[EntryDate],DATE(2026,5,7),tblDaily[WardCode],"FAE")),"")</f>
        <v/>
      </c>
      <c r="L174" s="13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3" t="str">
        <f>IFERROR(IF(SUMIFS(tblDaily[TransfersIn],tblDaily[EntryDate],DATE(2026,5,7),tblDaily[WardCode],"FAE")=0,"",SUMIFS(tblDaily[TransfersIn],tblDaily[EntryDate],DATE(2026,5,7),tblDaily[WardCode],"FAE")),"")</f>
        <v/>
      </c>
      <c r="N174" s="13" t="str">
        <f>IFERROR(IF(SUMIFS(tblDaily[TransfersOut],tblDaily[EntryDate],DATE(2026,5,7),tblDaily[WardCode],"FAE")=0,"",SUMIFS(tblDaily[TransfersOut],tblDaily[EntryDate],DATE(2026,5,7),tblDaily[WardCode],"FAE")),"")</f>
        <v/>
      </c>
      <c r="O174" s="13" t="str">
        <f>IFERROR(IF(SUMIFS(tblDaily[Remaining],tblDaily[EntryDate],DATE(2026,5,7),tblDaily[WardCode],"FAE")=0,"",SUMIFS(tblDaily[Remaining],tblDaily[EntryDate],DATE(2026,5,7),tblDaily[WardCode],"FAE")),"")</f>
        <v/>
      </c>
    </row>
    <row r="175" spans="1:15" x14ac:dyDescent="0.25">
      <c r="A175" s="13">
        <v>8</v>
      </c>
      <c r="B175" s="13" t="str">
        <f>IFERROR(IF(SUMIFS(tblDaily[Admissions],tblDaily[EntryDate],DATE(2026,5,8),tblDaily[WardCode],"MAE")=0,"",SUMIFS(tblDaily[Admissions],tblDaily[EntryDate],DATE(2026,5,8),tblDaily[WardCode],"MAE")),"")</f>
        <v/>
      </c>
      <c r="C175" s="13" t="str">
        <f>IFERROR(IF(SUMIFS(tblDaily[Discharges],tblDaily[EntryDate],DATE(2026,5,8),tblDaily[WardCode],"MAE")=0,"",SUMIFS(tblDaily[Discharges],tblDaily[EntryDate],DATE(2026,5,8),tblDaily[WardCode],"MAE")),"")</f>
        <v/>
      </c>
      <c r="D175" s="13" t="str">
        <f>IFERROR(IF(SUMIFS(tblDaily[Deaths],tblDaily[EntryDate],DATE(2026,5,8),tblDaily[WardCode],"MAE")=0,"",SUMIFS(tblDaily[Deaths],tblDaily[EntryDate],DATE(2026,5,8),tblDaily[WardCode],"MAE")),"")</f>
        <v/>
      </c>
      <c r="E175" s="13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3" t="str">
        <f>IFERROR(IF(SUMIFS(tblDaily[TransfersIn],tblDaily[EntryDate],DATE(2026,5,8),tblDaily[WardCode],"MAE")=0,"",SUMIFS(tblDaily[TransfersIn],tblDaily[EntryDate],DATE(2026,5,8),tblDaily[WardCode],"MAE")),"")</f>
        <v/>
      </c>
      <c r="G175" s="13" t="str">
        <f>IFERROR(IF(SUMIFS(tblDaily[TransfersOut],tblDaily[EntryDate],DATE(2026,5,8),tblDaily[WardCode],"MAE")=0,"",SUMIFS(tblDaily[TransfersOut],tblDaily[EntryDate],DATE(2026,5,8),tblDaily[WardCode],"MAE")),"")</f>
        <v/>
      </c>
      <c r="H175" s="13" t="str">
        <f>IFERROR(IF(SUMIFS(tblDaily[Remaining],tblDaily[EntryDate],DATE(2026,5,8),tblDaily[WardCode],"MAE")=0,"",SUMIFS(tblDaily[Remaining],tblDaily[EntryDate],DATE(2026,5,8),tblDaily[WardCode],"MAE")),"")</f>
        <v/>
      </c>
      <c r="I175" s="13" t="str">
        <f>IFERROR(IF(SUMIFS(tblDaily[Admissions],tblDaily[EntryDate],DATE(2026,5,8),tblDaily[WardCode],"FAE")=0,"",SUMIFS(tblDaily[Admissions],tblDaily[EntryDate],DATE(2026,5,8),tblDaily[WardCode],"FAE")),"")</f>
        <v/>
      </c>
      <c r="J175" s="13" t="str">
        <f>IFERROR(IF(SUMIFS(tblDaily[Discharges],tblDaily[EntryDate],DATE(2026,5,8),tblDaily[WardCode],"FAE")=0,"",SUMIFS(tblDaily[Discharges],tblDaily[EntryDate],DATE(2026,5,8),tblDaily[WardCode],"FAE")),"")</f>
        <v/>
      </c>
      <c r="K175" s="13" t="str">
        <f>IFERROR(IF(SUMIFS(tblDaily[Deaths],tblDaily[EntryDate],DATE(2026,5,8),tblDaily[WardCode],"FAE")=0,"",SUMIFS(tblDaily[Deaths],tblDaily[EntryDate],DATE(2026,5,8),tblDaily[WardCode],"FAE")),"")</f>
        <v/>
      </c>
      <c r="L175" s="13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3" t="str">
        <f>IFERROR(IF(SUMIFS(tblDaily[TransfersIn],tblDaily[EntryDate],DATE(2026,5,8),tblDaily[WardCode],"FAE")=0,"",SUMIFS(tblDaily[TransfersIn],tblDaily[EntryDate],DATE(2026,5,8),tblDaily[WardCode],"FAE")),"")</f>
        <v/>
      </c>
      <c r="N175" s="13" t="str">
        <f>IFERROR(IF(SUMIFS(tblDaily[TransfersOut],tblDaily[EntryDate],DATE(2026,5,8),tblDaily[WardCode],"FAE")=0,"",SUMIFS(tblDaily[TransfersOut],tblDaily[EntryDate],DATE(2026,5,8),tblDaily[WardCode],"FAE")),"")</f>
        <v/>
      </c>
      <c r="O175" s="13" t="str">
        <f>IFERROR(IF(SUMIFS(tblDaily[Remaining],tblDaily[EntryDate],DATE(2026,5,8),tblDaily[WardCode],"FAE")=0,"",SUMIFS(tblDaily[Remaining],tblDaily[EntryDate],DATE(2026,5,8),tblDaily[WardCode],"FAE")),"")</f>
        <v/>
      </c>
    </row>
    <row r="176" spans="1:15" x14ac:dyDescent="0.25">
      <c r="A176" s="13">
        <v>9</v>
      </c>
      <c r="B176" s="13" t="str">
        <f>IFERROR(IF(SUMIFS(tblDaily[Admissions],tblDaily[EntryDate],DATE(2026,5,9),tblDaily[WardCode],"MAE")=0,"",SUMIFS(tblDaily[Admissions],tblDaily[EntryDate],DATE(2026,5,9),tblDaily[WardCode],"MAE")),"")</f>
        <v/>
      </c>
      <c r="C176" s="13" t="str">
        <f>IFERROR(IF(SUMIFS(tblDaily[Discharges],tblDaily[EntryDate],DATE(2026,5,9),tblDaily[WardCode],"MAE")=0,"",SUMIFS(tblDaily[Discharges],tblDaily[EntryDate],DATE(2026,5,9),tblDaily[WardCode],"MAE")),"")</f>
        <v/>
      </c>
      <c r="D176" s="13" t="str">
        <f>IFERROR(IF(SUMIFS(tblDaily[Deaths],tblDaily[EntryDate],DATE(2026,5,9),tblDaily[WardCode],"MAE")=0,"",SUMIFS(tblDaily[Deaths],tblDaily[EntryDate],DATE(2026,5,9),tblDaily[WardCode],"MAE")),"")</f>
        <v/>
      </c>
      <c r="E176" s="13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3" t="str">
        <f>IFERROR(IF(SUMIFS(tblDaily[TransfersIn],tblDaily[EntryDate],DATE(2026,5,9),tblDaily[WardCode],"MAE")=0,"",SUMIFS(tblDaily[TransfersIn],tblDaily[EntryDate],DATE(2026,5,9),tblDaily[WardCode],"MAE")),"")</f>
        <v/>
      </c>
      <c r="G176" s="13" t="str">
        <f>IFERROR(IF(SUMIFS(tblDaily[TransfersOut],tblDaily[EntryDate],DATE(2026,5,9),tblDaily[WardCode],"MAE")=0,"",SUMIFS(tblDaily[TransfersOut],tblDaily[EntryDate],DATE(2026,5,9),tblDaily[WardCode],"MAE")),"")</f>
        <v/>
      </c>
      <c r="H176" s="13" t="str">
        <f>IFERROR(IF(SUMIFS(tblDaily[Remaining],tblDaily[EntryDate],DATE(2026,5,9),tblDaily[WardCode],"MAE")=0,"",SUMIFS(tblDaily[Remaining],tblDaily[EntryDate],DATE(2026,5,9),tblDaily[WardCode],"MAE")),"")</f>
        <v/>
      </c>
      <c r="I176" s="13" t="str">
        <f>IFERROR(IF(SUMIFS(tblDaily[Admissions],tblDaily[EntryDate],DATE(2026,5,9),tblDaily[WardCode],"FAE")=0,"",SUMIFS(tblDaily[Admissions],tblDaily[EntryDate],DATE(2026,5,9),tblDaily[WardCode],"FAE")),"")</f>
        <v/>
      </c>
      <c r="J176" s="13" t="str">
        <f>IFERROR(IF(SUMIFS(tblDaily[Discharges],tblDaily[EntryDate],DATE(2026,5,9),tblDaily[WardCode],"FAE")=0,"",SUMIFS(tblDaily[Discharges],tblDaily[EntryDate],DATE(2026,5,9),tblDaily[WardCode],"FAE")),"")</f>
        <v/>
      </c>
      <c r="K176" s="13" t="str">
        <f>IFERROR(IF(SUMIFS(tblDaily[Deaths],tblDaily[EntryDate],DATE(2026,5,9),tblDaily[WardCode],"FAE")=0,"",SUMIFS(tblDaily[Deaths],tblDaily[EntryDate],DATE(2026,5,9),tblDaily[WardCode],"FAE")),"")</f>
        <v/>
      </c>
      <c r="L176" s="13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3" t="str">
        <f>IFERROR(IF(SUMIFS(tblDaily[TransfersIn],tblDaily[EntryDate],DATE(2026,5,9),tblDaily[WardCode],"FAE")=0,"",SUMIFS(tblDaily[TransfersIn],tblDaily[EntryDate],DATE(2026,5,9),tblDaily[WardCode],"FAE")),"")</f>
        <v/>
      </c>
      <c r="N176" s="13" t="str">
        <f>IFERROR(IF(SUMIFS(tblDaily[TransfersOut],tblDaily[EntryDate],DATE(2026,5,9),tblDaily[WardCode],"FAE")=0,"",SUMIFS(tblDaily[TransfersOut],tblDaily[EntryDate],DATE(2026,5,9),tblDaily[WardCode],"FAE")),"")</f>
        <v/>
      </c>
      <c r="O176" s="13" t="str">
        <f>IFERROR(IF(SUMIFS(tblDaily[Remaining],tblDaily[EntryDate],DATE(2026,5,9),tblDaily[WardCode],"FAE")=0,"",SUMIFS(tblDaily[Remaining],tblDaily[EntryDate],DATE(2026,5,9),tblDaily[WardCode],"FAE")),"")</f>
        <v/>
      </c>
    </row>
    <row r="177" spans="1:15" x14ac:dyDescent="0.25">
      <c r="A177" s="13">
        <v>10</v>
      </c>
      <c r="B177" s="13" t="str">
        <f>IFERROR(IF(SUMIFS(tblDaily[Admissions],tblDaily[EntryDate],DATE(2026,5,10),tblDaily[WardCode],"MAE")=0,"",SUMIFS(tblDaily[Admissions],tblDaily[EntryDate],DATE(2026,5,10),tblDaily[WardCode],"MAE")),"")</f>
        <v/>
      </c>
      <c r="C177" s="13" t="str">
        <f>IFERROR(IF(SUMIFS(tblDaily[Discharges],tblDaily[EntryDate],DATE(2026,5,10),tblDaily[WardCode],"MAE")=0,"",SUMIFS(tblDaily[Discharges],tblDaily[EntryDate],DATE(2026,5,10),tblDaily[WardCode],"MAE")),"")</f>
        <v/>
      </c>
      <c r="D177" s="13" t="str">
        <f>IFERROR(IF(SUMIFS(tblDaily[Deaths],tblDaily[EntryDate],DATE(2026,5,10),tblDaily[WardCode],"MAE")=0,"",SUMIFS(tblDaily[Deaths],tblDaily[EntryDate],DATE(2026,5,10),tblDaily[WardCode],"MAE")),"")</f>
        <v/>
      </c>
      <c r="E177" s="13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3" t="str">
        <f>IFERROR(IF(SUMIFS(tblDaily[TransfersIn],tblDaily[EntryDate],DATE(2026,5,10),tblDaily[WardCode],"MAE")=0,"",SUMIFS(tblDaily[TransfersIn],tblDaily[EntryDate],DATE(2026,5,10),tblDaily[WardCode],"MAE")),"")</f>
        <v/>
      </c>
      <c r="G177" s="13" t="str">
        <f>IFERROR(IF(SUMIFS(tblDaily[TransfersOut],tblDaily[EntryDate],DATE(2026,5,10),tblDaily[WardCode],"MAE")=0,"",SUMIFS(tblDaily[TransfersOut],tblDaily[EntryDate],DATE(2026,5,10),tblDaily[WardCode],"MAE")),"")</f>
        <v/>
      </c>
      <c r="H177" s="13" t="str">
        <f>IFERROR(IF(SUMIFS(tblDaily[Remaining],tblDaily[EntryDate],DATE(2026,5,10),tblDaily[WardCode],"MAE")=0,"",SUMIFS(tblDaily[Remaining],tblDaily[EntryDate],DATE(2026,5,10),tblDaily[WardCode],"MAE")),"")</f>
        <v/>
      </c>
      <c r="I177" s="13" t="str">
        <f>IFERROR(IF(SUMIFS(tblDaily[Admissions],tblDaily[EntryDate],DATE(2026,5,10),tblDaily[WardCode],"FAE")=0,"",SUMIFS(tblDaily[Admissions],tblDaily[EntryDate],DATE(2026,5,10),tblDaily[WardCode],"FAE")),"")</f>
        <v/>
      </c>
      <c r="J177" s="13" t="str">
        <f>IFERROR(IF(SUMIFS(tblDaily[Discharges],tblDaily[EntryDate],DATE(2026,5,10),tblDaily[WardCode],"FAE")=0,"",SUMIFS(tblDaily[Discharges],tblDaily[EntryDate],DATE(2026,5,10),tblDaily[WardCode],"FAE")),"")</f>
        <v/>
      </c>
      <c r="K177" s="13" t="str">
        <f>IFERROR(IF(SUMIFS(tblDaily[Deaths],tblDaily[EntryDate],DATE(2026,5,10),tblDaily[WardCode],"FAE")=0,"",SUMIFS(tblDaily[Deaths],tblDaily[EntryDate],DATE(2026,5,10),tblDaily[WardCode],"FAE")),"")</f>
        <v/>
      </c>
      <c r="L177" s="13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3" t="str">
        <f>IFERROR(IF(SUMIFS(tblDaily[TransfersIn],tblDaily[EntryDate],DATE(2026,5,10),tblDaily[WardCode],"FAE")=0,"",SUMIFS(tblDaily[TransfersIn],tblDaily[EntryDate],DATE(2026,5,10),tblDaily[WardCode],"FAE")),"")</f>
        <v/>
      </c>
      <c r="N177" s="13" t="str">
        <f>IFERROR(IF(SUMIFS(tblDaily[TransfersOut],tblDaily[EntryDate],DATE(2026,5,10),tblDaily[WardCode],"FAE")=0,"",SUMIFS(tblDaily[TransfersOut],tblDaily[EntryDate],DATE(2026,5,10),tblDaily[WardCode],"FAE")),"")</f>
        <v/>
      </c>
      <c r="O177" s="13" t="str">
        <f>IFERROR(IF(SUMIFS(tblDaily[Remaining],tblDaily[EntryDate],DATE(2026,5,10),tblDaily[WardCode],"FAE")=0,"",SUMIFS(tblDaily[Remaining],tblDaily[EntryDate],DATE(2026,5,10),tblDaily[WardCode],"FAE")),"")</f>
        <v/>
      </c>
    </row>
    <row r="178" spans="1:15" x14ac:dyDescent="0.25">
      <c r="A178" s="13">
        <v>11</v>
      </c>
      <c r="B178" s="13" t="str">
        <f>IFERROR(IF(SUMIFS(tblDaily[Admissions],tblDaily[EntryDate],DATE(2026,5,11),tblDaily[WardCode],"MAE")=0,"",SUMIFS(tblDaily[Admissions],tblDaily[EntryDate],DATE(2026,5,11),tblDaily[WardCode],"MAE")),"")</f>
        <v/>
      </c>
      <c r="C178" s="13" t="str">
        <f>IFERROR(IF(SUMIFS(tblDaily[Discharges],tblDaily[EntryDate],DATE(2026,5,11),tblDaily[WardCode],"MAE")=0,"",SUMIFS(tblDaily[Discharges],tblDaily[EntryDate],DATE(2026,5,11),tblDaily[WardCode],"MAE")),"")</f>
        <v/>
      </c>
      <c r="D178" s="13" t="str">
        <f>IFERROR(IF(SUMIFS(tblDaily[Deaths],tblDaily[EntryDate],DATE(2026,5,11),tblDaily[WardCode],"MAE")=0,"",SUMIFS(tblDaily[Deaths],tblDaily[EntryDate],DATE(2026,5,11),tblDaily[WardCode],"MAE")),"")</f>
        <v/>
      </c>
      <c r="E178" s="13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3" t="str">
        <f>IFERROR(IF(SUMIFS(tblDaily[TransfersIn],tblDaily[EntryDate],DATE(2026,5,11),tblDaily[WardCode],"MAE")=0,"",SUMIFS(tblDaily[TransfersIn],tblDaily[EntryDate],DATE(2026,5,11),tblDaily[WardCode],"MAE")),"")</f>
        <v/>
      </c>
      <c r="G178" s="13" t="str">
        <f>IFERROR(IF(SUMIFS(tblDaily[TransfersOut],tblDaily[EntryDate],DATE(2026,5,11),tblDaily[WardCode],"MAE")=0,"",SUMIFS(tblDaily[TransfersOut],tblDaily[EntryDate],DATE(2026,5,11),tblDaily[WardCode],"MAE")),"")</f>
        <v/>
      </c>
      <c r="H178" s="13" t="str">
        <f>IFERROR(IF(SUMIFS(tblDaily[Remaining],tblDaily[EntryDate],DATE(2026,5,11),tblDaily[WardCode],"MAE")=0,"",SUMIFS(tblDaily[Remaining],tblDaily[EntryDate],DATE(2026,5,11),tblDaily[WardCode],"MAE")),"")</f>
        <v/>
      </c>
      <c r="I178" s="13" t="str">
        <f>IFERROR(IF(SUMIFS(tblDaily[Admissions],tblDaily[EntryDate],DATE(2026,5,11),tblDaily[WardCode],"FAE")=0,"",SUMIFS(tblDaily[Admissions],tblDaily[EntryDate],DATE(2026,5,11),tblDaily[WardCode],"FAE")),"")</f>
        <v/>
      </c>
      <c r="J178" s="13" t="str">
        <f>IFERROR(IF(SUMIFS(tblDaily[Discharges],tblDaily[EntryDate],DATE(2026,5,11),tblDaily[WardCode],"FAE")=0,"",SUMIFS(tblDaily[Discharges],tblDaily[EntryDate],DATE(2026,5,11),tblDaily[WardCode],"FAE")),"")</f>
        <v/>
      </c>
      <c r="K178" s="13" t="str">
        <f>IFERROR(IF(SUMIFS(tblDaily[Deaths],tblDaily[EntryDate],DATE(2026,5,11),tblDaily[WardCode],"FAE")=0,"",SUMIFS(tblDaily[Deaths],tblDaily[EntryDate],DATE(2026,5,11),tblDaily[WardCode],"FAE")),"")</f>
        <v/>
      </c>
      <c r="L178" s="13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3" t="str">
        <f>IFERROR(IF(SUMIFS(tblDaily[TransfersIn],tblDaily[EntryDate],DATE(2026,5,11),tblDaily[WardCode],"FAE")=0,"",SUMIFS(tblDaily[TransfersIn],tblDaily[EntryDate],DATE(2026,5,11),tblDaily[WardCode],"FAE")),"")</f>
        <v/>
      </c>
      <c r="N178" s="13" t="str">
        <f>IFERROR(IF(SUMIFS(tblDaily[TransfersOut],tblDaily[EntryDate],DATE(2026,5,11),tblDaily[WardCode],"FAE")=0,"",SUMIFS(tblDaily[TransfersOut],tblDaily[EntryDate],DATE(2026,5,11),tblDaily[WardCode],"FAE")),"")</f>
        <v/>
      </c>
      <c r="O178" s="13" t="str">
        <f>IFERROR(IF(SUMIFS(tblDaily[Remaining],tblDaily[EntryDate],DATE(2026,5,11),tblDaily[WardCode],"FAE")=0,"",SUMIFS(tblDaily[Remaining],tblDaily[EntryDate],DATE(2026,5,11),tblDaily[WardCode],"FAE")),"")</f>
        <v/>
      </c>
    </row>
    <row r="179" spans="1:15" x14ac:dyDescent="0.25">
      <c r="A179" s="13">
        <v>12</v>
      </c>
      <c r="B179" s="13" t="str">
        <f>IFERROR(IF(SUMIFS(tblDaily[Admissions],tblDaily[EntryDate],DATE(2026,5,12),tblDaily[WardCode],"MAE")=0,"",SUMIFS(tblDaily[Admissions],tblDaily[EntryDate],DATE(2026,5,12),tblDaily[WardCode],"MAE")),"")</f>
        <v/>
      </c>
      <c r="C179" s="13" t="str">
        <f>IFERROR(IF(SUMIFS(tblDaily[Discharges],tblDaily[EntryDate],DATE(2026,5,12),tblDaily[WardCode],"MAE")=0,"",SUMIFS(tblDaily[Discharges],tblDaily[EntryDate],DATE(2026,5,12),tblDaily[WardCode],"MAE")),"")</f>
        <v/>
      </c>
      <c r="D179" s="13" t="str">
        <f>IFERROR(IF(SUMIFS(tblDaily[Deaths],tblDaily[EntryDate],DATE(2026,5,12),tblDaily[WardCode],"MAE")=0,"",SUMIFS(tblDaily[Deaths],tblDaily[EntryDate],DATE(2026,5,12),tblDaily[WardCode],"MAE")),"")</f>
        <v/>
      </c>
      <c r="E179" s="13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3" t="str">
        <f>IFERROR(IF(SUMIFS(tblDaily[TransfersIn],tblDaily[EntryDate],DATE(2026,5,12),tblDaily[WardCode],"MAE")=0,"",SUMIFS(tblDaily[TransfersIn],tblDaily[EntryDate],DATE(2026,5,12),tblDaily[WardCode],"MAE")),"")</f>
        <v/>
      </c>
      <c r="G179" s="13" t="str">
        <f>IFERROR(IF(SUMIFS(tblDaily[TransfersOut],tblDaily[EntryDate],DATE(2026,5,12),tblDaily[WardCode],"MAE")=0,"",SUMIFS(tblDaily[TransfersOut],tblDaily[EntryDate],DATE(2026,5,12),tblDaily[WardCode],"MAE")),"")</f>
        <v/>
      </c>
      <c r="H179" s="13" t="str">
        <f>IFERROR(IF(SUMIFS(tblDaily[Remaining],tblDaily[EntryDate],DATE(2026,5,12),tblDaily[WardCode],"MAE")=0,"",SUMIFS(tblDaily[Remaining],tblDaily[EntryDate],DATE(2026,5,12),tblDaily[WardCode],"MAE")),"")</f>
        <v/>
      </c>
      <c r="I179" s="13" t="str">
        <f>IFERROR(IF(SUMIFS(tblDaily[Admissions],tblDaily[EntryDate],DATE(2026,5,12),tblDaily[WardCode],"FAE")=0,"",SUMIFS(tblDaily[Admissions],tblDaily[EntryDate],DATE(2026,5,12),tblDaily[WardCode],"FAE")),"")</f>
        <v/>
      </c>
      <c r="J179" s="13" t="str">
        <f>IFERROR(IF(SUMIFS(tblDaily[Discharges],tblDaily[EntryDate],DATE(2026,5,12),tblDaily[WardCode],"FAE")=0,"",SUMIFS(tblDaily[Discharges],tblDaily[EntryDate],DATE(2026,5,12),tblDaily[WardCode],"FAE")),"")</f>
        <v/>
      </c>
      <c r="K179" s="13" t="str">
        <f>IFERROR(IF(SUMIFS(tblDaily[Deaths],tblDaily[EntryDate],DATE(2026,5,12),tblDaily[WardCode],"FAE")=0,"",SUMIFS(tblDaily[Deaths],tblDaily[EntryDate],DATE(2026,5,12),tblDaily[WardCode],"FAE")),"")</f>
        <v/>
      </c>
      <c r="L179" s="13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3" t="str">
        <f>IFERROR(IF(SUMIFS(tblDaily[TransfersIn],tblDaily[EntryDate],DATE(2026,5,12),tblDaily[WardCode],"FAE")=0,"",SUMIFS(tblDaily[TransfersIn],tblDaily[EntryDate],DATE(2026,5,12),tblDaily[WardCode],"FAE")),"")</f>
        <v/>
      </c>
      <c r="N179" s="13" t="str">
        <f>IFERROR(IF(SUMIFS(tblDaily[TransfersOut],tblDaily[EntryDate],DATE(2026,5,12),tblDaily[WardCode],"FAE")=0,"",SUMIFS(tblDaily[TransfersOut],tblDaily[EntryDate],DATE(2026,5,12),tblDaily[WardCode],"FAE")),"")</f>
        <v/>
      </c>
      <c r="O179" s="13" t="str">
        <f>IFERROR(IF(SUMIFS(tblDaily[Remaining],tblDaily[EntryDate],DATE(2026,5,12),tblDaily[WardCode],"FAE")=0,"",SUMIFS(tblDaily[Remaining],tblDaily[EntryDate],DATE(2026,5,12),tblDaily[WardCode],"FAE")),"")</f>
        <v/>
      </c>
    </row>
    <row r="180" spans="1:15" x14ac:dyDescent="0.25">
      <c r="A180" s="13">
        <v>13</v>
      </c>
      <c r="B180" s="13" t="str">
        <f>IFERROR(IF(SUMIFS(tblDaily[Admissions],tblDaily[EntryDate],DATE(2026,5,13),tblDaily[WardCode],"MAE")=0,"",SUMIFS(tblDaily[Admissions],tblDaily[EntryDate],DATE(2026,5,13),tblDaily[WardCode],"MAE")),"")</f>
        <v/>
      </c>
      <c r="C180" s="13" t="str">
        <f>IFERROR(IF(SUMIFS(tblDaily[Discharges],tblDaily[EntryDate],DATE(2026,5,13),tblDaily[WardCode],"MAE")=0,"",SUMIFS(tblDaily[Discharges],tblDaily[EntryDate],DATE(2026,5,13),tblDaily[WardCode],"MAE")),"")</f>
        <v/>
      </c>
      <c r="D180" s="13" t="str">
        <f>IFERROR(IF(SUMIFS(tblDaily[Deaths],tblDaily[EntryDate],DATE(2026,5,13),tblDaily[WardCode],"MAE")=0,"",SUMIFS(tblDaily[Deaths],tblDaily[EntryDate],DATE(2026,5,13),tblDaily[WardCode],"MAE")),"")</f>
        <v/>
      </c>
      <c r="E180" s="13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3" t="str">
        <f>IFERROR(IF(SUMIFS(tblDaily[TransfersIn],tblDaily[EntryDate],DATE(2026,5,13),tblDaily[WardCode],"MAE")=0,"",SUMIFS(tblDaily[TransfersIn],tblDaily[EntryDate],DATE(2026,5,13),tblDaily[WardCode],"MAE")),"")</f>
        <v/>
      </c>
      <c r="G180" s="13" t="str">
        <f>IFERROR(IF(SUMIFS(tblDaily[TransfersOut],tblDaily[EntryDate],DATE(2026,5,13),tblDaily[WardCode],"MAE")=0,"",SUMIFS(tblDaily[TransfersOut],tblDaily[EntryDate],DATE(2026,5,13),tblDaily[WardCode],"MAE")),"")</f>
        <v/>
      </c>
      <c r="H180" s="13" t="str">
        <f>IFERROR(IF(SUMIFS(tblDaily[Remaining],tblDaily[EntryDate],DATE(2026,5,13),tblDaily[WardCode],"MAE")=0,"",SUMIFS(tblDaily[Remaining],tblDaily[EntryDate],DATE(2026,5,13),tblDaily[WardCode],"MAE")),"")</f>
        <v/>
      </c>
      <c r="I180" s="13" t="str">
        <f>IFERROR(IF(SUMIFS(tblDaily[Admissions],tblDaily[EntryDate],DATE(2026,5,13),tblDaily[WardCode],"FAE")=0,"",SUMIFS(tblDaily[Admissions],tblDaily[EntryDate],DATE(2026,5,13),tblDaily[WardCode],"FAE")),"")</f>
        <v/>
      </c>
      <c r="J180" s="13" t="str">
        <f>IFERROR(IF(SUMIFS(tblDaily[Discharges],tblDaily[EntryDate],DATE(2026,5,13),tblDaily[WardCode],"FAE")=0,"",SUMIFS(tblDaily[Discharges],tblDaily[EntryDate],DATE(2026,5,13),tblDaily[WardCode],"FAE")),"")</f>
        <v/>
      </c>
      <c r="K180" s="13" t="str">
        <f>IFERROR(IF(SUMIFS(tblDaily[Deaths],tblDaily[EntryDate],DATE(2026,5,13),tblDaily[WardCode],"FAE")=0,"",SUMIFS(tblDaily[Deaths],tblDaily[EntryDate],DATE(2026,5,13),tblDaily[WardCode],"FAE")),"")</f>
        <v/>
      </c>
      <c r="L180" s="13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3" t="str">
        <f>IFERROR(IF(SUMIFS(tblDaily[TransfersIn],tblDaily[EntryDate],DATE(2026,5,13),tblDaily[WardCode],"FAE")=0,"",SUMIFS(tblDaily[TransfersIn],tblDaily[EntryDate],DATE(2026,5,13),tblDaily[WardCode],"FAE")),"")</f>
        <v/>
      </c>
      <c r="N180" s="13" t="str">
        <f>IFERROR(IF(SUMIFS(tblDaily[TransfersOut],tblDaily[EntryDate],DATE(2026,5,13),tblDaily[WardCode],"FAE")=0,"",SUMIFS(tblDaily[TransfersOut],tblDaily[EntryDate],DATE(2026,5,13),tblDaily[WardCode],"FAE")),"")</f>
        <v/>
      </c>
      <c r="O180" s="13" t="str">
        <f>IFERROR(IF(SUMIFS(tblDaily[Remaining],tblDaily[EntryDate],DATE(2026,5,13),tblDaily[WardCode],"FAE")=0,"",SUMIFS(tblDaily[Remaining],tblDaily[EntryDate],DATE(2026,5,13),tblDaily[WardCode],"FAE")),"")</f>
        <v/>
      </c>
    </row>
    <row r="181" spans="1:15" x14ac:dyDescent="0.25">
      <c r="A181" s="13">
        <v>14</v>
      </c>
      <c r="B181" s="13" t="str">
        <f>IFERROR(IF(SUMIFS(tblDaily[Admissions],tblDaily[EntryDate],DATE(2026,5,14),tblDaily[WardCode],"MAE")=0,"",SUMIFS(tblDaily[Admissions],tblDaily[EntryDate],DATE(2026,5,14),tblDaily[WardCode],"MAE")),"")</f>
        <v/>
      </c>
      <c r="C181" s="13" t="str">
        <f>IFERROR(IF(SUMIFS(tblDaily[Discharges],tblDaily[EntryDate],DATE(2026,5,14),tblDaily[WardCode],"MAE")=0,"",SUMIFS(tblDaily[Discharges],tblDaily[EntryDate],DATE(2026,5,14),tblDaily[WardCode],"MAE")),"")</f>
        <v/>
      </c>
      <c r="D181" s="13" t="str">
        <f>IFERROR(IF(SUMIFS(tblDaily[Deaths],tblDaily[EntryDate],DATE(2026,5,14),tblDaily[WardCode],"MAE")=0,"",SUMIFS(tblDaily[Deaths],tblDaily[EntryDate],DATE(2026,5,14),tblDaily[WardCode],"MAE")),"")</f>
        <v/>
      </c>
      <c r="E181" s="13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3" t="str">
        <f>IFERROR(IF(SUMIFS(tblDaily[TransfersIn],tblDaily[EntryDate],DATE(2026,5,14),tblDaily[WardCode],"MAE")=0,"",SUMIFS(tblDaily[TransfersIn],tblDaily[EntryDate],DATE(2026,5,14),tblDaily[WardCode],"MAE")),"")</f>
        <v/>
      </c>
      <c r="G181" s="13" t="str">
        <f>IFERROR(IF(SUMIFS(tblDaily[TransfersOut],tblDaily[EntryDate],DATE(2026,5,14),tblDaily[WardCode],"MAE")=0,"",SUMIFS(tblDaily[TransfersOut],tblDaily[EntryDate],DATE(2026,5,14),tblDaily[WardCode],"MAE")),"")</f>
        <v/>
      </c>
      <c r="H181" s="13" t="str">
        <f>IFERROR(IF(SUMIFS(tblDaily[Remaining],tblDaily[EntryDate],DATE(2026,5,14),tblDaily[WardCode],"MAE")=0,"",SUMIFS(tblDaily[Remaining],tblDaily[EntryDate],DATE(2026,5,14),tblDaily[WardCode],"MAE")),"")</f>
        <v/>
      </c>
      <c r="I181" s="13" t="str">
        <f>IFERROR(IF(SUMIFS(tblDaily[Admissions],tblDaily[EntryDate],DATE(2026,5,14),tblDaily[WardCode],"FAE")=0,"",SUMIFS(tblDaily[Admissions],tblDaily[EntryDate],DATE(2026,5,14),tblDaily[WardCode],"FAE")),"")</f>
        <v/>
      </c>
      <c r="J181" s="13" t="str">
        <f>IFERROR(IF(SUMIFS(tblDaily[Discharges],tblDaily[EntryDate],DATE(2026,5,14),tblDaily[WardCode],"FAE")=0,"",SUMIFS(tblDaily[Discharges],tblDaily[EntryDate],DATE(2026,5,14),tblDaily[WardCode],"FAE")),"")</f>
        <v/>
      </c>
      <c r="K181" s="13" t="str">
        <f>IFERROR(IF(SUMIFS(tblDaily[Deaths],tblDaily[EntryDate],DATE(2026,5,14),tblDaily[WardCode],"FAE")=0,"",SUMIFS(tblDaily[Deaths],tblDaily[EntryDate],DATE(2026,5,14),tblDaily[WardCode],"FAE")),"")</f>
        <v/>
      </c>
      <c r="L181" s="13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3" t="str">
        <f>IFERROR(IF(SUMIFS(tblDaily[TransfersIn],tblDaily[EntryDate],DATE(2026,5,14),tblDaily[WardCode],"FAE")=0,"",SUMIFS(tblDaily[TransfersIn],tblDaily[EntryDate],DATE(2026,5,14),tblDaily[WardCode],"FAE")),"")</f>
        <v/>
      </c>
      <c r="N181" s="13" t="str">
        <f>IFERROR(IF(SUMIFS(tblDaily[TransfersOut],tblDaily[EntryDate],DATE(2026,5,14),tblDaily[WardCode],"FAE")=0,"",SUMIFS(tblDaily[TransfersOut],tblDaily[EntryDate],DATE(2026,5,14),tblDaily[WardCode],"FAE")),"")</f>
        <v/>
      </c>
      <c r="O181" s="13" t="str">
        <f>IFERROR(IF(SUMIFS(tblDaily[Remaining],tblDaily[EntryDate],DATE(2026,5,14),tblDaily[WardCode],"FAE")=0,"",SUMIFS(tblDaily[Remaining],tblDaily[EntryDate],DATE(2026,5,14),tblDaily[WardCode],"FAE")),"")</f>
        <v/>
      </c>
    </row>
    <row r="182" spans="1:15" x14ac:dyDescent="0.25">
      <c r="A182" s="13">
        <v>15</v>
      </c>
      <c r="B182" s="13" t="str">
        <f>IFERROR(IF(SUMIFS(tblDaily[Admissions],tblDaily[EntryDate],DATE(2026,5,15),tblDaily[WardCode],"MAE")=0,"",SUMIFS(tblDaily[Admissions],tblDaily[EntryDate],DATE(2026,5,15),tblDaily[WardCode],"MAE")),"")</f>
        <v/>
      </c>
      <c r="C182" s="13" t="str">
        <f>IFERROR(IF(SUMIFS(tblDaily[Discharges],tblDaily[EntryDate],DATE(2026,5,15),tblDaily[WardCode],"MAE")=0,"",SUMIFS(tblDaily[Discharges],tblDaily[EntryDate],DATE(2026,5,15),tblDaily[WardCode],"MAE")),"")</f>
        <v/>
      </c>
      <c r="D182" s="13" t="str">
        <f>IFERROR(IF(SUMIFS(tblDaily[Deaths],tblDaily[EntryDate],DATE(2026,5,15),tblDaily[WardCode],"MAE")=0,"",SUMIFS(tblDaily[Deaths],tblDaily[EntryDate],DATE(2026,5,15),tblDaily[WardCode],"MAE")),"")</f>
        <v/>
      </c>
      <c r="E182" s="13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3" t="str">
        <f>IFERROR(IF(SUMIFS(tblDaily[TransfersIn],tblDaily[EntryDate],DATE(2026,5,15),tblDaily[WardCode],"MAE")=0,"",SUMIFS(tblDaily[TransfersIn],tblDaily[EntryDate],DATE(2026,5,15),tblDaily[WardCode],"MAE")),"")</f>
        <v/>
      </c>
      <c r="G182" s="13" t="str">
        <f>IFERROR(IF(SUMIFS(tblDaily[TransfersOut],tblDaily[EntryDate],DATE(2026,5,15),tblDaily[WardCode],"MAE")=0,"",SUMIFS(tblDaily[TransfersOut],tblDaily[EntryDate],DATE(2026,5,15),tblDaily[WardCode],"MAE")),"")</f>
        <v/>
      </c>
      <c r="H182" s="13" t="str">
        <f>IFERROR(IF(SUMIFS(tblDaily[Remaining],tblDaily[EntryDate],DATE(2026,5,15),tblDaily[WardCode],"MAE")=0,"",SUMIFS(tblDaily[Remaining],tblDaily[EntryDate],DATE(2026,5,15),tblDaily[WardCode],"MAE")),"")</f>
        <v/>
      </c>
      <c r="I182" s="13" t="str">
        <f>IFERROR(IF(SUMIFS(tblDaily[Admissions],tblDaily[EntryDate],DATE(2026,5,15),tblDaily[WardCode],"FAE")=0,"",SUMIFS(tblDaily[Admissions],tblDaily[EntryDate],DATE(2026,5,15),tblDaily[WardCode],"FAE")),"")</f>
        <v/>
      </c>
      <c r="J182" s="13" t="str">
        <f>IFERROR(IF(SUMIFS(tblDaily[Discharges],tblDaily[EntryDate],DATE(2026,5,15),tblDaily[WardCode],"FAE")=0,"",SUMIFS(tblDaily[Discharges],tblDaily[EntryDate],DATE(2026,5,15),tblDaily[WardCode],"FAE")),"")</f>
        <v/>
      </c>
      <c r="K182" s="13" t="str">
        <f>IFERROR(IF(SUMIFS(tblDaily[Deaths],tblDaily[EntryDate],DATE(2026,5,15),tblDaily[WardCode],"FAE")=0,"",SUMIFS(tblDaily[Deaths],tblDaily[EntryDate],DATE(2026,5,15),tblDaily[WardCode],"FAE")),"")</f>
        <v/>
      </c>
      <c r="L182" s="13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3" t="str">
        <f>IFERROR(IF(SUMIFS(tblDaily[TransfersIn],tblDaily[EntryDate],DATE(2026,5,15),tblDaily[WardCode],"FAE")=0,"",SUMIFS(tblDaily[TransfersIn],tblDaily[EntryDate],DATE(2026,5,15),tblDaily[WardCode],"FAE")),"")</f>
        <v/>
      </c>
      <c r="N182" s="13" t="str">
        <f>IFERROR(IF(SUMIFS(tblDaily[TransfersOut],tblDaily[EntryDate],DATE(2026,5,15),tblDaily[WardCode],"FAE")=0,"",SUMIFS(tblDaily[TransfersOut],tblDaily[EntryDate],DATE(2026,5,15),tblDaily[WardCode],"FAE")),"")</f>
        <v/>
      </c>
      <c r="O182" s="13" t="str">
        <f>IFERROR(IF(SUMIFS(tblDaily[Remaining],tblDaily[EntryDate],DATE(2026,5,15),tblDaily[WardCode],"FAE")=0,"",SUMIFS(tblDaily[Remaining],tblDaily[EntryDate],DATE(2026,5,15),tblDaily[WardCode],"FAE")),"")</f>
        <v/>
      </c>
    </row>
    <row r="183" spans="1:15" x14ac:dyDescent="0.25">
      <c r="A183" s="13">
        <v>16</v>
      </c>
      <c r="B183" s="13" t="str">
        <f>IFERROR(IF(SUMIFS(tblDaily[Admissions],tblDaily[EntryDate],DATE(2026,5,16),tblDaily[WardCode],"MAE")=0,"",SUMIFS(tblDaily[Admissions],tblDaily[EntryDate],DATE(2026,5,16),tblDaily[WardCode],"MAE")),"")</f>
        <v/>
      </c>
      <c r="C183" s="13" t="str">
        <f>IFERROR(IF(SUMIFS(tblDaily[Discharges],tblDaily[EntryDate],DATE(2026,5,16),tblDaily[WardCode],"MAE")=0,"",SUMIFS(tblDaily[Discharges],tblDaily[EntryDate],DATE(2026,5,16),tblDaily[WardCode],"MAE")),"")</f>
        <v/>
      </c>
      <c r="D183" s="13" t="str">
        <f>IFERROR(IF(SUMIFS(tblDaily[Deaths],tblDaily[EntryDate],DATE(2026,5,16),tblDaily[WardCode],"MAE")=0,"",SUMIFS(tblDaily[Deaths],tblDaily[EntryDate],DATE(2026,5,16),tblDaily[WardCode],"MAE")),"")</f>
        <v/>
      </c>
      <c r="E183" s="13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3" t="str">
        <f>IFERROR(IF(SUMIFS(tblDaily[TransfersIn],tblDaily[EntryDate],DATE(2026,5,16),tblDaily[WardCode],"MAE")=0,"",SUMIFS(tblDaily[TransfersIn],tblDaily[EntryDate],DATE(2026,5,16),tblDaily[WardCode],"MAE")),"")</f>
        <v/>
      </c>
      <c r="G183" s="13" t="str">
        <f>IFERROR(IF(SUMIFS(tblDaily[TransfersOut],tblDaily[EntryDate],DATE(2026,5,16),tblDaily[WardCode],"MAE")=0,"",SUMIFS(tblDaily[TransfersOut],tblDaily[EntryDate],DATE(2026,5,16),tblDaily[WardCode],"MAE")),"")</f>
        <v/>
      </c>
      <c r="H183" s="13" t="str">
        <f>IFERROR(IF(SUMIFS(tblDaily[Remaining],tblDaily[EntryDate],DATE(2026,5,16),tblDaily[WardCode],"MAE")=0,"",SUMIFS(tblDaily[Remaining],tblDaily[EntryDate],DATE(2026,5,16),tblDaily[WardCode],"MAE")),"")</f>
        <v/>
      </c>
      <c r="I183" s="13" t="str">
        <f>IFERROR(IF(SUMIFS(tblDaily[Admissions],tblDaily[EntryDate],DATE(2026,5,16),tblDaily[WardCode],"FAE")=0,"",SUMIFS(tblDaily[Admissions],tblDaily[EntryDate],DATE(2026,5,16),tblDaily[WardCode],"FAE")),"")</f>
        <v/>
      </c>
      <c r="J183" s="13" t="str">
        <f>IFERROR(IF(SUMIFS(tblDaily[Discharges],tblDaily[EntryDate],DATE(2026,5,16),tblDaily[WardCode],"FAE")=0,"",SUMIFS(tblDaily[Discharges],tblDaily[EntryDate],DATE(2026,5,16),tblDaily[WardCode],"FAE")),"")</f>
        <v/>
      </c>
      <c r="K183" s="13" t="str">
        <f>IFERROR(IF(SUMIFS(tblDaily[Deaths],tblDaily[EntryDate],DATE(2026,5,16),tblDaily[WardCode],"FAE")=0,"",SUMIFS(tblDaily[Deaths],tblDaily[EntryDate],DATE(2026,5,16),tblDaily[WardCode],"FAE")),"")</f>
        <v/>
      </c>
      <c r="L183" s="13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3" t="str">
        <f>IFERROR(IF(SUMIFS(tblDaily[TransfersIn],tblDaily[EntryDate],DATE(2026,5,16),tblDaily[WardCode],"FAE")=0,"",SUMIFS(tblDaily[TransfersIn],tblDaily[EntryDate],DATE(2026,5,16),tblDaily[WardCode],"FAE")),"")</f>
        <v/>
      </c>
      <c r="N183" s="13" t="str">
        <f>IFERROR(IF(SUMIFS(tblDaily[TransfersOut],tblDaily[EntryDate],DATE(2026,5,16),tblDaily[WardCode],"FAE")=0,"",SUMIFS(tblDaily[TransfersOut],tblDaily[EntryDate],DATE(2026,5,16),tblDaily[WardCode],"FAE")),"")</f>
        <v/>
      </c>
      <c r="O183" s="13" t="str">
        <f>IFERROR(IF(SUMIFS(tblDaily[Remaining],tblDaily[EntryDate],DATE(2026,5,16),tblDaily[WardCode],"FAE")=0,"",SUMIFS(tblDaily[Remaining],tblDaily[EntryDate],DATE(2026,5,16),tblDaily[WardCode],"FAE")),"")</f>
        <v/>
      </c>
    </row>
    <row r="184" spans="1:15" x14ac:dyDescent="0.25">
      <c r="A184" s="13">
        <v>17</v>
      </c>
      <c r="B184" s="13" t="str">
        <f>IFERROR(IF(SUMIFS(tblDaily[Admissions],tblDaily[EntryDate],DATE(2026,5,17),tblDaily[WardCode],"MAE")=0,"",SUMIFS(tblDaily[Admissions],tblDaily[EntryDate],DATE(2026,5,17),tblDaily[WardCode],"MAE")),"")</f>
        <v/>
      </c>
      <c r="C184" s="13" t="str">
        <f>IFERROR(IF(SUMIFS(tblDaily[Discharges],tblDaily[EntryDate],DATE(2026,5,17),tblDaily[WardCode],"MAE")=0,"",SUMIFS(tblDaily[Discharges],tblDaily[EntryDate],DATE(2026,5,17),tblDaily[WardCode],"MAE")),"")</f>
        <v/>
      </c>
      <c r="D184" s="13" t="str">
        <f>IFERROR(IF(SUMIFS(tblDaily[Deaths],tblDaily[EntryDate],DATE(2026,5,17),tblDaily[WardCode],"MAE")=0,"",SUMIFS(tblDaily[Deaths],tblDaily[EntryDate],DATE(2026,5,17),tblDaily[WardCode],"MAE")),"")</f>
        <v/>
      </c>
      <c r="E184" s="13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3" t="str">
        <f>IFERROR(IF(SUMIFS(tblDaily[TransfersIn],tblDaily[EntryDate],DATE(2026,5,17),tblDaily[WardCode],"MAE")=0,"",SUMIFS(tblDaily[TransfersIn],tblDaily[EntryDate],DATE(2026,5,17),tblDaily[WardCode],"MAE")),"")</f>
        <v/>
      </c>
      <c r="G184" s="13" t="str">
        <f>IFERROR(IF(SUMIFS(tblDaily[TransfersOut],tblDaily[EntryDate],DATE(2026,5,17),tblDaily[WardCode],"MAE")=0,"",SUMIFS(tblDaily[TransfersOut],tblDaily[EntryDate],DATE(2026,5,17),tblDaily[WardCode],"MAE")),"")</f>
        <v/>
      </c>
      <c r="H184" s="13" t="str">
        <f>IFERROR(IF(SUMIFS(tblDaily[Remaining],tblDaily[EntryDate],DATE(2026,5,17),tblDaily[WardCode],"MAE")=0,"",SUMIFS(tblDaily[Remaining],tblDaily[EntryDate],DATE(2026,5,17),tblDaily[WardCode],"MAE")),"")</f>
        <v/>
      </c>
      <c r="I184" s="13" t="str">
        <f>IFERROR(IF(SUMIFS(tblDaily[Admissions],tblDaily[EntryDate],DATE(2026,5,17),tblDaily[WardCode],"FAE")=0,"",SUMIFS(tblDaily[Admissions],tblDaily[EntryDate],DATE(2026,5,17),tblDaily[WardCode],"FAE")),"")</f>
        <v/>
      </c>
      <c r="J184" s="13" t="str">
        <f>IFERROR(IF(SUMIFS(tblDaily[Discharges],tblDaily[EntryDate],DATE(2026,5,17),tblDaily[WardCode],"FAE")=0,"",SUMIFS(tblDaily[Discharges],tblDaily[EntryDate],DATE(2026,5,17),tblDaily[WardCode],"FAE")),"")</f>
        <v/>
      </c>
      <c r="K184" s="13" t="str">
        <f>IFERROR(IF(SUMIFS(tblDaily[Deaths],tblDaily[EntryDate],DATE(2026,5,17),tblDaily[WardCode],"FAE")=0,"",SUMIFS(tblDaily[Deaths],tblDaily[EntryDate],DATE(2026,5,17),tblDaily[WardCode],"FAE")),"")</f>
        <v/>
      </c>
      <c r="L184" s="13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3" t="str">
        <f>IFERROR(IF(SUMIFS(tblDaily[TransfersIn],tblDaily[EntryDate],DATE(2026,5,17),tblDaily[WardCode],"FAE")=0,"",SUMIFS(tblDaily[TransfersIn],tblDaily[EntryDate],DATE(2026,5,17),tblDaily[WardCode],"FAE")),"")</f>
        <v/>
      </c>
      <c r="N184" s="13" t="str">
        <f>IFERROR(IF(SUMIFS(tblDaily[TransfersOut],tblDaily[EntryDate],DATE(2026,5,17),tblDaily[WardCode],"FAE")=0,"",SUMIFS(tblDaily[TransfersOut],tblDaily[EntryDate],DATE(2026,5,17),tblDaily[WardCode],"FAE")),"")</f>
        <v/>
      </c>
      <c r="O184" s="13" t="str">
        <f>IFERROR(IF(SUMIFS(tblDaily[Remaining],tblDaily[EntryDate],DATE(2026,5,17),tblDaily[WardCode],"FAE")=0,"",SUMIFS(tblDaily[Remaining],tblDaily[EntryDate],DATE(2026,5,17),tblDaily[WardCode],"FAE")),"")</f>
        <v/>
      </c>
    </row>
    <row r="185" spans="1:15" x14ac:dyDescent="0.25">
      <c r="A185" s="13">
        <v>18</v>
      </c>
      <c r="B185" s="13" t="str">
        <f>IFERROR(IF(SUMIFS(tblDaily[Admissions],tblDaily[EntryDate],DATE(2026,5,18),tblDaily[WardCode],"MAE")=0,"",SUMIFS(tblDaily[Admissions],tblDaily[EntryDate],DATE(2026,5,18),tblDaily[WardCode],"MAE")),"")</f>
        <v/>
      </c>
      <c r="C185" s="13" t="str">
        <f>IFERROR(IF(SUMIFS(tblDaily[Discharges],tblDaily[EntryDate],DATE(2026,5,18),tblDaily[WardCode],"MAE")=0,"",SUMIFS(tblDaily[Discharges],tblDaily[EntryDate],DATE(2026,5,18),tblDaily[WardCode],"MAE")),"")</f>
        <v/>
      </c>
      <c r="D185" s="13" t="str">
        <f>IFERROR(IF(SUMIFS(tblDaily[Deaths],tblDaily[EntryDate],DATE(2026,5,18),tblDaily[WardCode],"MAE")=0,"",SUMIFS(tblDaily[Deaths],tblDaily[EntryDate],DATE(2026,5,18),tblDaily[WardCode],"MAE")),"")</f>
        <v/>
      </c>
      <c r="E185" s="13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3" t="str">
        <f>IFERROR(IF(SUMIFS(tblDaily[TransfersIn],tblDaily[EntryDate],DATE(2026,5,18),tblDaily[WardCode],"MAE")=0,"",SUMIFS(tblDaily[TransfersIn],tblDaily[EntryDate],DATE(2026,5,18),tblDaily[WardCode],"MAE")),"")</f>
        <v/>
      </c>
      <c r="G185" s="13" t="str">
        <f>IFERROR(IF(SUMIFS(tblDaily[TransfersOut],tblDaily[EntryDate],DATE(2026,5,18),tblDaily[WardCode],"MAE")=0,"",SUMIFS(tblDaily[TransfersOut],tblDaily[EntryDate],DATE(2026,5,18),tblDaily[WardCode],"MAE")),"")</f>
        <v/>
      </c>
      <c r="H185" s="13" t="str">
        <f>IFERROR(IF(SUMIFS(tblDaily[Remaining],tblDaily[EntryDate],DATE(2026,5,18),tblDaily[WardCode],"MAE")=0,"",SUMIFS(tblDaily[Remaining],tblDaily[EntryDate],DATE(2026,5,18),tblDaily[WardCode],"MAE")),"")</f>
        <v/>
      </c>
      <c r="I185" s="13" t="str">
        <f>IFERROR(IF(SUMIFS(tblDaily[Admissions],tblDaily[EntryDate],DATE(2026,5,18),tblDaily[WardCode],"FAE")=0,"",SUMIFS(tblDaily[Admissions],tblDaily[EntryDate],DATE(2026,5,18),tblDaily[WardCode],"FAE")),"")</f>
        <v/>
      </c>
      <c r="J185" s="13" t="str">
        <f>IFERROR(IF(SUMIFS(tblDaily[Discharges],tblDaily[EntryDate],DATE(2026,5,18),tblDaily[WardCode],"FAE")=0,"",SUMIFS(tblDaily[Discharges],tblDaily[EntryDate],DATE(2026,5,18),tblDaily[WardCode],"FAE")),"")</f>
        <v/>
      </c>
      <c r="K185" s="13" t="str">
        <f>IFERROR(IF(SUMIFS(tblDaily[Deaths],tblDaily[EntryDate],DATE(2026,5,18),tblDaily[WardCode],"FAE")=0,"",SUMIFS(tblDaily[Deaths],tblDaily[EntryDate],DATE(2026,5,18),tblDaily[WardCode],"FAE")),"")</f>
        <v/>
      </c>
      <c r="L185" s="13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3" t="str">
        <f>IFERROR(IF(SUMIFS(tblDaily[TransfersIn],tblDaily[EntryDate],DATE(2026,5,18),tblDaily[WardCode],"FAE")=0,"",SUMIFS(tblDaily[TransfersIn],tblDaily[EntryDate],DATE(2026,5,18),tblDaily[WardCode],"FAE")),"")</f>
        <v/>
      </c>
      <c r="N185" s="13" t="str">
        <f>IFERROR(IF(SUMIFS(tblDaily[TransfersOut],tblDaily[EntryDate],DATE(2026,5,18),tblDaily[WardCode],"FAE")=0,"",SUMIFS(tblDaily[TransfersOut],tblDaily[EntryDate],DATE(2026,5,18),tblDaily[WardCode],"FAE")),"")</f>
        <v/>
      </c>
      <c r="O185" s="13" t="str">
        <f>IFERROR(IF(SUMIFS(tblDaily[Remaining],tblDaily[EntryDate],DATE(2026,5,18),tblDaily[WardCode],"FAE")=0,"",SUMIFS(tblDaily[Remaining],tblDaily[EntryDate],DATE(2026,5,18),tblDaily[WardCode],"FAE")),"")</f>
        <v/>
      </c>
    </row>
    <row r="186" spans="1:15" x14ac:dyDescent="0.25">
      <c r="A186" s="13">
        <v>19</v>
      </c>
      <c r="B186" s="13" t="str">
        <f>IFERROR(IF(SUMIFS(tblDaily[Admissions],tblDaily[EntryDate],DATE(2026,5,19),tblDaily[WardCode],"MAE")=0,"",SUMIFS(tblDaily[Admissions],tblDaily[EntryDate],DATE(2026,5,19),tblDaily[WardCode],"MAE")),"")</f>
        <v/>
      </c>
      <c r="C186" s="13" t="str">
        <f>IFERROR(IF(SUMIFS(tblDaily[Discharges],tblDaily[EntryDate],DATE(2026,5,19),tblDaily[WardCode],"MAE")=0,"",SUMIFS(tblDaily[Discharges],tblDaily[EntryDate],DATE(2026,5,19),tblDaily[WardCode],"MAE")),"")</f>
        <v/>
      </c>
      <c r="D186" s="13" t="str">
        <f>IFERROR(IF(SUMIFS(tblDaily[Deaths],tblDaily[EntryDate],DATE(2026,5,19),tblDaily[WardCode],"MAE")=0,"",SUMIFS(tblDaily[Deaths],tblDaily[EntryDate],DATE(2026,5,19),tblDaily[WardCode],"MAE")),"")</f>
        <v/>
      </c>
      <c r="E186" s="13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3" t="str">
        <f>IFERROR(IF(SUMIFS(tblDaily[TransfersIn],tblDaily[EntryDate],DATE(2026,5,19),tblDaily[WardCode],"MAE")=0,"",SUMIFS(tblDaily[TransfersIn],tblDaily[EntryDate],DATE(2026,5,19),tblDaily[WardCode],"MAE")),"")</f>
        <v/>
      </c>
      <c r="G186" s="13" t="str">
        <f>IFERROR(IF(SUMIFS(tblDaily[TransfersOut],tblDaily[EntryDate],DATE(2026,5,19),tblDaily[WardCode],"MAE")=0,"",SUMIFS(tblDaily[TransfersOut],tblDaily[EntryDate],DATE(2026,5,19),tblDaily[WardCode],"MAE")),"")</f>
        <v/>
      </c>
      <c r="H186" s="13" t="str">
        <f>IFERROR(IF(SUMIFS(tblDaily[Remaining],tblDaily[EntryDate],DATE(2026,5,19),tblDaily[WardCode],"MAE")=0,"",SUMIFS(tblDaily[Remaining],tblDaily[EntryDate],DATE(2026,5,19),tblDaily[WardCode],"MAE")),"")</f>
        <v/>
      </c>
      <c r="I186" s="13" t="str">
        <f>IFERROR(IF(SUMIFS(tblDaily[Admissions],tblDaily[EntryDate],DATE(2026,5,19),tblDaily[WardCode],"FAE")=0,"",SUMIFS(tblDaily[Admissions],tblDaily[EntryDate],DATE(2026,5,19),tblDaily[WardCode],"FAE")),"")</f>
        <v/>
      </c>
      <c r="J186" s="13" t="str">
        <f>IFERROR(IF(SUMIFS(tblDaily[Discharges],tblDaily[EntryDate],DATE(2026,5,19),tblDaily[WardCode],"FAE")=0,"",SUMIFS(tblDaily[Discharges],tblDaily[EntryDate],DATE(2026,5,19),tblDaily[WardCode],"FAE")),"")</f>
        <v/>
      </c>
      <c r="K186" s="13" t="str">
        <f>IFERROR(IF(SUMIFS(tblDaily[Deaths],tblDaily[EntryDate],DATE(2026,5,19),tblDaily[WardCode],"FAE")=0,"",SUMIFS(tblDaily[Deaths],tblDaily[EntryDate],DATE(2026,5,19),tblDaily[WardCode],"FAE")),"")</f>
        <v/>
      </c>
      <c r="L186" s="13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3" t="str">
        <f>IFERROR(IF(SUMIFS(tblDaily[TransfersIn],tblDaily[EntryDate],DATE(2026,5,19),tblDaily[WardCode],"FAE")=0,"",SUMIFS(tblDaily[TransfersIn],tblDaily[EntryDate],DATE(2026,5,19),tblDaily[WardCode],"FAE")),"")</f>
        <v/>
      </c>
      <c r="N186" s="13" t="str">
        <f>IFERROR(IF(SUMIFS(tblDaily[TransfersOut],tblDaily[EntryDate],DATE(2026,5,19),tblDaily[WardCode],"FAE")=0,"",SUMIFS(tblDaily[TransfersOut],tblDaily[EntryDate],DATE(2026,5,19),tblDaily[WardCode],"FAE")),"")</f>
        <v/>
      </c>
      <c r="O186" s="13" t="str">
        <f>IFERROR(IF(SUMIFS(tblDaily[Remaining],tblDaily[EntryDate],DATE(2026,5,19),tblDaily[WardCode],"FAE")=0,"",SUMIFS(tblDaily[Remaining],tblDaily[EntryDate],DATE(2026,5,19),tblDaily[WardCode],"FAE")),"")</f>
        <v/>
      </c>
    </row>
    <row r="187" spans="1:15" x14ac:dyDescent="0.25">
      <c r="A187" s="13">
        <v>20</v>
      </c>
      <c r="B187" s="13" t="str">
        <f>IFERROR(IF(SUMIFS(tblDaily[Admissions],tblDaily[EntryDate],DATE(2026,5,20),tblDaily[WardCode],"MAE")=0,"",SUMIFS(tblDaily[Admissions],tblDaily[EntryDate],DATE(2026,5,20),tblDaily[WardCode],"MAE")),"")</f>
        <v/>
      </c>
      <c r="C187" s="13" t="str">
        <f>IFERROR(IF(SUMIFS(tblDaily[Discharges],tblDaily[EntryDate],DATE(2026,5,20),tblDaily[WardCode],"MAE")=0,"",SUMIFS(tblDaily[Discharges],tblDaily[EntryDate],DATE(2026,5,20),tblDaily[WardCode],"MAE")),"")</f>
        <v/>
      </c>
      <c r="D187" s="13" t="str">
        <f>IFERROR(IF(SUMIFS(tblDaily[Deaths],tblDaily[EntryDate],DATE(2026,5,20),tblDaily[WardCode],"MAE")=0,"",SUMIFS(tblDaily[Deaths],tblDaily[EntryDate],DATE(2026,5,20),tblDaily[WardCode],"MAE")),"")</f>
        <v/>
      </c>
      <c r="E187" s="13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3" t="str">
        <f>IFERROR(IF(SUMIFS(tblDaily[TransfersIn],tblDaily[EntryDate],DATE(2026,5,20),tblDaily[WardCode],"MAE")=0,"",SUMIFS(tblDaily[TransfersIn],tblDaily[EntryDate],DATE(2026,5,20),tblDaily[WardCode],"MAE")),"")</f>
        <v/>
      </c>
      <c r="G187" s="13" t="str">
        <f>IFERROR(IF(SUMIFS(tblDaily[TransfersOut],tblDaily[EntryDate],DATE(2026,5,20),tblDaily[WardCode],"MAE")=0,"",SUMIFS(tblDaily[TransfersOut],tblDaily[EntryDate],DATE(2026,5,20),tblDaily[WardCode],"MAE")),"")</f>
        <v/>
      </c>
      <c r="H187" s="13" t="str">
        <f>IFERROR(IF(SUMIFS(tblDaily[Remaining],tblDaily[EntryDate],DATE(2026,5,20),tblDaily[WardCode],"MAE")=0,"",SUMIFS(tblDaily[Remaining],tblDaily[EntryDate],DATE(2026,5,20),tblDaily[WardCode],"MAE")),"")</f>
        <v/>
      </c>
      <c r="I187" s="13" t="str">
        <f>IFERROR(IF(SUMIFS(tblDaily[Admissions],tblDaily[EntryDate],DATE(2026,5,20),tblDaily[WardCode],"FAE")=0,"",SUMIFS(tblDaily[Admissions],tblDaily[EntryDate],DATE(2026,5,20),tblDaily[WardCode],"FAE")),"")</f>
        <v/>
      </c>
      <c r="J187" s="13" t="str">
        <f>IFERROR(IF(SUMIFS(tblDaily[Discharges],tblDaily[EntryDate],DATE(2026,5,20),tblDaily[WardCode],"FAE")=0,"",SUMIFS(tblDaily[Discharges],tblDaily[EntryDate],DATE(2026,5,20),tblDaily[WardCode],"FAE")),"")</f>
        <v/>
      </c>
      <c r="K187" s="13" t="str">
        <f>IFERROR(IF(SUMIFS(tblDaily[Deaths],tblDaily[EntryDate],DATE(2026,5,20),tblDaily[WardCode],"FAE")=0,"",SUMIFS(tblDaily[Deaths],tblDaily[EntryDate],DATE(2026,5,20),tblDaily[WardCode],"FAE")),"")</f>
        <v/>
      </c>
      <c r="L187" s="13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3" t="str">
        <f>IFERROR(IF(SUMIFS(tblDaily[TransfersIn],tblDaily[EntryDate],DATE(2026,5,20),tblDaily[WardCode],"FAE")=0,"",SUMIFS(tblDaily[TransfersIn],tblDaily[EntryDate],DATE(2026,5,20),tblDaily[WardCode],"FAE")),"")</f>
        <v/>
      </c>
      <c r="N187" s="13" t="str">
        <f>IFERROR(IF(SUMIFS(tblDaily[TransfersOut],tblDaily[EntryDate],DATE(2026,5,20),tblDaily[WardCode],"FAE")=0,"",SUMIFS(tblDaily[TransfersOut],tblDaily[EntryDate],DATE(2026,5,20),tblDaily[WardCode],"FAE")),"")</f>
        <v/>
      </c>
      <c r="O187" s="13" t="str">
        <f>IFERROR(IF(SUMIFS(tblDaily[Remaining],tblDaily[EntryDate],DATE(2026,5,20),tblDaily[WardCode],"FAE")=0,"",SUMIFS(tblDaily[Remaining],tblDaily[EntryDate],DATE(2026,5,20),tblDaily[WardCode],"FAE")),"")</f>
        <v/>
      </c>
    </row>
    <row r="188" spans="1:15" x14ac:dyDescent="0.25">
      <c r="A188" s="13">
        <v>21</v>
      </c>
      <c r="B188" s="13" t="str">
        <f>IFERROR(IF(SUMIFS(tblDaily[Admissions],tblDaily[EntryDate],DATE(2026,5,21),tblDaily[WardCode],"MAE")=0,"",SUMIFS(tblDaily[Admissions],tblDaily[EntryDate],DATE(2026,5,21),tblDaily[WardCode],"MAE")),"")</f>
        <v/>
      </c>
      <c r="C188" s="13" t="str">
        <f>IFERROR(IF(SUMIFS(tblDaily[Discharges],tblDaily[EntryDate],DATE(2026,5,21),tblDaily[WardCode],"MAE")=0,"",SUMIFS(tblDaily[Discharges],tblDaily[EntryDate],DATE(2026,5,21),tblDaily[WardCode],"MAE")),"")</f>
        <v/>
      </c>
      <c r="D188" s="13" t="str">
        <f>IFERROR(IF(SUMIFS(tblDaily[Deaths],tblDaily[EntryDate],DATE(2026,5,21),tblDaily[WardCode],"MAE")=0,"",SUMIFS(tblDaily[Deaths],tblDaily[EntryDate],DATE(2026,5,21),tblDaily[WardCode],"MAE")),"")</f>
        <v/>
      </c>
      <c r="E188" s="13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3" t="str">
        <f>IFERROR(IF(SUMIFS(tblDaily[TransfersIn],tblDaily[EntryDate],DATE(2026,5,21),tblDaily[WardCode],"MAE")=0,"",SUMIFS(tblDaily[TransfersIn],tblDaily[EntryDate],DATE(2026,5,21),tblDaily[WardCode],"MAE")),"")</f>
        <v/>
      </c>
      <c r="G188" s="13" t="str">
        <f>IFERROR(IF(SUMIFS(tblDaily[TransfersOut],tblDaily[EntryDate],DATE(2026,5,21),tblDaily[WardCode],"MAE")=0,"",SUMIFS(tblDaily[TransfersOut],tblDaily[EntryDate],DATE(2026,5,21),tblDaily[WardCode],"MAE")),"")</f>
        <v/>
      </c>
      <c r="H188" s="13" t="str">
        <f>IFERROR(IF(SUMIFS(tblDaily[Remaining],tblDaily[EntryDate],DATE(2026,5,21),tblDaily[WardCode],"MAE")=0,"",SUMIFS(tblDaily[Remaining],tblDaily[EntryDate],DATE(2026,5,21),tblDaily[WardCode],"MAE")),"")</f>
        <v/>
      </c>
      <c r="I188" s="13" t="str">
        <f>IFERROR(IF(SUMIFS(tblDaily[Admissions],tblDaily[EntryDate],DATE(2026,5,21),tblDaily[WardCode],"FAE")=0,"",SUMIFS(tblDaily[Admissions],tblDaily[EntryDate],DATE(2026,5,21),tblDaily[WardCode],"FAE")),"")</f>
        <v/>
      </c>
      <c r="J188" s="13" t="str">
        <f>IFERROR(IF(SUMIFS(tblDaily[Discharges],tblDaily[EntryDate],DATE(2026,5,21),tblDaily[WardCode],"FAE")=0,"",SUMIFS(tblDaily[Discharges],tblDaily[EntryDate],DATE(2026,5,21),tblDaily[WardCode],"FAE")),"")</f>
        <v/>
      </c>
      <c r="K188" s="13" t="str">
        <f>IFERROR(IF(SUMIFS(tblDaily[Deaths],tblDaily[EntryDate],DATE(2026,5,21),tblDaily[WardCode],"FAE")=0,"",SUMIFS(tblDaily[Deaths],tblDaily[EntryDate],DATE(2026,5,21),tblDaily[WardCode],"FAE")),"")</f>
        <v/>
      </c>
      <c r="L188" s="13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3" t="str">
        <f>IFERROR(IF(SUMIFS(tblDaily[TransfersIn],tblDaily[EntryDate],DATE(2026,5,21),tblDaily[WardCode],"FAE")=0,"",SUMIFS(tblDaily[TransfersIn],tblDaily[EntryDate],DATE(2026,5,21),tblDaily[WardCode],"FAE")),"")</f>
        <v/>
      </c>
      <c r="N188" s="13" t="str">
        <f>IFERROR(IF(SUMIFS(tblDaily[TransfersOut],tblDaily[EntryDate],DATE(2026,5,21),tblDaily[WardCode],"FAE")=0,"",SUMIFS(tblDaily[TransfersOut],tblDaily[EntryDate],DATE(2026,5,21),tblDaily[WardCode],"FAE")),"")</f>
        <v/>
      </c>
      <c r="O188" s="13" t="str">
        <f>IFERROR(IF(SUMIFS(tblDaily[Remaining],tblDaily[EntryDate],DATE(2026,5,21),tblDaily[WardCode],"FAE")=0,"",SUMIFS(tblDaily[Remaining],tblDaily[EntryDate],DATE(2026,5,21),tblDaily[WardCode],"FAE")),"")</f>
        <v/>
      </c>
    </row>
    <row r="189" spans="1:15" x14ac:dyDescent="0.25">
      <c r="A189" s="13">
        <v>22</v>
      </c>
      <c r="B189" s="13" t="str">
        <f>IFERROR(IF(SUMIFS(tblDaily[Admissions],tblDaily[EntryDate],DATE(2026,5,22),tblDaily[WardCode],"MAE")=0,"",SUMIFS(tblDaily[Admissions],tblDaily[EntryDate],DATE(2026,5,22),tblDaily[WardCode],"MAE")),"")</f>
        <v/>
      </c>
      <c r="C189" s="13" t="str">
        <f>IFERROR(IF(SUMIFS(tblDaily[Discharges],tblDaily[EntryDate],DATE(2026,5,22),tblDaily[WardCode],"MAE")=0,"",SUMIFS(tblDaily[Discharges],tblDaily[EntryDate],DATE(2026,5,22),tblDaily[WardCode],"MAE")),"")</f>
        <v/>
      </c>
      <c r="D189" s="13" t="str">
        <f>IFERROR(IF(SUMIFS(tblDaily[Deaths],tblDaily[EntryDate],DATE(2026,5,22),tblDaily[WardCode],"MAE")=0,"",SUMIFS(tblDaily[Deaths],tblDaily[EntryDate],DATE(2026,5,22),tblDaily[WardCode],"MAE")),"")</f>
        <v/>
      </c>
      <c r="E189" s="13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3" t="str">
        <f>IFERROR(IF(SUMIFS(tblDaily[TransfersIn],tblDaily[EntryDate],DATE(2026,5,22),tblDaily[WardCode],"MAE")=0,"",SUMIFS(tblDaily[TransfersIn],tblDaily[EntryDate],DATE(2026,5,22),tblDaily[WardCode],"MAE")),"")</f>
        <v/>
      </c>
      <c r="G189" s="13" t="str">
        <f>IFERROR(IF(SUMIFS(tblDaily[TransfersOut],tblDaily[EntryDate],DATE(2026,5,22),tblDaily[WardCode],"MAE")=0,"",SUMIFS(tblDaily[TransfersOut],tblDaily[EntryDate],DATE(2026,5,22),tblDaily[WardCode],"MAE")),"")</f>
        <v/>
      </c>
      <c r="H189" s="13" t="str">
        <f>IFERROR(IF(SUMIFS(tblDaily[Remaining],tblDaily[EntryDate],DATE(2026,5,22),tblDaily[WardCode],"MAE")=0,"",SUMIFS(tblDaily[Remaining],tblDaily[EntryDate],DATE(2026,5,22),tblDaily[WardCode],"MAE")),"")</f>
        <v/>
      </c>
      <c r="I189" s="13" t="str">
        <f>IFERROR(IF(SUMIFS(tblDaily[Admissions],tblDaily[EntryDate],DATE(2026,5,22),tblDaily[WardCode],"FAE")=0,"",SUMIFS(tblDaily[Admissions],tblDaily[EntryDate],DATE(2026,5,22),tblDaily[WardCode],"FAE")),"")</f>
        <v/>
      </c>
      <c r="J189" s="13" t="str">
        <f>IFERROR(IF(SUMIFS(tblDaily[Discharges],tblDaily[EntryDate],DATE(2026,5,22),tblDaily[WardCode],"FAE")=0,"",SUMIFS(tblDaily[Discharges],tblDaily[EntryDate],DATE(2026,5,22),tblDaily[WardCode],"FAE")),"")</f>
        <v/>
      </c>
      <c r="K189" s="13" t="str">
        <f>IFERROR(IF(SUMIFS(tblDaily[Deaths],tblDaily[EntryDate],DATE(2026,5,22),tblDaily[WardCode],"FAE")=0,"",SUMIFS(tblDaily[Deaths],tblDaily[EntryDate],DATE(2026,5,22),tblDaily[WardCode],"FAE")),"")</f>
        <v/>
      </c>
      <c r="L189" s="13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3" t="str">
        <f>IFERROR(IF(SUMIFS(tblDaily[TransfersIn],tblDaily[EntryDate],DATE(2026,5,22),tblDaily[WardCode],"FAE")=0,"",SUMIFS(tblDaily[TransfersIn],tblDaily[EntryDate],DATE(2026,5,22),tblDaily[WardCode],"FAE")),"")</f>
        <v/>
      </c>
      <c r="N189" s="13" t="str">
        <f>IFERROR(IF(SUMIFS(tblDaily[TransfersOut],tblDaily[EntryDate],DATE(2026,5,22),tblDaily[WardCode],"FAE")=0,"",SUMIFS(tblDaily[TransfersOut],tblDaily[EntryDate],DATE(2026,5,22),tblDaily[WardCode],"FAE")),"")</f>
        <v/>
      </c>
      <c r="O189" s="13" t="str">
        <f>IFERROR(IF(SUMIFS(tblDaily[Remaining],tblDaily[EntryDate],DATE(2026,5,22),tblDaily[WardCode],"FAE")=0,"",SUMIFS(tblDaily[Remaining],tblDaily[EntryDate],DATE(2026,5,22),tblDaily[WardCode],"FAE")),"")</f>
        <v/>
      </c>
    </row>
    <row r="190" spans="1:15" x14ac:dyDescent="0.25">
      <c r="A190" s="13">
        <v>23</v>
      </c>
      <c r="B190" s="13" t="str">
        <f>IFERROR(IF(SUMIFS(tblDaily[Admissions],tblDaily[EntryDate],DATE(2026,5,23),tblDaily[WardCode],"MAE")=0,"",SUMIFS(tblDaily[Admissions],tblDaily[EntryDate],DATE(2026,5,23),tblDaily[WardCode],"MAE")),"")</f>
        <v/>
      </c>
      <c r="C190" s="13" t="str">
        <f>IFERROR(IF(SUMIFS(tblDaily[Discharges],tblDaily[EntryDate],DATE(2026,5,23),tblDaily[WardCode],"MAE")=0,"",SUMIFS(tblDaily[Discharges],tblDaily[EntryDate],DATE(2026,5,23),tblDaily[WardCode],"MAE")),"")</f>
        <v/>
      </c>
      <c r="D190" s="13" t="str">
        <f>IFERROR(IF(SUMIFS(tblDaily[Deaths],tblDaily[EntryDate],DATE(2026,5,23),tblDaily[WardCode],"MAE")=0,"",SUMIFS(tblDaily[Deaths],tblDaily[EntryDate],DATE(2026,5,23),tblDaily[WardCode],"MAE")),"")</f>
        <v/>
      </c>
      <c r="E190" s="13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3" t="str">
        <f>IFERROR(IF(SUMIFS(tblDaily[TransfersIn],tblDaily[EntryDate],DATE(2026,5,23),tblDaily[WardCode],"MAE")=0,"",SUMIFS(tblDaily[TransfersIn],tblDaily[EntryDate],DATE(2026,5,23),tblDaily[WardCode],"MAE")),"")</f>
        <v/>
      </c>
      <c r="G190" s="13" t="str">
        <f>IFERROR(IF(SUMIFS(tblDaily[TransfersOut],tblDaily[EntryDate],DATE(2026,5,23),tblDaily[WardCode],"MAE")=0,"",SUMIFS(tblDaily[TransfersOut],tblDaily[EntryDate],DATE(2026,5,23),tblDaily[WardCode],"MAE")),"")</f>
        <v/>
      </c>
      <c r="H190" s="13" t="str">
        <f>IFERROR(IF(SUMIFS(tblDaily[Remaining],tblDaily[EntryDate],DATE(2026,5,23),tblDaily[WardCode],"MAE")=0,"",SUMIFS(tblDaily[Remaining],tblDaily[EntryDate],DATE(2026,5,23),tblDaily[WardCode],"MAE")),"")</f>
        <v/>
      </c>
      <c r="I190" s="13" t="str">
        <f>IFERROR(IF(SUMIFS(tblDaily[Admissions],tblDaily[EntryDate],DATE(2026,5,23),tblDaily[WardCode],"FAE")=0,"",SUMIFS(tblDaily[Admissions],tblDaily[EntryDate],DATE(2026,5,23),tblDaily[WardCode],"FAE")),"")</f>
        <v/>
      </c>
      <c r="J190" s="13" t="str">
        <f>IFERROR(IF(SUMIFS(tblDaily[Discharges],tblDaily[EntryDate],DATE(2026,5,23),tblDaily[WardCode],"FAE")=0,"",SUMIFS(tblDaily[Discharges],tblDaily[EntryDate],DATE(2026,5,23),tblDaily[WardCode],"FAE")),"")</f>
        <v/>
      </c>
      <c r="K190" s="13" t="str">
        <f>IFERROR(IF(SUMIFS(tblDaily[Deaths],tblDaily[EntryDate],DATE(2026,5,23),tblDaily[WardCode],"FAE")=0,"",SUMIFS(tblDaily[Deaths],tblDaily[EntryDate],DATE(2026,5,23),tblDaily[WardCode],"FAE")),"")</f>
        <v/>
      </c>
      <c r="L190" s="13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3" t="str">
        <f>IFERROR(IF(SUMIFS(tblDaily[TransfersIn],tblDaily[EntryDate],DATE(2026,5,23),tblDaily[WardCode],"FAE")=0,"",SUMIFS(tblDaily[TransfersIn],tblDaily[EntryDate],DATE(2026,5,23),tblDaily[WardCode],"FAE")),"")</f>
        <v/>
      </c>
      <c r="N190" s="13" t="str">
        <f>IFERROR(IF(SUMIFS(tblDaily[TransfersOut],tblDaily[EntryDate],DATE(2026,5,23),tblDaily[WardCode],"FAE")=0,"",SUMIFS(tblDaily[TransfersOut],tblDaily[EntryDate],DATE(2026,5,23),tblDaily[WardCode],"FAE")),"")</f>
        <v/>
      </c>
      <c r="O190" s="13" t="str">
        <f>IFERROR(IF(SUMIFS(tblDaily[Remaining],tblDaily[EntryDate],DATE(2026,5,23),tblDaily[WardCode],"FAE")=0,"",SUMIFS(tblDaily[Remaining],tblDaily[EntryDate],DATE(2026,5,23),tblDaily[WardCode],"FAE")),"")</f>
        <v/>
      </c>
    </row>
    <row r="191" spans="1:15" x14ac:dyDescent="0.25">
      <c r="A191" s="13">
        <v>24</v>
      </c>
      <c r="B191" s="13" t="str">
        <f>IFERROR(IF(SUMIFS(tblDaily[Admissions],tblDaily[EntryDate],DATE(2026,5,24),tblDaily[WardCode],"MAE")=0,"",SUMIFS(tblDaily[Admissions],tblDaily[EntryDate],DATE(2026,5,24),tblDaily[WardCode],"MAE")),"")</f>
        <v/>
      </c>
      <c r="C191" s="13" t="str">
        <f>IFERROR(IF(SUMIFS(tblDaily[Discharges],tblDaily[EntryDate],DATE(2026,5,24),tblDaily[WardCode],"MAE")=0,"",SUMIFS(tblDaily[Discharges],tblDaily[EntryDate],DATE(2026,5,24),tblDaily[WardCode],"MAE")),"")</f>
        <v/>
      </c>
      <c r="D191" s="13" t="str">
        <f>IFERROR(IF(SUMIFS(tblDaily[Deaths],tblDaily[EntryDate],DATE(2026,5,24),tblDaily[WardCode],"MAE")=0,"",SUMIFS(tblDaily[Deaths],tblDaily[EntryDate],DATE(2026,5,24),tblDaily[WardCode],"MAE")),"")</f>
        <v/>
      </c>
      <c r="E191" s="13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3" t="str">
        <f>IFERROR(IF(SUMIFS(tblDaily[TransfersIn],tblDaily[EntryDate],DATE(2026,5,24),tblDaily[WardCode],"MAE")=0,"",SUMIFS(tblDaily[TransfersIn],tblDaily[EntryDate],DATE(2026,5,24),tblDaily[WardCode],"MAE")),"")</f>
        <v/>
      </c>
      <c r="G191" s="13" t="str">
        <f>IFERROR(IF(SUMIFS(tblDaily[TransfersOut],tblDaily[EntryDate],DATE(2026,5,24),tblDaily[WardCode],"MAE")=0,"",SUMIFS(tblDaily[TransfersOut],tblDaily[EntryDate],DATE(2026,5,24),tblDaily[WardCode],"MAE")),"")</f>
        <v/>
      </c>
      <c r="H191" s="13" t="str">
        <f>IFERROR(IF(SUMIFS(tblDaily[Remaining],tblDaily[EntryDate],DATE(2026,5,24),tblDaily[WardCode],"MAE")=0,"",SUMIFS(tblDaily[Remaining],tblDaily[EntryDate],DATE(2026,5,24),tblDaily[WardCode],"MAE")),"")</f>
        <v/>
      </c>
      <c r="I191" s="13" t="str">
        <f>IFERROR(IF(SUMIFS(tblDaily[Admissions],tblDaily[EntryDate],DATE(2026,5,24),tblDaily[WardCode],"FAE")=0,"",SUMIFS(tblDaily[Admissions],tblDaily[EntryDate],DATE(2026,5,24),tblDaily[WardCode],"FAE")),"")</f>
        <v/>
      </c>
      <c r="J191" s="13" t="str">
        <f>IFERROR(IF(SUMIFS(tblDaily[Discharges],tblDaily[EntryDate],DATE(2026,5,24),tblDaily[WardCode],"FAE")=0,"",SUMIFS(tblDaily[Discharges],tblDaily[EntryDate],DATE(2026,5,24),tblDaily[WardCode],"FAE")),"")</f>
        <v/>
      </c>
      <c r="K191" s="13" t="str">
        <f>IFERROR(IF(SUMIFS(tblDaily[Deaths],tblDaily[EntryDate],DATE(2026,5,24),tblDaily[WardCode],"FAE")=0,"",SUMIFS(tblDaily[Deaths],tblDaily[EntryDate],DATE(2026,5,24),tblDaily[WardCode],"FAE")),"")</f>
        <v/>
      </c>
      <c r="L191" s="13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3" t="str">
        <f>IFERROR(IF(SUMIFS(tblDaily[TransfersIn],tblDaily[EntryDate],DATE(2026,5,24),tblDaily[WardCode],"FAE")=0,"",SUMIFS(tblDaily[TransfersIn],tblDaily[EntryDate],DATE(2026,5,24),tblDaily[WardCode],"FAE")),"")</f>
        <v/>
      </c>
      <c r="N191" s="13" t="str">
        <f>IFERROR(IF(SUMIFS(tblDaily[TransfersOut],tblDaily[EntryDate],DATE(2026,5,24),tblDaily[WardCode],"FAE")=0,"",SUMIFS(tblDaily[TransfersOut],tblDaily[EntryDate],DATE(2026,5,24),tblDaily[WardCode],"FAE")),"")</f>
        <v/>
      </c>
      <c r="O191" s="13" t="str">
        <f>IFERROR(IF(SUMIFS(tblDaily[Remaining],tblDaily[EntryDate],DATE(2026,5,24),tblDaily[WardCode],"FAE")=0,"",SUMIFS(tblDaily[Remaining],tblDaily[EntryDate],DATE(2026,5,24),tblDaily[WardCode],"FAE")),"")</f>
        <v/>
      </c>
    </row>
    <row r="192" spans="1:15" x14ac:dyDescent="0.25">
      <c r="A192" s="13">
        <v>25</v>
      </c>
      <c r="B192" s="13" t="str">
        <f>IFERROR(IF(SUMIFS(tblDaily[Admissions],tblDaily[EntryDate],DATE(2026,5,25),tblDaily[WardCode],"MAE")=0,"",SUMIFS(tblDaily[Admissions],tblDaily[EntryDate],DATE(2026,5,25),tblDaily[WardCode],"MAE")),"")</f>
        <v/>
      </c>
      <c r="C192" s="13" t="str">
        <f>IFERROR(IF(SUMIFS(tblDaily[Discharges],tblDaily[EntryDate],DATE(2026,5,25),tblDaily[WardCode],"MAE")=0,"",SUMIFS(tblDaily[Discharges],tblDaily[EntryDate],DATE(2026,5,25),tblDaily[WardCode],"MAE")),"")</f>
        <v/>
      </c>
      <c r="D192" s="13" t="str">
        <f>IFERROR(IF(SUMIFS(tblDaily[Deaths],tblDaily[EntryDate],DATE(2026,5,25),tblDaily[WardCode],"MAE")=0,"",SUMIFS(tblDaily[Deaths],tblDaily[EntryDate],DATE(2026,5,25),tblDaily[WardCode],"MAE")),"")</f>
        <v/>
      </c>
      <c r="E192" s="13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3" t="str">
        <f>IFERROR(IF(SUMIFS(tblDaily[TransfersIn],tblDaily[EntryDate],DATE(2026,5,25),tblDaily[WardCode],"MAE")=0,"",SUMIFS(tblDaily[TransfersIn],tblDaily[EntryDate],DATE(2026,5,25),tblDaily[WardCode],"MAE")),"")</f>
        <v/>
      </c>
      <c r="G192" s="13" t="str">
        <f>IFERROR(IF(SUMIFS(tblDaily[TransfersOut],tblDaily[EntryDate],DATE(2026,5,25),tblDaily[WardCode],"MAE")=0,"",SUMIFS(tblDaily[TransfersOut],tblDaily[EntryDate],DATE(2026,5,25),tblDaily[WardCode],"MAE")),"")</f>
        <v/>
      </c>
      <c r="H192" s="13" t="str">
        <f>IFERROR(IF(SUMIFS(tblDaily[Remaining],tblDaily[EntryDate],DATE(2026,5,25),tblDaily[WardCode],"MAE")=0,"",SUMIFS(tblDaily[Remaining],tblDaily[EntryDate],DATE(2026,5,25),tblDaily[WardCode],"MAE")),"")</f>
        <v/>
      </c>
      <c r="I192" s="13" t="str">
        <f>IFERROR(IF(SUMIFS(tblDaily[Admissions],tblDaily[EntryDate],DATE(2026,5,25),tblDaily[WardCode],"FAE")=0,"",SUMIFS(tblDaily[Admissions],tblDaily[EntryDate],DATE(2026,5,25),tblDaily[WardCode],"FAE")),"")</f>
        <v/>
      </c>
      <c r="J192" s="13" t="str">
        <f>IFERROR(IF(SUMIFS(tblDaily[Discharges],tblDaily[EntryDate],DATE(2026,5,25),tblDaily[WardCode],"FAE")=0,"",SUMIFS(tblDaily[Discharges],tblDaily[EntryDate],DATE(2026,5,25),tblDaily[WardCode],"FAE")),"")</f>
        <v/>
      </c>
      <c r="K192" s="13" t="str">
        <f>IFERROR(IF(SUMIFS(tblDaily[Deaths],tblDaily[EntryDate],DATE(2026,5,25),tblDaily[WardCode],"FAE")=0,"",SUMIFS(tblDaily[Deaths],tblDaily[EntryDate],DATE(2026,5,25),tblDaily[WardCode],"FAE")),"")</f>
        <v/>
      </c>
      <c r="L192" s="13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3" t="str">
        <f>IFERROR(IF(SUMIFS(tblDaily[TransfersIn],tblDaily[EntryDate],DATE(2026,5,25),tblDaily[WardCode],"FAE")=0,"",SUMIFS(tblDaily[TransfersIn],tblDaily[EntryDate],DATE(2026,5,25),tblDaily[WardCode],"FAE")),"")</f>
        <v/>
      </c>
      <c r="N192" s="13" t="str">
        <f>IFERROR(IF(SUMIFS(tblDaily[TransfersOut],tblDaily[EntryDate],DATE(2026,5,25),tblDaily[WardCode],"FAE")=0,"",SUMIFS(tblDaily[TransfersOut],tblDaily[EntryDate],DATE(2026,5,25),tblDaily[WardCode],"FAE")),"")</f>
        <v/>
      </c>
      <c r="O192" s="13" t="str">
        <f>IFERROR(IF(SUMIFS(tblDaily[Remaining],tblDaily[EntryDate],DATE(2026,5,25),tblDaily[WardCode],"FAE")=0,"",SUMIFS(tblDaily[Remaining],tblDaily[EntryDate],DATE(2026,5,25),tblDaily[WardCode],"FAE")),"")</f>
        <v/>
      </c>
    </row>
    <row r="193" spans="1:15" x14ac:dyDescent="0.25">
      <c r="A193" s="13">
        <v>26</v>
      </c>
      <c r="B193" s="13" t="str">
        <f>IFERROR(IF(SUMIFS(tblDaily[Admissions],tblDaily[EntryDate],DATE(2026,5,26),tblDaily[WardCode],"MAE")=0,"",SUMIFS(tblDaily[Admissions],tblDaily[EntryDate],DATE(2026,5,26),tblDaily[WardCode],"MAE")),"")</f>
        <v/>
      </c>
      <c r="C193" s="13" t="str">
        <f>IFERROR(IF(SUMIFS(tblDaily[Discharges],tblDaily[EntryDate],DATE(2026,5,26),tblDaily[WardCode],"MAE")=0,"",SUMIFS(tblDaily[Discharges],tblDaily[EntryDate],DATE(2026,5,26),tblDaily[WardCode],"MAE")),"")</f>
        <v/>
      </c>
      <c r="D193" s="13" t="str">
        <f>IFERROR(IF(SUMIFS(tblDaily[Deaths],tblDaily[EntryDate],DATE(2026,5,26),tblDaily[WardCode],"MAE")=0,"",SUMIFS(tblDaily[Deaths],tblDaily[EntryDate],DATE(2026,5,26),tblDaily[WardCode],"MAE")),"")</f>
        <v/>
      </c>
      <c r="E193" s="13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3" t="str">
        <f>IFERROR(IF(SUMIFS(tblDaily[TransfersIn],tblDaily[EntryDate],DATE(2026,5,26),tblDaily[WardCode],"MAE")=0,"",SUMIFS(tblDaily[TransfersIn],tblDaily[EntryDate],DATE(2026,5,26),tblDaily[WardCode],"MAE")),"")</f>
        <v/>
      </c>
      <c r="G193" s="13" t="str">
        <f>IFERROR(IF(SUMIFS(tblDaily[TransfersOut],tblDaily[EntryDate],DATE(2026,5,26),tblDaily[WardCode],"MAE")=0,"",SUMIFS(tblDaily[TransfersOut],tblDaily[EntryDate],DATE(2026,5,26),tblDaily[WardCode],"MAE")),"")</f>
        <v/>
      </c>
      <c r="H193" s="13" t="str">
        <f>IFERROR(IF(SUMIFS(tblDaily[Remaining],tblDaily[EntryDate],DATE(2026,5,26),tblDaily[WardCode],"MAE")=0,"",SUMIFS(tblDaily[Remaining],tblDaily[EntryDate],DATE(2026,5,26),tblDaily[WardCode],"MAE")),"")</f>
        <v/>
      </c>
      <c r="I193" s="13" t="str">
        <f>IFERROR(IF(SUMIFS(tblDaily[Admissions],tblDaily[EntryDate],DATE(2026,5,26),tblDaily[WardCode],"FAE")=0,"",SUMIFS(tblDaily[Admissions],tblDaily[EntryDate],DATE(2026,5,26),tblDaily[WardCode],"FAE")),"")</f>
        <v/>
      </c>
      <c r="J193" s="13" t="str">
        <f>IFERROR(IF(SUMIFS(tblDaily[Discharges],tblDaily[EntryDate],DATE(2026,5,26),tblDaily[WardCode],"FAE")=0,"",SUMIFS(tblDaily[Discharges],tblDaily[EntryDate],DATE(2026,5,26),tblDaily[WardCode],"FAE")),"")</f>
        <v/>
      </c>
      <c r="K193" s="13" t="str">
        <f>IFERROR(IF(SUMIFS(tblDaily[Deaths],tblDaily[EntryDate],DATE(2026,5,26),tblDaily[WardCode],"FAE")=0,"",SUMIFS(tblDaily[Deaths],tblDaily[EntryDate],DATE(2026,5,26),tblDaily[WardCode],"FAE")),"")</f>
        <v/>
      </c>
      <c r="L193" s="13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3" t="str">
        <f>IFERROR(IF(SUMIFS(tblDaily[TransfersIn],tblDaily[EntryDate],DATE(2026,5,26),tblDaily[WardCode],"FAE")=0,"",SUMIFS(tblDaily[TransfersIn],tblDaily[EntryDate],DATE(2026,5,26),tblDaily[WardCode],"FAE")),"")</f>
        <v/>
      </c>
      <c r="N193" s="13" t="str">
        <f>IFERROR(IF(SUMIFS(tblDaily[TransfersOut],tblDaily[EntryDate],DATE(2026,5,26),tblDaily[WardCode],"FAE")=0,"",SUMIFS(tblDaily[TransfersOut],tblDaily[EntryDate],DATE(2026,5,26),tblDaily[WardCode],"FAE")),"")</f>
        <v/>
      </c>
      <c r="O193" s="13" t="str">
        <f>IFERROR(IF(SUMIFS(tblDaily[Remaining],tblDaily[EntryDate],DATE(2026,5,26),tblDaily[WardCode],"FAE")=0,"",SUMIFS(tblDaily[Remaining],tblDaily[EntryDate],DATE(2026,5,26),tblDaily[WardCode],"FAE")),"")</f>
        <v/>
      </c>
    </row>
    <row r="194" spans="1:15" x14ac:dyDescent="0.25">
      <c r="A194" s="13">
        <v>27</v>
      </c>
      <c r="B194" s="13" t="str">
        <f>IFERROR(IF(SUMIFS(tblDaily[Admissions],tblDaily[EntryDate],DATE(2026,5,27),tblDaily[WardCode],"MAE")=0,"",SUMIFS(tblDaily[Admissions],tblDaily[EntryDate],DATE(2026,5,27),tblDaily[WardCode],"MAE")),"")</f>
        <v/>
      </c>
      <c r="C194" s="13" t="str">
        <f>IFERROR(IF(SUMIFS(tblDaily[Discharges],tblDaily[EntryDate],DATE(2026,5,27),tblDaily[WardCode],"MAE")=0,"",SUMIFS(tblDaily[Discharges],tblDaily[EntryDate],DATE(2026,5,27),tblDaily[WardCode],"MAE")),"")</f>
        <v/>
      </c>
      <c r="D194" s="13" t="str">
        <f>IFERROR(IF(SUMIFS(tblDaily[Deaths],tblDaily[EntryDate],DATE(2026,5,27),tblDaily[WardCode],"MAE")=0,"",SUMIFS(tblDaily[Deaths],tblDaily[EntryDate],DATE(2026,5,27),tblDaily[WardCode],"MAE")),"")</f>
        <v/>
      </c>
      <c r="E194" s="13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3" t="str">
        <f>IFERROR(IF(SUMIFS(tblDaily[TransfersIn],tblDaily[EntryDate],DATE(2026,5,27),tblDaily[WardCode],"MAE")=0,"",SUMIFS(tblDaily[TransfersIn],tblDaily[EntryDate],DATE(2026,5,27),tblDaily[WardCode],"MAE")),"")</f>
        <v/>
      </c>
      <c r="G194" s="13" t="str">
        <f>IFERROR(IF(SUMIFS(tblDaily[TransfersOut],tblDaily[EntryDate],DATE(2026,5,27),tblDaily[WardCode],"MAE")=0,"",SUMIFS(tblDaily[TransfersOut],tblDaily[EntryDate],DATE(2026,5,27),tblDaily[WardCode],"MAE")),"")</f>
        <v/>
      </c>
      <c r="H194" s="13" t="str">
        <f>IFERROR(IF(SUMIFS(tblDaily[Remaining],tblDaily[EntryDate],DATE(2026,5,27),tblDaily[WardCode],"MAE")=0,"",SUMIFS(tblDaily[Remaining],tblDaily[EntryDate],DATE(2026,5,27),tblDaily[WardCode],"MAE")),"")</f>
        <v/>
      </c>
      <c r="I194" s="13" t="str">
        <f>IFERROR(IF(SUMIFS(tblDaily[Admissions],tblDaily[EntryDate],DATE(2026,5,27),tblDaily[WardCode],"FAE")=0,"",SUMIFS(tblDaily[Admissions],tblDaily[EntryDate],DATE(2026,5,27),tblDaily[WardCode],"FAE")),"")</f>
        <v/>
      </c>
      <c r="J194" s="13" t="str">
        <f>IFERROR(IF(SUMIFS(tblDaily[Discharges],tblDaily[EntryDate],DATE(2026,5,27),tblDaily[WardCode],"FAE")=0,"",SUMIFS(tblDaily[Discharges],tblDaily[EntryDate],DATE(2026,5,27),tblDaily[WardCode],"FAE")),"")</f>
        <v/>
      </c>
      <c r="K194" s="13" t="str">
        <f>IFERROR(IF(SUMIFS(tblDaily[Deaths],tblDaily[EntryDate],DATE(2026,5,27),tblDaily[WardCode],"FAE")=0,"",SUMIFS(tblDaily[Deaths],tblDaily[EntryDate],DATE(2026,5,27),tblDaily[WardCode],"FAE")),"")</f>
        <v/>
      </c>
      <c r="L194" s="13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3" t="str">
        <f>IFERROR(IF(SUMIFS(tblDaily[TransfersIn],tblDaily[EntryDate],DATE(2026,5,27),tblDaily[WardCode],"FAE")=0,"",SUMIFS(tblDaily[TransfersIn],tblDaily[EntryDate],DATE(2026,5,27),tblDaily[WardCode],"FAE")),"")</f>
        <v/>
      </c>
      <c r="N194" s="13" t="str">
        <f>IFERROR(IF(SUMIFS(tblDaily[TransfersOut],tblDaily[EntryDate],DATE(2026,5,27),tblDaily[WardCode],"FAE")=0,"",SUMIFS(tblDaily[TransfersOut],tblDaily[EntryDate],DATE(2026,5,27),tblDaily[WardCode],"FAE")),"")</f>
        <v/>
      </c>
      <c r="O194" s="13" t="str">
        <f>IFERROR(IF(SUMIFS(tblDaily[Remaining],tblDaily[EntryDate],DATE(2026,5,27),tblDaily[WardCode],"FAE")=0,"",SUMIFS(tblDaily[Remaining],tblDaily[EntryDate],DATE(2026,5,27),tblDaily[WardCode],"FAE")),"")</f>
        <v/>
      </c>
    </row>
    <row r="195" spans="1:15" x14ac:dyDescent="0.25">
      <c r="A195" s="13">
        <v>28</v>
      </c>
      <c r="B195" s="13" t="str">
        <f>IFERROR(IF(SUMIFS(tblDaily[Admissions],tblDaily[EntryDate],DATE(2026,5,28),tblDaily[WardCode],"MAE")=0,"",SUMIFS(tblDaily[Admissions],tblDaily[EntryDate],DATE(2026,5,28),tblDaily[WardCode],"MAE")),"")</f>
        <v/>
      </c>
      <c r="C195" s="13" t="str">
        <f>IFERROR(IF(SUMIFS(tblDaily[Discharges],tblDaily[EntryDate],DATE(2026,5,28),tblDaily[WardCode],"MAE")=0,"",SUMIFS(tblDaily[Discharges],tblDaily[EntryDate],DATE(2026,5,28),tblDaily[WardCode],"MAE")),"")</f>
        <v/>
      </c>
      <c r="D195" s="13" t="str">
        <f>IFERROR(IF(SUMIFS(tblDaily[Deaths],tblDaily[EntryDate],DATE(2026,5,28),tblDaily[WardCode],"MAE")=0,"",SUMIFS(tblDaily[Deaths],tblDaily[EntryDate],DATE(2026,5,28),tblDaily[WardCode],"MAE")),"")</f>
        <v/>
      </c>
      <c r="E195" s="13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3" t="str">
        <f>IFERROR(IF(SUMIFS(tblDaily[TransfersIn],tblDaily[EntryDate],DATE(2026,5,28),tblDaily[WardCode],"MAE")=0,"",SUMIFS(tblDaily[TransfersIn],tblDaily[EntryDate],DATE(2026,5,28),tblDaily[WardCode],"MAE")),"")</f>
        <v/>
      </c>
      <c r="G195" s="13" t="str">
        <f>IFERROR(IF(SUMIFS(tblDaily[TransfersOut],tblDaily[EntryDate],DATE(2026,5,28),tblDaily[WardCode],"MAE")=0,"",SUMIFS(tblDaily[TransfersOut],tblDaily[EntryDate],DATE(2026,5,28),tblDaily[WardCode],"MAE")),"")</f>
        <v/>
      </c>
      <c r="H195" s="13" t="str">
        <f>IFERROR(IF(SUMIFS(tblDaily[Remaining],tblDaily[EntryDate],DATE(2026,5,28),tblDaily[WardCode],"MAE")=0,"",SUMIFS(tblDaily[Remaining],tblDaily[EntryDate],DATE(2026,5,28),tblDaily[WardCode],"MAE")),"")</f>
        <v/>
      </c>
      <c r="I195" s="13" t="str">
        <f>IFERROR(IF(SUMIFS(tblDaily[Admissions],tblDaily[EntryDate],DATE(2026,5,28),tblDaily[WardCode],"FAE")=0,"",SUMIFS(tblDaily[Admissions],tblDaily[EntryDate],DATE(2026,5,28),tblDaily[WardCode],"FAE")),"")</f>
        <v/>
      </c>
      <c r="J195" s="13" t="str">
        <f>IFERROR(IF(SUMIFS(tblDaily[Discharges],tblDaily[EntryDate],DATE(2026,5,28),tblDaily[WardCode],"FAE")=0,"",SUMIFS(tblDaily[Discharges],tblDaily[EntryDate],DATE(2026,5,28),tblDaily[WardCode],"FAE")),"")</f>
        <v/>
      </c>
      <c r="K195" s="13" t="str">
        <f>IFERROR(IF(SUMIFS(tblDaily[Deaths],tblDaily[EntryDate],DATE(2026,5,28),tblDaily[WardCode],"FAE")=0,"",SUMIFS(tblDaily[Deaths],tblDaily[EntryDate],DATE(2026,5,28),tblDaily[WardCode],"FAE")),"")</f>
        <v/>
      </c>
      <c r="L195" s="13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3" t="str">
        <f>IFERROR(IF(SUMIFS(tblDaily[TransfersIn],tblDaily[EntryDate],DATE(2026,5,28),tblDaily[WardCode],"FAE")=0,"",SUMIFS(tblDaily[TransfersIn],tblDaily[EntryDate],DATE(2026,5,28),tblDaily[WardCode],"FAE")),"")</f>
        <v/>
      </c>
      <c r="N195" s="13" t="str">
        <f>IFERROR(IF(SUMIFS(tblDaily[TransfersOut],tblDaily[EntryDate],DATE(2026,5,28),tblDaily[WardCode],"FAE")=0,"",SUMIFS(tblDaily[TransfersOut],tblDaily[EntryDate],DATE(2026,5,28),tblDaily[WardCode],"FAE")),"")</f>
        <v/>
      </c>
      <c r="O195" s="13" t="str">
        <f>IFERROR(IF(SUMIFS(tblDaily[Remaining],tblDaily[EntryDate],DATE(2026,5,28),tblDaily[WardCode],"FAE")=0,"",SUMIFS(tblDaily[Remaining],tblDaily[EntryDate],DATE(2026,5,28),tblDaily[WardCode],"FAE")),"")</f>
        <v/>
      </c>
    </row>
    <row r="196" spans="1:15" x14ac:dyDescent="0.25">
      <c r="A196" s="13">
        <v>29</v>
      </c>
      <c r="B196" s="13" t="str">
        <f>IFERROR(IF(SUMIFS(tblDaily[Admissions],tblDaily[EntryDate],DATE(2026,5,29),tblDaily[WardCode],"MAE")=0,"",SUMIFS(tblDaily[Admissions],tblDaily[EntryDate],DATE(2026,5,29),tblDaily[WardCode],"MAE")),"")</f>
        <v/>
      </c>
      <c r="C196" s="13" t="str">
        <f>IFERROR(IF(SUMIFS(tblDaily[Discharges],tblDaily[EntryDate],DATE(2026,5,29),tblDaily[WardCode],"MAE")=0,"",SUMIFS(tblDaily[Discharges],tblDaily[EntryDate],DATE(2026,5,29),tblDaily[WardCode],"MAE")),"")</f>
        <v/>
      </c>
      <c r="D196" s="13" t="str">
        <f>IFERROR(IF(SUMIFS(tblDaily[Deaths],tblDaily[EntryDate],DATE(2026,5,29),tblDaily[WardCode],"MAE")=0,"",SUMIFS(tblDaily[Deaths],tblDaily[EntryDate],DATE(2026,5,29),tblDaily[WardCode],"MAE")),"")</f>
        <v/>
      </c>
      <c r="E196" s="13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3" t="str">
        <f>IFERROR(IF(SUMIFS(tblDaily[TransfersIn],tblDaily[EntryDate],DATE(2026,5,29),tblDaily[WardCode],"MAE")=0,"",SUMIFS(tblDaily[TransfersIn],tblDaily[EntryDate],DATE(2026,5,29),tblDaily[WardCode],"MAE")),"")</f>
        <v/>
      </c>
      <c r="G196" s="13" t="str">
        <f>IFERROR(IF(SUMIFS(tblDaily[TransfersOut],tblDaily[EntryDate],DATE(2026,5,29),tblDaily[WardCode],"MAE")=0,"",SUMIFS(tblDaily[TransfersOut],tblDaily[EntryDate],DATE(2026,5,29),tblDaily[WardCode],"MAE")),"")</f>
        <v/>
      </c>
      <c r="H196" s="13" t="str">
        <f>IFERROR(IF(SUMIFS(tblDaily[Remaining],tblDaily[EntryDate],DATE(2026,5,29),tblDaily[WardCode],"MAE")=0,"",SUMIFS(tblDaily[Remaining],tblDaily[EntryDate],DATE(2026,5,29),tblDaily[WardCode],"MAE")),"")</f>
        <v/>
      </c>
      <c r="I196" s="13" t="str">
        <f>IFERROR(IF(SUMIFS(tblDaily[Admissions],tblDaily[EntryDate],DATE(2026,5,29),tblDaily[WardCode],"FAE")=0,"",SUMIFS(tblDaily[Admissions],tblDaily[EntryDate],DATE(2026,5,29),tblDaily[WardCode],"FAE")),"")</f>
        <v/>
      </c>
      <c r="J196" s="13" t="str">
        <f>IFERROR(IF(SUMIFS(tblDaily[Discharges],tblDaily[EntryDate],DATE(2026,5,29),tblDaily[WardCode],"FAE")=0,"",SUMIFS(tblDaily[Discharges],tblDaily[EntryDate],DATE(2026,5,29),tblDaily[WardCode],"FAE")),"")</f>
        <v/>
      </c>
      <c r="K196" s="13" t="str">
        <f>IFERROR(IF(SUMIFS(tblDaily[Deaths],tblDaily[EntryDate],DATE(2026,5,29),tblDaily[WardCode],"FAE")=0,"",SUMIFS(tblDaily[Deaths],tblDaily[EntryDate],DATE(2026,5,29),tblDaily[WardCode],"FAE")),"")</f>
        <v/>
      </c>
      <c r="L196" s="13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3" t="str">
        <f>IFERROR(IF(SUMIFS(tblDaily[TransfersIn],tblDaily[EntryDate],DATE(2026,5,29),tblDaily[WardCode],"FAE")=0,"",SUMIFS(tblDaily[TransfersIn],tblDaily[EntryDate],DATE(2026,5,29),tblDaily[WardCode],"FAE")),"")</f>
        <v/>
      </c>
      <c r="N196" s="13" t="str">
        <f>IFERROR(IF(SUMIFS(tblDaily[TransfersOut],tblDaily[EntryDate],DATE(2026,5,29),tblDaily[WardCode],"FAE")=0,"",SUMIFS(tblDaily[TransfersOut],tblDaily[EntryDate],DATE(2026,5,29),tblDaily[WardCode],"FAE")),"")</f>
        <v/>
      </c>
      <c r="O196" s="13" t="str">
        <f>IFERROR(IF(SUMIFS(tblDaily[Remaining],tblDaily[EntryDate],DATE(2026,5,29),tblDaily[WardCode],"FAE")=0,"",SUMIFS(tblDaily[Remaining],tblDaily[EntryDate],DATE(2026,5,29),tblDaily[WardCode],"FAE")),"")</f>
        <v/>
      </c>
    </row>
    <row r="197" spans="1:15" x14ac:dyDescent="0.25">
      <c r="A197" s="13">
        <v>30</v>
      </c>
      <c r="B197" s="13" t="str">
        <f>IFERROR(IF(SUMIFS(tblDaily[Admissions],tblDaily[EntryDate],DATE(2026,5,30),tblDaily[WardCode],"MAE")=0,"",SUMIFS(tblDaily[Admissions],tblDaily[EntryDate],DATE(2026,5,30),tblDaily[WardCode],"MAE")),"")</f>
        <v/>
      </c>
      <c r="C197" s="13" t="str">
        <f>IFERROR(IF(SUMIFS(tblDaily[Discharges],tblDaily[EntryDate],DATE(2026,5,30),tblDaily[WardCode],"MAE")=0,"",SUMIFS(tblDaily[Discharges],tblDaily[EntryDate],DATE(2026,5,30),tblDaily[WardCode],"MAE")),"")</f>
        <v/>
      </c>
      <c r="D197" s="13" t="str">
        <f>IFERROR(IF(SUMIFS(tblDaily[Deaths],tblDaily[EntryDate],DATE(2026,5,30),tblDaily[WardCode],"MAE")=0,"",SUMIFS(tblDaily[Deaths],tblDaily[EntryDate],DATE(2026,5,30),tblDaily[WardCode],"MAE")),"")</f>
        <v/>
      </c>
      <c r="E197" s="13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3" t="str">
        <f>IFERROR(IF(SUMIFS(tblDaily[TransfersIn],tblDaily[EntryDate],DATE(2026,5,30),tblDaily[WardCode],"MAE")=0,"",SUMIFS(tblDaily[TransfersIn],tblDaily[EntryDate],DATE(2026,5,30),tblDaily[WardCode],"MAE")),"")</f>
        <v/>
      </c>
      <c r="G197" s="13" t="str">
        <f>IFERROR(IF(SUMIFS(tblDaily[TransfersOut],tblDaily[EntryDate],DATE(2026,5,30),tblDaily[WardCode],"MAE")=0,"",SUMIFS(tblDaily[TransfersOut],tblDaily[EntryDate],DATE(2026,5,30),tblDaily[WardCode],"MAE")),"")</f>
        <v/>
      </c>
      <c r="H197" s="13" t="str">
        <f>IFERROR(IF(SUMIFS(tblDaily[Remaining],tblDaily[EntryDate],DATE(2026,5,30),tblDaily[WardCode],"MAE")=0,"",SUMIFS(tblDaily[Remaining],tblDaily[EntryDate],DATE(2026,5,30),tblDaily[WardCode],"MAE")),"")</f>
        <v/>
      </c>
      <c r="I197" s="13" t="str">
        <f>IFERROR(IF(SUMIFS(tblDaily[Admissions],tblDaily[EntryDate],DATE(2026,5,30),tblDaily[WardCode],"FAE")=0,"",SUMIFS(tblDaily[Admissions],tblDaily[EntryDate],DATE(2026,5,30),tblDaily[WardCode],"FAE")),"")</f>
        <v/>
      </c>
      <c r="J197" s="13" t="str">
        <f>IFERROR(IF(SUMIFS(tblDaily[Discharges],tblDaily[EntryDate],DATE(2026,5,30),tblDaily[WardCode],"FAE")=0,"",SUMIFS(tblDaily[Discharges],tblDaily[EntryDate],DATE(2026,5,30),tblDaily[WardCode],"FAE")),"")</f>
        <v/>
      </c>
      <c r="K197" s="13" t="str">
        <f>IFERROR(IF(SUMIFS(tblDaily[Deaths],tblDaily[EntryDate],DATE(2026,5,30),tblDaily[WardCode],"FAE")=0,"",SUMIFS(tblDaily[Deaths],tblDaily[EntryDate],DATE(2026,5,30),tblDaily[WardCode],"FAE")),"")</f>
        <v/>
      </c>
      <c r="L197" s="13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3" t="str">
        <f>IFERROR(IF(SUMIFS(tblDaily[TransfersIn],tblDaily[EntryDate],DATE(2026,5,30),tblDaily[WardCode],"FAE")=0,"",SUMIFS(tblDaily[TransfersIn],tblDaily[EntryDate],DATE(2026,5,30),tblDaily[WardCode],"FAE")),"")</f>
        <v/>
      </c>
      <c r="N197" s="13" t="str">
        <f>IFERROR(IF(SUMIFS(tblDaily[TransfersOut],tblDaily[EntryDate],DATE(2026,5,30),tblDaily[WardCode],"FAE")=0,"",SUMIFS(tblDaily[TransfersOut],tblDaily[EntryDate],DATE(2026,5,30),tblDaily[WardCode],"FAE")),"")</f>
        <v/>
      </c>
      <c r="O197" s="13" t="str">
        <f>IFERROR(IF(SUMIFS(tblDaily[Remaining],tblDaily[EntryDate],DATE(2026,5,30),tblDaily[WardCode],"FAE")=0,"",SUMIFS(tblDaily[Remaining],tblDaily[EntryDate],DATE(2026,5,30),tblDaily[WardCode],"FAE")),"")</f>
        <v/>
      </c>
    </row>
    <row r="198" spans="1:15" x14ac:dyDescent="0.25">
      <c r="A198" s="13">
        <v>31</v>
      </c>
      <c r="B198" s="13" t="str">
        <f>IFERROR(IF(SUMIFS(tblDaily[Admissions],tblDaily[EntryDate],DATE(2026,5,31),tblDaily[WardCode],"MAE")=0,"",SUMIFS(tblDaily[Admissions],tblDaily[EntryDate],DATE(2026,5,31),tblDaily[WardCode],"MAE")),"")</f>
        <v/>
      </c>
      <c r="C198" s="13" t="str">
        <f>IFERROR(IF(SUMIFS(tblDaily[Discharges],tblDaily[EntryDate],DATE(2026,5,31),tblDaily[WardCode],"MAE")=0,"",SUMIFS(tblDaily[Discharges],tblDaily[EntryDate],DATE(2026,5,31),tblDaily[WardCode],"MAE")),"")</f>
        <v/>
      </c>
      <c r="D198" s="13" t="str">
        <f>IFERROR(IF(SUMIFS(tblDaily[Deaths],tblDaily[EntryDate],DATE(2026,5,31),tblDaily[WardCode],"MAE")=0,"",SUMIFS(tblDaily[Deaths],tblDaily[EntryDate],DATE(2026,5,31),tblDaily[WardCode],"MAE")),"")</f>
        <v/>
      </c>
      <c r="E198" s="13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3" t="str">
        <f>IFERROR(IF(SUMIFS(tblDaily[TransfersIn],tblDaily[EntryDate],DATE(2026,5,31),tblDaily[WardCode],"MAE")=0,"",SUMIFS(tblDaily[TransfersIn],tblDaily[EntryDate],DATE(2026,5,31),tblDaily[WardCode],"MAE")),"")</f>
        <v/>
      </c>
      <c r="G198" s="13" t="str">
        <f>IFERROR(IF(SUMIFS(tblDaily[TransfersOut],tblDaily[EntryDate],DATE(2026,5,31),tblDaily[WardCode],"MAE")=0,"",SUMIFS(tblDaily[TransfersOut],tblDaily[EntryDate],DATE(2026,5,31),tblDaily[WardCode],"MAE")),"")</f>
        <v/>
      </c>
      <c r="H198" s="13" t="str">
        <f>IFERROR(IF(SUMIFS(tblDaily[Remaining],tblDaily[EntryDate],DATE(2026,5,31),tblDaily[WardCode],"MAE")=0,"",SUMIFS(tblDaily[Remaining],tblDaily[EntryDate],DATE(2026,5,31),tblDaily[WardCode],"MAE")),"")</f>
        <v/>
      </c>
      <c r="I198" s="13" t="str">
        <f>IFERROR(IF(SUMIFS(tblDaily[Admissions],tblDaily[EntryDate],DATE(2026,5,31),tblDaily[WardCode],"FAE")=0,"",SUMIFS(tblDaily[Admissions],tblDaily[EntryDate],DATE(2026,5,31),tblDaily[WardCode],"FAE")),"")</f>
        <v/>
      </c>
      <c r="J198" s="13" t="str">
        <f>IFERROR(IF(SUMIFS(tblDaily[Discharges],tblDaily[EntryDate],DATE(2026,5,31),tblDaily[WardCode],"FAE")=0,"",SUMIFS(tblDaily[Discharges],tblDaily[EntryDate],DATE(2026,5,31),tblDaily[WardCode],"FAE")),"")</f>
        <v/>
      </c>
      <c r="K198" s="13" t="str">
        <f>IFERROR(IF(SUMIFS(tblDaily[Deaths],tblDaily[EntryDate],DATE(2026,5,31),tblDaily[WardCode],"FAE")=0,"",SUMIFS(tblDaily[Deaths],tblDaily[EntryDate],DATE(2026,5,31),tblDaily[WardCode],"FAE")),"")</f>
        <v/>
      </c>
      <c r="L198" s="13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3" t="str">
        <f>IFERROR(IF(SUMIFS(tblDaily[TransfersIn],tblDaily[EntryDate],DATE(2026,5,31),tblDaily[WardCode],"FAE")=0,"",SUMIFS(tblDaily[TransfersIn],tblDaily[EntryDate],DATE(2026,5,31),tblDaily[WardCode],"FAE")),"")</f>
        <v/>
      </c>
      <c r="N198" s="13" t="str">
        <f>IFERROR(IF(SUMIFS(tblDaily[TransfersOut],tblDaily[EntryDate],DATE(2026,5,31),tblDaily[WardCode],"FAE")=0,"",SUMIFS(tblDaily[TransfersOut],tblDaily[EntryDate],DATE(2026,5,31),tblDaily[WardCode],"FAE")),"")</f>
        <v/>
      </c>
      <c r="O198" s="13" t="str">
        <f>IFERROR(IF(SUMIFS(tblDaily[Remaining],tblDaily[EntryDate],DATE(2026,5,31),tblDaily[WardCode],"FAE")=0,"",SUMIFS(tblDaily[Remaining],tblDaily[EntryDate],DATE(2026,5,31),tblDaily[WardCode],"FAE")),"")</f>
        <v/>
      </c>
    </row>
    <row r="199" spans="1:15" x14ac:dyDescent="0.25">
      <c r="A199" s="9" t="s">
        <v>110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</row>
    <row r="201" spans="1:15" ht="18.75" x14ac:dyDescent="0.25">
      <c r="A201" s="36" t="s">
        <v>0</v>
      </c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</row>
    <row r="202" spans="1:15" ht="15.75" x14ac:dyDescent="0.25">
      <c r="A202" s="34" t="s">
        <v>99</v>
      </c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</row>
    <row r="203" spans="1:15" x14ac:dyDescent="0.25">
      <c r="A203" s="1" t="s">
        <v>4</v>
      </c>
      <c r="B203" s="2" t="s">
        <v>2</v>
      </c>
      <c r="E203" s="1" t="s">
        <v>100</v>
      </c>
      <c r="F203" s="1" t="s">
        <v>119</v>
      </c>
      <c r="M203" s="1" t="s">
        <v>102</v>
      </c>
      <c r="N203" s="1" t="s">
        <v>63</v>
      </c>
    </row>
    <row r="204" spans="1:15" x14ac:dyDescent="0.25">
      <c r="A204" s="1" t="s">
        <v>103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5" x14ac:dyDescent="0.25">
      <c r="A205" s="1" t="s">
        <v>104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5" x14ac:dyDescent="0.25">
      <c r="A206" s="3" t="s">
        <v>120</v>
      </c>
      <c r="B206" s="35" t="s">
        <v>117</v>
      </c>
      <c r="C206" s="26"/>
      <c r="D206" s="26"/>
      <c r="E206" s="26"/>
      <c r="F206" s="26"/>
      <c r="G206" s="26"/>
      <c r="H206" s="26"/>
      <c r="I206" s="37" t="s">
        <v>118</v>
      </c>
      <c r="J206" s="26"/>
      <c r="K206" s="26"/>
      <c r="L206" s="26"/>
      <c r="M206" s="26"/>
      <c r="N206" s="26"/>
      <c r="O206" s="26"/>
    </row>
    <row r="207" spans="1:15" x14ac:dyDescent="0.25">
      <c r="A207" s="3" t="s">
        <v>120</v>
      </c>
      <c r="B207" s="3" t="s">
        <v>121</v>
      </c>
      <c r="C207" s="3" t="s">
        <v>122</v>
      </c>
      <c r="D207" s="3" t="s">
        <v>123</v>
      </c>
      <c r="E207" s="3" t="s">
        <v>124</v>
      </c>
      <c r="F207" s="3" t="s">
        <v>125</v>
      </c>
      <c r="G207" s="3" t="s">
        <v>126</v>
      </c>
      <c r="H207" s="3" t="s">
        <v>127</v>
      </c>
      <c r="I207" s="3" t="s">
        <v>121</v>
      </c>
      <c r="J207" s="3" t="s">
        <v>122</v>
      </c>
      <c r="K207" s="3" t="s">
        <v>123</v>
      </c>
      <c r="L207" s="3" t="s">
        <v>124</v>
      </c>
      <c r="M207" s="3" t="s">
        <v>125</v>
      </c>
      <c r="N207" s="3" t="s">
        <v>126</v>
      </c>
      <c r="O207" s="3" t="s">
        <v>127</v>
      </c>
    </row>
    <row r="208" spans="1:15" x14ac:dyDescent="0.25">
      <c r="A208" s="13">
        <v>1</v>
      </c>
      <c r="B208" s="13" t="str">
        <f>IFERROR(IF(SUMIFS(tblDaily[Admissions],tblDaily[EntryDate],DATE(2026,6,1),tblDaily[WardCode],"MAE")=0,"",SUMIFS(tblDaily[Admissions],tblDaily[EntryDate],DATE(2026,6,1),tblDaily[WardCode],"MAE")),"")</f>
        <v/>
      </c>
      <c r="C208" s="13" t="str">
        <f>IFERROR(IF(SUMIFS(tblDaily[Discharges],tblDaily[EntryDate],DATE(2026,6,1),tblDaily[WardCode],"MAE")=0,"",SUMIFS(tblDaily[Discharges],tblDaily[EntryDate],DATE(2026,6,1),tblDaily[WardCode],"MAE")),"")</f>
        <v/>
      </c>
      <c r="D208" s="13" t="str">
        <f>IFERROR(IF(SUMIFS(tblDaily[Deaths],tblDaily[EntryDate],DATE(2026,6,1),tblDaily[WardCode],"MAE")=0,"",SUMIFS(tblDaily[Deaths],tblDaily[EntryDate],DATE(2026,6,1),tblDaily[WardCode],"MAE")),"")</f>
        <v/>
      </c>
      <c r="E208" s="13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3" t="str">
        <f>IFERROR(IF(SUMIFS(tblDaily[TransfersIn],tblDaily[EntryDate],DATE(2026,6,1),tblDaily[WardCode],"MAE")=0,"",SUMIFS(tblDaily[TransfersIn],tblDaily[EntryDate],DATE(2026,6,1),tblDaily[WardCode],"MAE")),"")</f>
        <v/>
      </c>
      <c r="G208" s="13" t="str">
        <f>IFERROR(IF(SUMIFS(tblDaily[TransfersOut],tblDaily[EntryDate],DATE(2026,6,1),tblDaily[WardCode],"MAE")=0,"",SUMIFS(tblDaily[TransfersOut],tblDaily[EntryDate],DATE(2026,6,1),tblDaily[WardCode],"MAE")),"")</f>
        <v/>
      </c>
      <c r="H208" s="13" t="str">
        <f>IFERROR(IF(SUMIFS(tblDaily[Remaining],tblDaily[EntryDate],DATE(2026,6,1),tblDaily[WardCode],"MAE")=0,"",SUMIFS(tblDaily[Remaining],tblDaily[EntryDate],DATE(2026,6,1),tblDaily[WardCode],"MAE")),"")</f>
        <v/>
      </c>
      <c r="I208" s="13" t="str">
        <f>IFERROR(IF(SUMIFS(tblDaily[Admissions],tblDaily[EntryDate],DATE(2026,6,1),tblDaily[WardCode],"FAE")=0,"",SUMIFS(tblDaily[Admissions],tblDaily[EntryDate],DATE(2026,6,1),tblDaily[WardCode],"FAE")),"")</f>
        <v/>
      </c>
      <c r="J208" s="13" t="str">
        <f>IFERROR(IF(SUMIFS(tblDaily[Discharges],tblDaily[EntryDate],DATE(2026,6,1),tblDaily[WardCode],"FAE")=0,"",SUMIFS(tblDaily[Discharges],tblDaily[EntryDate],DATE(2026,6,1),tblDaily[WardCode],"FAE")),"")</f>
        <v/>
      </c>
      <c r="K208" s="13" t="str">
        <f>IFERROR(IF(SUMIFS(tblDaily[Deaths],tblDaily[EntryDate],DATE(2026,6,1),tblDaily[WardCode],"FAE")=0,"",SUMIFS(tblDaily[Deaths],tblDaily[EntryDate],DATE(2026,6,1),tblDaily[WardCode],"FAE")),"")</f>
        <v/>
      </c>
      <c r="L208" s="13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3" t="str">
        <f>IFERROR(IF(SUMIFS(tblDaily[TransfersIn],tblDaily[EntryDate],DATE(2026,6,1),tblDaily[WardCode],"FAE")=0,"",SUMIFS(tblDaily[TransfersIn],tblDaily[EntryDate],DATE(2026,6,1),tblDaily[WardCode],"FAE")),"")</f>
        <v/>
      </c>
      <c r="N208" s="13" t="str">
        <f>IFERROR(IF(SUMIFS(tblDaily[TransfersOut],tblDaily[EntryDate],DATE(2026,6,1),tblDaily[WardCode],"FAE")=0,"",SUMIFS(tblDaily[TransfersOut],tblDaily[EntryDate],DATE(2026,6,1),tblDaily[WardCode],"FAE")),"")</f>
        <v/>
      </c>
      <c r="O208" s="13" t="str">
        <f>IFERROR(IF(SUMIFS(tblDaily[Remaining],tblDaily[EntryDate],DATE(2026,6,1),tblDaily[WardCode],"FAE")=0,"",SUMIFS(tblDaily[Remaining],tblDaily[EntryDate],DATE(2026,6,1),tblDaily[WardCode],"FAE")),"")</f>
        <v/>
      </c>
    </row>
    <row r="209" spans="1:15" x14ac:dyDescent="0.25">
      <c r="A209" s="13">
        <v>2</v>
      </c>
      <c r="B209" s="13" t="str">
        <f>IFERROR(IF(SUMIFS(tblDaily[Admissions],tblDaily[EntryDate],DATE(2026,6,2),tblDaily[WardCode],"MAE")=0,"",SUMIFS(tblDaily[Admissions],tblDaily[EntryDate],DATE(2026,6,2),tblDaily[WardCode],"MAE")),"")</f>
        <v/>
      </c>
      <c r="C209" s="13" t="str">
        <f>IFERROR(IF(SUMIFS(tblDaily[Discharges],tblDaily[EntryDate],DATE(2026,6,2),tblDaily[WardCode],"MAE")=0,"",SUMIFS(tblDaily[Discharges],tblDaily[EntryDate],DATE(2026,6,2),tblDaily[WardCode],"MAE")),"")</f>
        <v/>
      </c>
      <c r="D209" s="13" t="str">
        <f>IFERROR(IF(SUMIFS(tblDaily[Deaths],tblDaily[EntryDate],DATE(2026,6,2),tblDaily[WardCode],"MAE")=0,"",SUMIFS(tblDaily[Deaths],tblDaily[EntryDate],DATE(2026,6,2),tblDaily[WardCode],"MAE")),"")</f>
        <v/>
      </c>
      <c r="E209" s="13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3" t="str">
        <f>IFERROR(IF(SUMIFS(tblDaily[TransfersIn],tblDaily[EntryDate],DATE(2026,6,2),tblDaily[WardCode],"MAE")=0,"",SUMIFS(tblDaily[TransfersIn],tblDaily[EntryDate],DATE(2026,6,2),tblDaily[WardCode],"MAE")),"")</f>
        <v/>
      </c>
      <c r="G209" s="13" t="str">
        <f>IFERROR(IF(SUMIFS(tblDaily[TransfersOut],tblDaily[EntryDate],DATE(2026,6,2),tblDaily[WardCode],"MAE")=0,"",SUMIFS(tblDaily[TransfersOut],tblDaily[EntryDate],DATE(2026,6,2),tblDaily[WardCode],"MAE")),"")</f>
        <v/>
      </c>
      <c r="H209" s="13" t="str">
        <f>IFERROR(IF(SUMIFS(tblDaily[Remaining],tblDaily[EntryDate],DATE(2026,6,2),tblDaily[WardCode],"MAE")=0,"",SUMIFS(tblDaily[Remaining],tblDaily[EntryDate],DATE(2026,6,2),tblDaily[WardCode],"MAE")),"")</f>
        <v/>
      </c>
      <c r="I209" s="13" t="str">
        <f>IFERROR(IF(SUMIFS(tblDaily[Admissions],tblDaily[EntryDate],DATE(2026,6,2),tblDaily[WardCode],"FAE")=0,"",SUMIFS(tblDaily[Admissions],tblDaily[EntryDate],DATE(2026,6,2),tblDaily[WardCode],"FAE")),"")</f>
        <v/>
      </c>
      <c r="J209" s="13" t="str">
        <f>IFERROR(IF(SUMIFS(tblDaily[Discharges],tblDaily[EntryDate],DATE(2026,6,2),tblDaily[WardCode],"FAE")=0,"",SUMIFS(tblDaily[Discharges],tblDaily[EntryDate],DATE(2026,6,2),tblDaily[WardCode],"FAE")),"")</f>
        <v/>
      </c>
      <c r="K209" s="13" t="str">
        <f>IFERROR(IF(SUMIFS(tblDaily[Deaths],tblDaily[EntryDate],DATE(2026,6,2),tblDaily[WardCode],"FAE")=0,"",SUMIFS(tblDaily[Deaths],tblDaily[EntryDate],DATE(2026,6,2),tblDaily[WardCode],"FAE")),"")</f>
        <v/>
      </c>
      <c r="L209" s="13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3" t="str">
        <f>IFERROR(IF(SUMIFS(tblDaily[TransfersIn],tblDaily[EntryDate],DATE(2026,6,2),tblDaily[WardCode],"FAE")=0,"",SUMIFS(tblDaily[TransfersIn],tblDaily[EntryDate],DATE(2026,6,2),tblDaily[WardCode],"FAE")),"")</f>
        <v/>
      </c>
      <c r="N209" s="13" t="str">
        <f>IFERROR(IF(SUMIFS(tblDaily[TransfersOut],tblDaily[EntryDate],DATE(2026,6,2),tblDaily[WardCode],"FAE")=0,"",SUMIFS(tblDaily[TransfersOut],tblDaily[EntryDate],DATE(2026,6,2),tblDaily[WardCode],"FAE")),"")</f>
        <v/>
      </c>
      <c r="O209" s="13" t="str">
        <f>IFERROR(IF(SUMIFS(tblDaily[Remaining],tblDaily[EntryDate],DATE(2026,6,2),tblDaily[WardCode],"FAE")=0,"",SUMIFS(tblDaily[Remaining],tblDaily[EntryDate],DATE(2026,6,2),tblDaily[WardCode],"FAE")),"")</f>
        <v/>
      </c>
    </row>
    <row r="210" spans="1:15" x14ac:dyDescent="0.25">
      <c r="A210" s="13">
        <v>3</v>
      </c>
      <c r="B210" s="13" t="str">
        <f>IFERROR(IF(SUMIFS(tblDaily[Admissions],tblDaily[EntryDate],DATE(2026,6,3),tblDaily[WardCode],"MAE")=0,"",SUMIFS(tblDaily[Admissions],tblDaily[EntryDate],DATE(2026,6,3),tblDaily[WardCode],"MAE")),"")</f>
        <v/>
      </c>
      <c r="C210" s="13" t="str">
        <f>IFERROR(IF(SUMIFS(tblDaily[Discharges],tblDaily[EntryDate],DATE(2026,6,3),tblDaily[WardCode],"MAE")=0,"",SUMIFS(tblDaily[Discharges],tblDaily[EntryDate],DATE(2026,6,3),tblDaily[WardCode],"MAE")),"")</f>
        <v/>
      </c>
      <c r="D210" s="13" t="str">
        <f>IFERROR(IF(SUMIFS(tblDaily[Deaths],tblDaily[EntryDate],DATE(2026,6,3),tblDaily[WardCode],"MAE")=0,"",SUMIFS(tblDaily[Deaths],tblDaily[EntryDate],DATE(2026,6,3),tblDaily[WardCode],"MAE")),"")</f>
        <v/>
      </c>
      <c r="E210" s="13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3" t="str">
        <f>IFERROR(IF(SUMIFS(tblDaily[TransfersIn],tblDaily[EntryDate],DATE(2026,6,3),tblDaily[WardCode],"MAE")=0,"",SUMIFS(tblDaily[TransfersIn],tblDaily[EntryDate],DATE(2026,6,3),tblDaily[WardCode],"MAE")),"")</f>
        <v/>
      </c>
      <c r="G210" s="13" t="str">
        <f>IFERROR(IF(SUMIFS(tblDaily[TransfersOut],tblDaily[EntryDate],DATE(2026,6,3),tblDaily[WardCode],"MAE")=0,"",SUMIFS(tblDaily[TransfersOut],tblDaily[EntryDate],DATE(2026,6,3),tblDaily[WardCode],"MAE")),"")</f>
        <v/>
      </c>
      <c r="H210" s="13" t="str">
        <f>IFERROR(IF(SUMIFS(tblDaily[Remaining],tblDaily[EntryDate],DATE(2026,6,3),tblDaily[WardCode],"MAE")=0,"",SUMIFS(tblDaily[Remaining],tblDaily[EntryDate],DATE(2026,6,3),tblDaily[WardCode],"MAE")),"")</f>
        <v/>
      </c>
      <c r="I210" s="13" t="str">
        <f>IFERROR(IF(SUMIFS(tblDaily[Admissions],tblDaily[EntryDate],DATE(2026,6,3),tblDaily[WardCode],"FAE")=0,"",SUMIFS(tblDaily[Admissions],tblDaily[EntryDate],DATE(2026,6,3),tblDaily[WardCode],"FAE")),"")</f>
        <v/>
      </c>
      <c r="J210" s="13" t="str">
        <f>IFERROR(IF(SUMIFS(tblDaily[Discharges],tblDaily[EntryDate],DATE(2026,6,3),tblDaily[WardCode],"FAE")=0,"",SUMIFS(tblDaily[Discharges],tblDaily[EntryDate],DATE(2026,6,3),tblDaily[WardCode],"FAE")),"")</f>
        <v/>
      </c>
      <c r="K210" s="13" t="str">
        <f>IFERROR(IF(SUMIFS(tblDaily[Deaths],tblDaily[EntryDate],DATE(2026,6,3),tblDaily[WardCode],"FAE")=0,"",SUMIFS(tblDaily[Deaths],tblDaily[EntryDate],DATE(2026,6,3),tblDaily[WardCode],"FAE")),"")</f>
        <v/>
      </c>
      <c r="L210" s="13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3" t="str">
        <f>IFERROR(IF(SUMIFS(tblDaily[TransfersIn],tblDaily[EntryDate],DATE(2026,6,3),tblDaily[WardCode],"FAE")=0,"",SUMIFS(tblDaily[TransfersIn],tblDaily[EntryDate],DATE(2026,6,3),tblDaily[WardCode],"FAE")),"")</f>
        <v/>
      </c>
      <c r="N210" s="13" t="str">
        <f>IFERROR(IF(SUMIFS(tblDaily[TransfersOut],tblDaily[EntryDate],DATE(2026,6,3),tblDaily[WardCode],"FAE")=0,"",SUMIFS(tblDaily[TransfersOut],tblDaily[EntryDate],DATE(2026,6,3),tblDaily[WardCode],"FAE")),"")</f>
        <v/>
      </c>
      <c r="O210" s="13" t="str">
        <f>IFERROR(IF(SUMIFS(tblDaily[Remaining],tblDaily[EntryDate],DATE(2026,6,3),tblDaily[WardCode],"FAE")=0,"",SUMIFS(tblDaily[Remaining],tblDaily[EntryDate],DATE(2026,6,3),tblDaily[WardCode],"FAE")),"")</f>
        <v/>
      </c>
    </row>
    <row r="211" spans="1:15" x14ac:dyDescent="0.25">
      <c r="A211" s="13">
        <v>4</v>
      </c>
      <c r="B211" s="13" t="str">
        <f>IFERROR(IF(SUMIFS(tblDaily[Admissions],tblDaily[EntryDate],DATE(2026,6,4),tblDaily[WardCode],"MAE")=0,"",SUMIFS(tblDaily[Admissions],tblDaily[EntryDate],DATE(2026,6,4),tblDaily[WardCode],"MAE")),"")</f>
        <v/>
      </c>
      <c r="C211" s="13" t="str">
        <f>IFERROR(IF(SUMIFS(tblDaily[Discharges],tblDaily[EntryDate],DATE(2026,6,4),tblDaily[WardCode],"MAE")=0,"",SUMIFS(tblDaily[Discharges],tblDaily[EntryDate],DATE(2026,6,4),tblDaily[WardCode],"MAE")),"")</f>
        <v/>
      </c>
      <c r="D211" s="13" t="str">
        <f>IFERROR(IF(SUMIFS(tblDaily[Deaths],tblDaily[EntryDate],DATE(2026,6,4),tblDaily[WardCode],"MAE")=0,"",SUMIFS(tblDaily[Deaths],tblDaily[EntryDate],DATE(2026,6,4),tblDaily[WardCode],"MAE")),"")</f>
        <v/>
      </c>
      <c r="E211" s="13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3" t="str">
        <f>IFERROR(IF(SUMIFS(tblDaily[TransfersIn],tblDaily[EntryDate],DATE(2026,6,4),tblDaily[WardCode],"MAE")=0,"",SUMIFS(tblDaily[TransfersIn],tblDaily[EntryDate],DATE(2026,6,4),tblDaily[WardCode],"MAE")),"")</f>
        <v/>
      </c>
      <c r="G211" s="13" t="str">
        <f>IFERROR(IF(SUMIFS(tblDaily[TransfersOut],tblDaily[EntryDate],DATE(2026,6,4),tblDaily[WardCode],"MAE")=0,"",SUMIFS(tblDaily[TransfersOut],tblDaily[EntryDate],DATE(2026,6,4),tblDaily[WardCode],"MAE")),"")</f>
        <v/>
      </c>
      <c r="H211" s="13" t="str">
        <f>IFERROR(IF(SUMIFS(tblDaily[Remaining],tblDaily[EntryDate],DATE(2026,6,4),tblDaily[WardCode],"MAE")=0,"",SUMIFS(tblDaily[Remaining],tblDaily[EntryDate],DATE(2026,6,4),tblDaily[WardCode],"MAE")),"")</f>
        <v/>
      </c>
      <c r="I211" s="13" t="str">
        <f>IFERROR(IF(SUMIFS(tblDaily[Admissions],tblDaily[EntryDate],DATE(2026,6,4),tblDaily[WardCode],"FAE")=0,"",SUMIFS(tblDaily[Admissions],tblDaily[EntryDate],DATE(2026,6,4),tblDaily[WardCode],"FAE")),"")</f>
        <v/>
      </c>
      <c r="J211" s="13" t="str">
        <f>IFERROR(IF(SUMIFS(tblDaily[Discharges],tblDaily[EntryDate],DATE(2026,6,4),tblDaily[WardCode],"FAE")=0,"",SUMIFS(tblDaily[Discharges],tblDaily[EntryDate],DATE(2026,6,4),tblDaily[WardCode],"FAE")),"")</f>
        <v/>
      </c>
      <c r="K211" s="13" t="str">
        <f>IFERROR(IF(SUMIFS(tblDaily[Deaths],tblDaily[EntryDate],DATE(2026,6,4),tblDaily[WardCode],"FAE")=0,"",SUMIFS(tblDaily[Deaths],tblDaily[EntryDate],DATE(2026,6,4),tblDaily[WardCode],"FAE")),"")</f>
        <v/>
      </c>
      <c r="L211" s="13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3" t="str">
        <f>IFERROR(IF(SUMIFS(tblDaily[TransfersIn],tblDaily[EntryDate],DATE(2026,6,4),tblDaily[WardCode],"FAE")=0,"",SUMIFS(tblDaily[TransfersIn],tblDaily[EntryDate],DATE(2026,6,4),tblDaily[WardCode],"FAE")),"")</f>
        <v/>
      </c>
      <c r="N211" s="13" t="str">
        <f>IFERROR(IF(SUMIFS(tblDaily[TransfersOut],tblDaily[EntryDate],DATE(2026,6,4),tblDaily[WardCode],"FAE")=0,"",SUMIFS(tblDaily[TransfersOut],tblDaily[EntryDate],DATE(2026,6,4),tblDaily[WardCode],"FAE")),"")</f>
        <v/>
      </c>
      <c r="O211" s="13" t="str">
        <f>IFERROR(IF(SUMIFS(tblDaily[Remaining],tblDaily[EntryDate],DATE(2026,6,4),tblDaily[WardCode],"FAE")=0,"",SUMIFS(tblDaily[Remaining],tblDaily[EntryDate],DATE(2026,6,4),tblDaily[WardCode],"FAE")),"")</f>
        <v/>
      </c>
    </row>
    <row r="212" spans="1:15" x14ac:dyDescent="0.25">
      <c r="A212" s="13">
        <v>5</v>
      </c>
      <c r="B212" s="13" t="str">
        <f>IFERROR(IF(SUMIFS(tblDaily[Admissions],tblDaily[EntryDate],DATE(2026,6,5),tblDaily[WardCode],"MAE")=0,"",SUMIFS(tblDaily[Admissions],tblDaily[EntryDate],DATE(2026,6,5),tblDaily[WardCode],"MAE")),"")</f>
        <v/>
      </c>
      <c r="C212" s="13" t="str">
        <f>IFERROR(IF(SUMIFS(tblDaily[Discharges],tblDaily[EntryDate],DATE(2026,6,5),tblDaily[WardCode],"MAE")=0,"",SUMIFS(tblDaily[Discharges],tblDaily[EntryDate],DATE(2026,6,5),tblDaily[WardCode],"MAE")),"")</f>
        <v/>
      </c>
      <c r="D212" s="13" t="str">
        <f>IFERROR(IF(SUMIFS(tblDaily[Deaths],tblDaily[EntryDate],DATE(2026,6,5),tblDaily[WardCode],"MAE")=0,"",SUMIFS(tblDaily[Deaths],tblDaily[EntryDate],DATE(2026,6,5),tblDaily[WardCode],"MAE")),"")</f>
        <v/>
      </c>
      <c r="E212" s="13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3" t="str">
        <f>IFERROR(IF(SUMIFS(tblDaily[TransfersIn],tblDaily[EntryDate],DATE(2026,6,5),tblDaily[WardCode],"MAE")=0,"",SUMIFS(tblDaily[TransfersIn],tblDaily[EntryDate],DATE(2026,6,5),tblDaily[WardCode],"MAE")),"")</f>
        <v/>
      </c>
      <c r="G212" s="13" t="str">
        <f>IFERROR(IF(SUMIFS(tblDaily[TransfersOut],tblDaily[EntryDate],DATE(2026,6,5),tblDaily[WardCode],"MAE")=0,"",SUMIFS(tblDaily[TransfersOut],tblDaily[EntryDate],DATE(2026,6,5),tblDaily[WardCode],"MAE")),"")</f>
        <v/>
      </c>
      <c r="H212" s="13" t="str">
        <f>IFERROR(IF(SUMIFS(tblDaily[Remaining],tblDaily[EntryDate],DATE(2026,6,5),tblDaily[WardCode],"MAE")=0,"",SUMIFS(tblDaily[Remaining],tblDaily[EntryDate],DATE(2026,6,5),tblDaily[WardCode],"MAE")),"")</f>
        <v/>
      </c>
      <c r="I212" s="13" t="str">
        <f>IFERROR(IF(SUMIFS(tblDaily[Admissions],tblDaily[EntryDate],DATE(2026,6,5),tblDaily[WardCode],"FAE")=0,"",SUMIFS(tblDaily[Admissions],tblDaily[EntryDate],DATE(2026,6,5),tblDaily[WardCode],"FAE")),"")</f>
        <v/>
      </c>
      <c r="J212" s="13" t="str">
        <f>IFERROR(IF(SUMIFS(tblDaily[Discharges],tblDaily[EntryDate],DATE(2026,6,5),tblDaily[WardCode],"FAE")=0,"",SUMIFS(tblDaily[Discharges],tblDaily[EntryDate],DATE(2026,6,5),tblDaily[WardCode],"FAE")),"")</f>
        <v/>
      </c>
      <c r="K212" s="13" t="str">
        <f>IFERROR(IF(SUMIFS(tblDaily[Deaths],tblDaily[EntryDate],DATE(2026,6,5),tblDaily[WardCode],"FAE")=0,"",SUMIFS(tblDaily[Deaths],tblDaily[EntryDate],DATE(2026,6,5),tblDaily[WardCode],"FAE")),"")</f>
        <v/>
      </c>
      <c r="L212" s="13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3" t="str">
        <f>IFERROR(IF(SUMIFS(tblDaily[TransfersIn],tblDaily[EntryDate],DATE(2026,6,5),tblDaily[WardCode],"FAE")=0,"",SUMIFS(tblDaily[TransfersIn],tblDaily[EntryDate],DATE(2026,6,5),tblDaily[WardCode],"FAE")),"")</f>
        <v/>
      </c>
      <c r="N212" s="13" t="str">
        <f>IFERROR(IF(SUMIFS(tblDaily[TransfersOut],tblDaily[EntryDate],DATE(2026,6,5),tblDaily[WardCode],"FAE")=0,"",SUMIFS(tblDaily[TransfersOut],tblDaily[EntryDate],DATE(2026,6,5),tblDaily[WardCode],"FAE")),"")</f>
        <v/>
      </c>
      <c r="O212" s="13" t="str">
        <f>IFERROR(IF(SUMIFS(tblDaily[Remaining],tblDaily[EntryDate],DATE(2026,6,5),tblDaily[WardCode],"FAE")=0,"",SUMIFS(tblDaily[Remaining],tblDaily[EntryDate],DATE(2026,6,5),tblDaily[WardCode],"FAE")),"")</f>
        <v/>
      </c>
    </row>
    <row r="213" spans="1:15" x14ac:dyDescent="0.25">
      <c r="A213" s="13">
        <v>6</v>
      </c>
      <c r="B213" s="13" t="str">
        <f>IFERROR(IF(SUMIFS(tblDaily[Admissions],tblDaily[EntryDate],DATE(2026,6,6),tblDaily[WardCode],"MAE")=0,"",SUMIFS(tblDaily[Admissions],tblDaily[EntryDate],DATE(2026,6,6),tblDaily[WardCode],"MAE")),"")</f>
        <v/>
      </c>
      <c r="C213" s="13" t="str">
        <f>IFERROR(IF(SUMIFS(tblDaily[Discharges],tblDaily[EntryDate],DATE(2026,6,6),tblDaily[WardCode],"MAE")=0,"",SUMIFS(tblDaily[Discharges],tblDaily[EntryDate],DATE(2026,6,6),tblDaily[WardCode],"MAE")),"")</f>
        <v/>
      </c>
      <c r="D213" s="13" t="str">
        <f>IFERROR(IF(SUMIFS(tblDaily[Deaths],tblDaily[EntryDate],DATE(2026,6,6),tblDaily[WardCode],"MAE")=0,"",SUMIFS(tblDaily[Deaths],tblDaily[EntryDate],DATE(2026,6,6),tblDaily[WardCode],"MAE")),"")</f>
        <v/>
      </c>
      <c r="E213" s="13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3" t="str">
        <f>IFERROR(IF(SUMIFS(tblDaily[TransfersIn],tblDaily[EntryDate],DATE(2026,6,6),tblDaily[WardCode],"MAE")=0,"",SUMIFS(tblDaily[TransfersIn],tblDaily[EntryDate],DATE(2026,6,6),tblDaily[WardCode],"MAE")),"")</f>
        <v/>
      </c>
      <c r="G213" s="13" t="str">
        <f>IFERROR(IF(SUMIFS(tblDaily[TransfersOut],tblDaily[EntryDate],DATE(2026,6,6),tblDaily[WardCode],"MAE")=0,"",SUMIFS(tblDaily[TransfersOut],tblDaily[EntryDate],DATE(2026,6,6),tblDaily[WardCode],"MAE")),"")</f>
        <v/>
      </c>
      <c r="H213" s="13" t="str">
        <f>IFERROR(IF(SUMIFS(tblDaily[Remaining],tblDaily[EntryDate],DATE(2026,6,6),tblDaily[WardCode],"MAE")=0,"",SUMIFS(tblDaily[Remaining],tblDaily[EntryDate],DATE(2026,6,6),tblDaily[WardCode],"MAE")),"")</f>
        <v/>
      </c>
      <c r="I213" s="13" t="str">
        <f>IFERROR(IF(SUMIFS(tblDaily[Admissions],tblDaily[EntryDate],DATE(2026,6,6),tblDaily[WardCode],"FAE")=0,"",SUMIFS(tblDaily[Admissions],tblDaily[EntryDate],DATE(2026,6,6),tblDaily[WardCode],"FAE")),"")</f>
        <v/>
      </c>
      <c r="J213" s="13" t="str">
        <f>IFERROR(IF(SUMIFS(tblDaily[Discharges],tblDaily[EntryDate],DATE(2026,6,6),tblDaily[WardCode],"FAE")=0,"",SUMIFS(tblDaily[Discharges],tblDaily[EntryDate],DATE(2026,6,6),tblDaily[WardCode],"FAE")),"")</f>
        <v/>
      </c>
      <c r="K213" s="13" t="str">
        <f>IFERROR(IF(SUMIFS(tblDaily[Deaths],tblDaily[EntryDate],DATE(2026,6,6),tblDaily[WardCode],"FAE")=0,"",SUMIFS(tblDaily[Deaths],tblDaily[EntryDate],DATE(2026,6,6),tblDaily[WardCode],"FAE")),"")</f>
        <v/>
      </c>
      <c r="L213" s="13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3" t="str">
        <f>IFERROR(IF(SUMIFS(tblDaily[TransfersIn],tblDaily[EntryDate],DATE(2026,6,6),tblDaily[WardCode],"FAE")=0,"",SUMIFS(tblDaily[TransfersIn],tblDaily[EntryDate],DATE(2026,6,6),tblDaily[WardCode],"FAE")),"")</f>
        <v/>
      </c>
      <c r="N213" s="13" t="str">
        <f>IFERROR(IF(SUMIFS(tblDaily[TransfersOut],tblDaily[EntryDate],DATE(2026,6,6),tblDaily[WardCode],"FAE")=0,"",SUMIFS(tblDaily[TransfersOut],tblDaily[EntryDate],DATE(2026,6,6),tblDaily[WardCode],"FAE")),"")</f>
        <v/>
      </c>
      <c r="O213" s="13" t="str">
        <f>IFERROR(IF(SUMIFS(tblDaily[Remaining],tblDaily[EntryDate],DATE(2026,6,6),tblDaily[WardCode],"FAE")=0,"",SUMIFS(tblDaily[Remaining],tblDaily[EntryDate],DATE(2026,6,6),tblDaily[WardCode],"FAE")),"")</f>
        <v/>
      </c>
    </row>
    <row r="214" spans="1:15" x14ac:dyDescent="0.25">
      <c r="A214" s="13">
        <v>7</v>
      </c>
      <c r="B214" s="13" t="str">
        <f>IFERROR(IF(SUMIFS(tblDaily[Admissions],tblDaily[EntryDate],DATE(2026,6,7),tblDaily[WardCode],"MAE")=0,"",SUMIFS(tblDaily[Admissions],tblDaily[EntryDate],DATE(2026,6,7),tblDaily[WardCode],"MAE")),"")</f>
        <v/>
      </c>
      <c r="C214" s="13" t="str">
        <f>IFERROR(IF(SUMIFS(tblDaily[Discharges],tblDaily[EntryDate],DATE(2026,6,7),tblDaily[WardCode],"MAE")=0,"",SUMIFS(tblDaily[Discharges],tblDaily[EntryDate],DATE(2026,6,7),tblDaily[WardCode],"MAE")),"")</f>
        <v/>
      </c>
      <c r="D214" s="13" t="str">
        <f>IFERROR(IF(SUMIFS(tblDaily[Deaths],tblDaily[EntryDate],DATE(2026,6,7),tblDaily[WardCode],"MAE")=0,"",SUMIFS(tblDaily[Deaths],tblDaily[EntryDate],DATE(2026,6,7),tblDaily[WardCode],"MAE")),"")</f>
        <v/>
      </c>
      <c r="E214" s="13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3" t="str">
        <f>IFERROR(IF(SUMIFS(tblDaily[TransfersIn],tblDaily[EntryDate],DATE(2026,6,7),tblDaily[WardCode],"MAE")=0,"",SUMIFS(tblDaily[TransfersIn],tblDaily[EntryDate],DATE(2026,6,7),tblDaily[WardCode],"MAE")),"")</f>
        <v/>
      </c>
      <c r="G214" s="13" t="str">
        <f>IFERROR(IF(SUMIFS(tblDaily[TransfersOut],tblDaily[EntryDate],DATE(2026,6,7),tblDaily[WardCode],"MAE")=0,"",SUMIFS(tblDaily[TransfersOut],tblDaily[EntryDate],DATE(2026,6,7),tblDaily[WardCode],"MAE")),"")</f>
        <v/>
      </c>
      <c r="H214" s="13" t="str">
        <f>IFERROR(IF(SUMIFS(tblDaily[Remaining],tblDaily[EntryDate],DATE(2026,6,7),tblDaily[WardCode],"MAE")=0,"",SUMIFS(tblDaily[Remaining],tblDaily[EntryDate],DATE(2026,6,7),tblDaily[WardCode],"MAE")),"")</f>
        <v/>
      </c>
      <c r="I214" s="13" t="str">
        <f>IFERROR(IF(SUMIFS(tblDaily[Admissions],tblDaily[EntryDate],DATE(2026,6,7),tblDaily[WardCode],"FAE")=0,"",SUMIFS(tblDaily[Admissions],tblDaily[EntryDate],DATE(2026,6,7),tblDaily[WardCode],"FAE")),"")</f>
        <v/>
      </c>
      <c r="J214" s="13" t="str">
        <f>IFERROR(IF(SUMIFS(tblDaily[Discharges],tblDaily[EntryDate],DATE(2026,6,7),tblDaily[WardCode],"FAE")=0,"",SUMIFS(tblDaily[Discharges],tblDaily[EntryDate],DATE(2026,6,7),tblDaily[WardCode],"FAE")),"")</f>
        <v/>
      </c>
      <c r="K214" s="13" t="str">
        <f>IFERROR(IF(SUMIFS(tblDaily[Deaths],tblDaily[EntryDate],DATE(2026,6,7),tblDaily[WardCode],"FAE")=0,"",SUMIFS(tblDaily[Deaths],tblDaily[EntryDate],DATE(2026,6,7),tblDaily[WardCode],"FAE")),"")</f>
        <v/>
      </c>
      <c r="L214" s="13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3" t="str">
        <f>IFERROR(IF(SUMIFS(tblDaily[TransfersIn],tblDaily[EntryDate],DATE(2026,6,7),tblDaily[WardCode],"FAE")=0,"",SUMIFS(tblDaily[TransfersIn],tblDaily[EntryDate],DATE(2026,6,7),tblDaily[WardCode],"FAE")),"")</f>
        <v/>
      </c>
      <c r="N214" s="13" t="str">
        <f>IFERROR(IF(SUMIFS(tblDaily[TransfersOut],tblDaily[EntryDate],DATE(2026,6,7),tblDaily[WardCode],"FAE")=0,"",SUMIFS(tblDaily[TransfersOut],tblDaily[EntryDate],DATE(2026,6,7),tblDaily[WardCode],"FAE")),"")</f>
        <v/>
      </c>
      <c r="O214" s="13" t="str">
        <f>IFERROR(IF(SUMIFS(tblDaily[Remaining],tblDaily[EntryDate],DATE(2026,6,7),tblDaily[WardCode],"FAE")=0,"",SUMIFS(tblDaily[Remaining],tblDaily[EntryDate],DATE(2026,6,7),tblDaily[WardCode],"FAE")),"")</f>
        <v/>
      </c>
    </row>
    <row r="215" spans="1:15" x14ac:dyDescent="0.25">
      <c r="A215" s="13">
        <v>8</v>
      </c>
      <c r="B215" s="13" t="str">
        <f>IFERROR(IF(SUMIFS(tblDaily[Admissions],tblDaily[EntryDate],DATE(2026,6,8),tblDaily[WardCode],"MAE")=0,"",SUMIFS(tblDaily[Admissions],tblDaily[EntryDate],DATE(2026,6,8),tblDaily[WardCode],"MAE")),"")</f>
        <v/>
      </c>
      <c r="C215" s="13" t="str">
        <f>IFERROR(IF(SUMIFS(tblDaily[Discharges],tblDaily[EntryDate],DATE(2026,6,8),tblDaily[WardCode],"MAE")=0,"",SUMIFS(tblDaily[Discharges],tblDaily[EntryDate],DATE(2026,6,8),tblDaily[WardCode],"MAE")),"")</f>
        <v/>
      </c>
      <c r="D215" s="13" t="str">
        <f>IFERROR(IF(SUMIFS(tblDaily[Deaths],tblDaily[EntryDate],DATE(2026,6,8),tblDaily[WardCode],"MAE")=0,"",SUMIFS(tblDaily[Deaths],tblDaily[EntryDate],DATE(2026,6,8),tblDaily[WardCode],"MAE")),"")</f>
        <v/>
      </c>
      <c r="E215" s="13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3" t="str">
        <f>IFERROR(IF(SUMIFS(tblDaily[TransfersIn],tblDaily[EntryDate],DATE(2026,6,8),tblDaily[WardCode],"MAE")=0,"",SUMIFS(tblDaily[TransfersIn],tblDaily[EntryDate],DATE(2026,6,8),tblDaily[WardCode],"MAE")),"")</f>
        <v/>
      </c>
      <c r="G215" s="13" t="str">
        <f>IFERROR(IF(SUMIFS(tblDaily[TransfersOut],tblDaily[EntryDate],DATE(2026,6,8),tblDaily[WardCode],"MAE")=0,"",SUMIFS(tblDaily[TransfersOut],tblDaily[EntryDate],DATE(2026,6,8),tblDaily[WardCode],"MAE")),"")</f>
        <v/>
      </c>
      <c r="H215" s="13" t="str">
        <f>IFERROR(IF(SUMIFS(tblDaily[Remaining],tblDaily[EntryDate],DATE(2026,6,8),tblDaily[WardCode],"MAE")=0,"",SUMIFS(tblDaily[Remaining],tblDaily[EntryDate],DATE(2026,6,8),tblDaily[WardCode],"MAE")),"")</f>
        <v/>
      </c>
      <c r="I215" s="13" t="str">
        <f>IFERROR(IF(SUMIFS(tblDaily[Admissions],tblDaily[EntryDate],DATE(2026,6,8),tblDaily[WardCode],"FAE")=0,"",SUMIFS(tblDaily[Admissions],tblDaily[EntryDate],DATE(2026,6,8),tblDaily[WardCode],"FAE")),"")</f>
        <v/>
      </c>
      <c r="J215" s="13" t="str">
        <f>IFERROR(IF(SUMIFS(tblDaily[Discharges],tblDaily[EntryDate],DATE(2026,6,8),tblDaily[WardCode],"FAE")=0,"",SUMIFS(tblDaily[Discharges],tblDaily[EntryDate],DATE(2026,6,8),tblDaily[WardCode],"FAE")),"")</f>
        <v/>
      </c>
      <c r="K215" s="13" t="str">
        <f>IFERROR(IF(SUMIFS(tblDaily[Deaths],tblDaily[EntryDate],DATE(2026,6,8),tblDaily[WardCode],"FAE")=0,"",SUMIFS(tblDaily[Deaths],tblDaily[EntryDate],DATE(2026,6,8),tblDaily[WardCode],"FAE")),"")</f>
        <v/>
      </c>
      <c r="L215" s="13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3" t="str">
        <f>IFERROR(IF(SUMIFS(tblDaily[TransfersIn],tblDaily[EntryDate],DATE(2026,6,8),tblDaily[WardCode],"FAE")=0,"",SUMIFS(tblDaily[TransfersIn],tblDaily[EntryDate],DATE(2026,6,8),tblDaily[WardCode],"FAE")),"")</f>
        <v/>
      </c>
      <c r="N215" s="13" t="str">
        <f>IFERROR(IF(SUMIFS(tblDaily[TransfersOut],tblDaily[EntryDate],DATE(2026,6,8),tblDaily[WardCode],"FAE")=0,"",SUMIFS(tblDaily[TransfersOut],tblDaily[EntryDate],DATE(2026,6,8),tblDaily[WardCode],"FAE")),"")</f>
        <v/>
      </c>
      <c r="O215" s="13" t="str">
        <f>IFERROR(IF(SUMIFS(tblDaily[Remaining],tblDaily[EntryDate],DATE(2026,6,8),tblDaily[WardCode],"FAE")=0,"",SUMIFS(tblDaily[Remaining],tblDaily[EntryDate],DATE(2026,6,8),tblDaily[WardCode],"FAE")),"")</f>
        <v/>
      </c>
    </row>
    <row r="216" spans="1:15" x14ac:dyDescent="0.25">
      <c r="A216" s="13">
        <v>9</v>
      </c>
      <c r="B216" s="13" t="str">
        <f>IFERROR(IF(SUMIFS(tblDaily[Admissions],tblDaily[EntryDate],DATE(2026,6,9),tblDaily[WardCode],"MAE")=0,"",SUMIFS(tblDaily[Admissions],tblDaily[EntryDate],DATE(2026,6,9),tblDaily[WardCode],"MAE")),"")</f>
        <v/>
      </c>
      <c r="C216" s="13" t="str">
        <f>IFERROR(IF(SUMIFS(tblDaily[Discharges],tblDaily[EntryDate],DATE(2026,6,9),tblDaily[WardCode],"MAE")=0,"",SUMIFS(tblDaily[Discharges],tblDaily[EntryDate],DATE(2026,6,9),tblDaily[WardCode],"MAE")),"")</f>
        <v/>
      </c>
      <c r="D216" s="13" t="str">
        <f>IFERROR(IF(SUMIFS(tblDaily[Deaths],tblDaily[EntryDate],DATE(2026,6,9),tblDaily[WardCode],"MAE")=0,"",SUMIFS(tblDaily[Deaths],tblDaily[EntryDate],DATE(2026,6,9),tblDaily[WardCode],"MAE")),"")</f>
        <v/>
      </c>
      <c r="E216" s="13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3" t="str">
        <f>IFERROR(IF(SUMIFS(tblDaily[TransfersIn],tblDaily[EntryDate],DATE(2026,6,9),tblDaily[WardCode],"MAE")=0,"",SUMIFS(tblDaily[TransfersIn],tblDaily[EntryDate],DATE(2026,6,9),tblDaily[WardCode],"MAE")),"")</f>
        <v/>
      </c>
      <c r="G216" s="13" t="str">
        <f>IFERROR(IF(SUMIFS(tblDaily[TransfersOut],tblDaily[EntryDate],DATE(2026,6,9),tblDaily[WardCode],"MAE")=0,"",SUMIFS(tblDaily[TransfersOut],tblDaily[EntryDate],DATE(2026,6,9),tblDaily[WardCode],"MAE")),"")</f>
        <v/>
      </c>
      <c r="H216" s="13" t="str">
        <f>IFERROR(IF(SUMIFS(tblDaily[Remaining],tblDaily[EntryDate],DATE(2026,6,9),tblDaily[WardCode],"MAE")=0,"",SUMIFS(tblDaily[Remaining],tblDaily[EntryDate],DATE(2026,6,9),tblDaily[WardCode],"MAE")),"")</f>
        <v/>
      </c>
      <c r="I216" s="13" t="str">
        <f>IFERROR(IF(SUMIFS(tblDaily[Admissions],tblDaily[EntryDate],DATE(2026,6,9),tblDaily[WardCode],"FAE")=0,"",SUMIFS(tblDaily[Admissions],tblDaily[EntryDate],DATE(2026,6,9),tblDaily[WardCode],"FAE")),"")</f>
        <v/>
      </c>
      <c r="J216" s="13" t="str">
        <f>IFERROR(IF(SUMIFS(tblDaily[Discharges],tblDaily[EntryDate],DATE(2026,6,9),tblDaily[WardCode],"FAE")=0,"",SUMIFS(tblDaily[Discharges],tblDaily[EntryDate],DATE(2026,6,9),tblDaily[WardCode],"FAE")),"")</f>
        <v/>
      </c>
      <c r="K216" s="13" t="str">
        <f>IFERROR(IF(SUMIFS(tblDaily[Deaths],tblDaily[EntryDate],DATE(2026,6,9),tblDaily[WardCode],"FAE")=0,"",SUMIFS(tblDaily[Deaths],tblDaily[EntryDate],DATE(2026,6,9),tblDaily[WardCode],"FAE")),"")</f>
        <v/>
      </c>
      <c r="L216" s="13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3" t="str">
        <f>IFERROR(IF(SUMIFS(tblDaily[TransfersIn],tblDaily[EntryDate],DATE(2026,6,9),tblDaily[WardCode],"FAE")=0,"",SUMIFS(tblDaily[TransfersIn],tblDaily[EntryDate],DATE(2026,6,9),tblDaily[WardCode],"FAE")),"")</f>
        <v/>
      </c>
      <c r="N216" s="13" t="str">
        <f>IFERROR(IF(SUMIFS(tblDaily[TransfersOut],tblDaily[EntryDate],DATE(2026,6,9),tblDaily[WardCode],"FAE")=0,"",SUMIFS(tblDaily[TransfersOut],tblDaily[EntryDate],DATE(2026,6,9),tblDaily[WardCode],"FAE")),"")</f>
        <v/>
      </c>
      <c r="O216" s="13" t="str">
        <f>IFERROR(IF(SUMIFS(tblDaily[Remaining],tblDaily[EntryDate],DATE(2026,6,9),tblDaily[WardCode],"FAE")=0,"",SUMIFS(tblDaily[Remaining],tblDaily[EntryDate],DATE(2026,6,9),tblDaily[WardCode],"FAE")),"")</f>
        <v/>
      </c>
    </row>
    <row r="217" spans="1:15" x14ac:dyDescent="0.25">
      <c r="A217" s="13">
        <v>10</v>
      </c>
      <c r="B217" s="13" t="str">
        <f>IFERROR(IF(SUMIFS(tblDaily[Admissions],tblDaily[EntryDate],DATE(2026,6,10),tblDaily[WardCode],"MAE")=0,"",SUMIFS(tblDaily[Admissions],tblDaily[EntryDate],DATE(2026,6,10),tblDaily[WardCode],"MAE")),"")</f>
        <v/>
      </c>
      <c r="C217" s="13" t="str">
        <f>IFERROR(IF(SUMIFS(tblDaily[Discharges],tblDaily[EntryDate],DATE(2026,6,10),tblDaily[WardCode],"MAE")=0,"",SUMIFS(tblDaily[Discharges],tblDaily[EntryDate],DATE(2026,6,10),tblDaily[WardCode],"MAE")),"")</f>
        <v/>
      </c>
      <c r="D217" s="13" t="str">
        <f>IFERROR(IF(SUMIFS(tblDaily[Deaths],tblDaily[EntryDate],DATE(2026,6,10),tblDaily[WardCode],"MAE")=0,"",SUMIFS(tblDaily[Deaths],tblDaily[EntryDate],DATE(2026,6,10),tblDaily[WardCode],"MAE")),"")</f>
        <v/>
      </c>
      <c r="E217" s="13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3" t="str">
        <f>IFERROR(IF(SUMIFS(tblDaily[TransfersIn],tblDaily[EntryDate],DATE(2026,6,10),tblDaily[WardCode],"MAE")=0,"",SUMIFS(tblDaily[TransfersIn],tblDaily[EntryDate],DATE(2026,6,10),tblDaily[WardCode],"MAE")),"")</f>
        <v/>
      </c>
      <c r="G217" s="13" t="str">
        <f>IFERROR(IF(SUMIFS(tblDaily[TransfersOut],tblDaily[EntryDate],DATE(2026,6,10),tblDaily[WardCode],"MAE")=0,"",SUMIFS(tblDaily[TransfersOut],tblDaily[EntryDate],DATE(2026,6,10),tblDaily[WardCode],"MAE")),"")</f>
        <v/>
      </c>
      <c r="H217" s="13" t="str">
        <f>IFERROR(IF(SUMIFS(tblDaily[Remaining],tblDaily[EntryDate],DATE(2026,6,10),tblDaily[WardCode],"MAE")=0,"",SUMIFS(tblDaily[Remaining],tblDaily[EntryDate],DATE(2026,6,10),tblDaily[WardCode],"MAE")),"")</f>
        <v/>
      </c>
      <c r="I217" s="13" t="str">
        <f>IFERROR(IF(SUMIFS(tblDaily[Admissions],tblDaily[EntryDate],DATE(2026,6,10),tblDaily[WardCode],"FAE")=0,"",SUMIFS(tblDaily[Admissions],tblDaily[EntryDate],DATE(2026,6,10),tblDaily[WardCode],"FAE")),"")</f>
        <v/>
      </c>
      <c r="J217" s="13" t="str">
        <f>IFERROR(IF(SUMIFS(tblDaily[Discharges],tblDaily[EntryDate],DATE(2026,6,10),tblDaily[WardCode],"FAE")=0,"",SUMIFS(tblDaily[Discharges],tblDaily[EntryDate],DATE(2026,6,10),tblDaily[WardCode],"FAE")),"")</f>
        <v/>
      </c>
      <c r="K217" s="13" t="str">
        <f>IFERROR(IF(SUMIFS(tblDaily[Deaths],tblDaily[EntryDate],DATE(2026,6,10),tblDaily[WardCode],"FAE")=0,"",SUMIFS(tblDaily[Deaths],tblDaily[EntryDate],DATE(2026,6,10),tblDaily[WardCode],"FAE")),"")</f>
        <v/>
      </c>
      <c r="L217" s="13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3" t="str">
        <f>IFERROR(IF(SUMIFS(tblDaily[TransfersIn],tblDaily[EntryDate],DATE(2026,6,10),tblDaily[WardCode],"FAE")=0,"",SUMIFS(tblDaily[TransfersIn],tblDaily[EntryDate],DATE(2026,6,10),tblDaily[WardCode],"FAE")),"")</f>
        <v/>
      </c>
      <c r="N217" s="13" t="str">
        <f>IFERROR(IF(SUMIFS(tblDaily[TransfersOut],tblDaily[EntryDate],DATE(2026,6,10),tblDaily[WardCode],"FAE")=0,"",SUMIFS(tblDaily[TransfersOut],tblDaily[EntryDate],DATE(2026,6,10),tblDaily[WardCode],"FAE")),"")</f>
        <v/>
      </c>
      <c r="O217" s="13" t="str">
        <f>IFERROR(IF(SUMIFS(tblDaily[Remaining],tblDaily[EntryDate],DATE(2026,6,10),tblDaily[WardCode],"FAE")=0,"",SUMIFS(tblDaily[Remaining],tblDaily[EntryDate],DATE(2026,6,10),tblDaily[WardCode],"FAE")),"")</f>
        <v/>
      </c>
    </row>
    <row r="218" spans="1:15" x14ac:dyDescent="0.25">
      <c r="A218" s="13">
        <v>11</v>
      </c>
      <c r="B218" s="13" t="str">
        <f>IFERROR(IF(SUMIFS(tblDaily[Admissions],tblDaily[EntryDate],DATE(2026,6,11),tblDaily[WardCode],"MAE")=0,"",SUMIFS(tblDaily[Admissions],tblDaily[EntryDate],DATE(2026,6,11),tblDaily[WardCode],"MAE")),"")</f>
        <v/>
      </c>
      <c r="C218" s="13" t="str">
        <f>IFERROR(IF(SUMIFS(tblDaily[Discharges],tblDaily[EntryDate],DATE(2026,6,11),tblDaily[WardCode],"MAE")=0,"",SUMIFS(tblDaily[Discharges],tblDaily[EntryDate],DATE(2026,6,11),tblDaily[WardCode],"MAE")),"")</f>
        <v/>
      </c>
      <c r="D218" s="13" t="str">
        <f>IFERROR(IF(SUMIFS(tblDaily[Deaths],tblDaily[EntryDate],DATE(2026,6,11),tblDaily[WardCode],"MAE")=0,"",SUMIFS(tblDaily[Deaths],tblDaily[EntryDate],DATE(2026,6,11),tblDaily[WardCode],"MAE")),"")</f>
        <v/>
      </c>
      <c r="E218" s="13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3" t="str">
        <f>IFERROR(IF(SUMIFS(tblDaily[TransfersIn],tblDaily[EntryDate],DATE(2026,6,11),tblDaily[WardCode],"MAE")=0,"",SUMIFS(tblDaily[TransfersIn],tblDaily[EntryDate],DATE(2026,6,11),tblDaily[WardCode],"MAE")),"")</f>
        <v/>
      </c>
      <c r="G218" s="13" t="str">
        <f>IFERROR(IF(SUMIFS(tblDaily[TransfersOut],tblDaily[EntryDate],DATE(2026,6,11),tblDaily[WardCode],"MAE")=0,"",SUMIFS(tblDaily[TransfersOut],tblDaily[EntryDate],DATE(2026,6,11),tblDaily[WardCode],"MAE")),"")</f>
        <v/>
      </c>
      <c r="H218" s="13" t="str">
        <f>IFERROR(IF(SUMIFS(tblDaily[Remaining],tblDaily[EntryDate],DATE(2026,6,11),tblDaily[WardCode],"MAE")=0,"",SUMIFS(tblDaily[Remaining],tblDaily[EntryDate],DATE(2026,6,11),tblDaily[WardCode],"MAE")),"")</f>
        <v/>
      </c>
      <c r="I218" s="13" t="str">
        <f>IFERROR(IF(SUMIFS(tblDaily[Admissions],tblDaily[EntryDate],DATE(2026,6,11),tblDaily[WardCode],"FAE")=0,"",SUMIFS(tblDaily[Admissions],tblDaily[EntryDate],DATE(2026,6,11),tblDaily[WardCode],"FAE")),"")</f>
        <v/>
      </c>
      <c r="J218" s="13" t="str">
        <f>IFERROR(IF(SUMIFS(tblDaily[Discharges],tblDaily[EntryDate],DATE(2026,6,11),tblDaily[WardCode],"FAE")=0,"",SUMIFS(tblDaily[Discharges],tblDaily[EntryDate],DATE(2026,6,11),tblDaily[WardCode],"FAE")),"")</f>
        <v/>
      </c>
      <c r="K218" s="13" t="str">
        <f>IFERROR(IF(SUMIFS(tblDaily[Deaths],tblDaily[EntryDate],DATE(2026,6,11),tblDaily[WardCode],"FAE")=0,"",SUMIFS(tblDaily[Deaths],tblDaily[EntryDate],DATE(2026,6,11),tblDaily[WardCode],"FAE")),"")</f>
        <v/>
      </c>
      <c r="L218" s="13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3" t="str">
        <f>IFERROR(IF(SUMIFS(tblDaily[TransfersIn],tblDaily[EntryDate],DATE(2026,6,11),tblDaily[WardCode],"FAE")=0,"",SUMIFS(tblDaily[TransfersIn],tblDaily[EntryDate],DATE(2026,6,11),tblDaily[WardCode],"FAE")),"")</f>
        <v/>
      </c>
      <c r="N218" s="13" t="str">
        <f>IFERROR(IF(SUMIFS(tblDaily[TransfersOut],tblDaily[EntryDate],DATE(2026,6,11),tblDaily[WardCode],"FAE")=0,"",SUMIFS(tblDaily[TransfersOut],tblDaily[EntryDate],DATE(2026,6,11),tblDaily[WardCode],"FAE")),"")</f>
        <v/>
      </c>
      <c r="O218" s="13" t="str">
        <f>IFERROR(IF(SUMIFS(tblDaily[Remaining],tblDaily[EntryDate],DATE(2026,6,11),tblDaily[WardCode],"FAE")=0,"",SUMIFS(tblDaily[Remaining],tblDaily[EntryDate],DATE(2026,6,11),tblDaily[WardCode],"FAE")),"")</f>
        <v/>
      </c>
    </row>
    <row r="219" spans="1:15" x14ac:dyDescent="0.25">
      <c r="A219" s="13">
        <v>12</v>
      </c>
      <c r="B219" s="13" t="str">
        <f>IFERROR(IF(SUMIFS(tblDaily[Admissions],tblDaily[EntryDate],DATE(2026,6,12),tblDaily[WardCode],"MAE")=0,"",SUMIFS(tblDaily[Admissions],tblDaily[EntryDate],DATE(2026,6,12),tblDaily[WardCode],"MAE")),"")</f>
        <v/>
      </c>
      <c r="C219" s="13" t="str">
        <f>IFERROR(IF(SUMIFS(tblDaily[Discharges],tblDaily[EntryDate],DATE(2026,6,12),tblDaily[WardCode],"MAE")=0,"",SUMIFS(tblDaily[Discharges],tblDaily[EntryDate],DATE(2026,6,12),tblDaily[WardCode],"MAE")),"")</f>
        <v/>
      </c>
      <c r="D219" s="13" t="str">
        <f>IFERROR(IF(SUMIFS(tblDaily[Deaths],tblDaily[EntryDate],DATE(2026,6,12),tblDaily[WardCode],"MAE")=0,"",SUMIFS(tblDaily[Deaths],tblDaily[EntryDate],DATE(2026,6,12),tblDaily[WardCode],"MAE")),"")</f>
        <v/>
      </c>
      <c r="E219" s="13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3" t="str">
        <f>IFERROR(IF(SUMIFS(tblDaily[TransfersIn],tblDaily[EntryDate],DATE(2026,6,12),tblDaily[WardCode],"MAE")=0,"",SUMIFS(tblDaily[TransfersIn],tblDaily[EntryDate],DATE(2026,6,12),tblDaily[WardCode],"MAE")),"")</f>
        <v/>
      </c>
      <c r="G219" s="13" t="str">
        <f>IFERROR(IF(SUMIFS(tblDaily[TransfersOut],tblDaily[EntryDate],DATE(2026,6,12),tblDaily[WardCode],"MAE")=0,"",SUMIFS(tblDaily[TransfersOut],tblDaily[EntryDate],DATE(2026,6,12),tblDaily[WardCode],"MAE")),"")</f>
        <v/>
      </c>
      <c r="H219" s="13" t="str">
        <f>IFERROR(IF(SUMIFS(tblDaily[Remaining],tblDaily[EntryDate],DATE(2026,6,12),tblDaily[WardCode],"MAE")=0,"",SUMIFS(tblDaily[Remaining],tblDaily[EntryDate],DATE(2026,6,12),tblDaily[WardCode],"MAE")),"")</f>
        <v/>
      </c>
      <c r="I219" s="13" t="str">
        <f>IFERROR(IF(SUMIFS(tblDaily[Admissions],tblDaily[EntryDate],DATE(2026,6,12),tblDaily[WardCode],"FAE")=0,"",SUMIFS(tblDaily[Admissions],tblDaily[EntryDate],DATE(2026,6,12),tblDaily[WardCode],"FAE")),"")</f>
        <v/>
      </c>
      <c r="J219" s="13" t="str">
        <f>IFERROR(IF(SUMIFS(tblDaily[Discharges],tblDaily[EntryDate],DATE(2026,6,12),tblDaily[WardCode],"FAE")=0,"",SUMIFS(tblDaily[Discharges],tblDaily[EntryDate],DATE(2026,6,12),tblDaily[WardCode],"FAE")),"")</f>
        <v/>
      </c>
      <c r="K219" s="13" t="str">
        <f>IFERROR(IF(SUMIFS(tblDaily[Deaths],tblDaily[EntryDate],DATE(2026,6,12),tblDaily[WardCode],"FAE")=0,"",SUMIFS(tblDaily[Deaths],tblDaily[EntryDate],DATE(2026,6,12),tblDaily[WardCode],"FAE")),"")</f>
        <v/>
      </c>
      <c r="L219" s="13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3" t="str">
        <f>IFERROR(IF(SUMIFS(tblDaily[TransfersIn],tblDaily[EntryDate],DATE(2026,6,12),tblDaily[WardCode],"FAE")=0,"",SUMIFS(tblDaily[TransfersIn],tblDaily[EntryDate],DATE(2026,6,12),tblDaily[WardCode],"FAE")),"")</f>
        <v/>
      </c>
      <c r="N219" s="13" t="str">
        <f>IFERROR(IF(SUMIFS(tblDaily[TransfersOut],tblDaily[EntryDate],DATE(2026,6,12),tblDaily[WardCode],"FAE")=0,"",SUMIFS(tblDaily[TransfersOut],tblDaily[EntryDate],DATE(2026,6,12),tblDaily[WardCode],"FAE")),"")</f>
        <v/>
      </c>
      <c r="O219" s="13" t="str">
        <f>IFERROR(IF(SUMIFS(tblDaily[Remaining],tblDaily[EntryDate],DATE(2026,6,12),tblDaily[WardCode],"FAE")=0,"",SUMIFS(tblDaily[Remaining],tblDaily[EntryDate],DATE(2026,6,12),tblDaily[WardCode],"FAE")),"")</f>
        <v/>
      </c>
    </row>
    <row r="220" spans="1:15" x14ac:dyDescent="0.25">
      <c r="A220" s="13">
        <v>13</v>
      </c>
      <c r="B220" s="13" t="str">
        <f>IFERROR(IF(SUMIFS(tblDaily[Admissions],tblDaily[EntryDate],DATE(2026,6,13),tblDaily[WardCode],"MAE")=0,"",SUMIFS(tblDaily[Admissions],tblDaily[EntryDate],DATE(2026,6,13),tblDaily[WardCode],"MAE")),"")</f>
        <v/>
      </c>
      <c r="C220" s="13" t="str">
        <f>IFERROR(IF(SUMIFS(tblDaily[Discharges],tblDaily[EntryDate],DATE(2026,6,13),tblDaily[WardCode],"MAE")=0,"",SUMIFS(tblDaily[Discharges],tblDaily[EntryDate],DATE(2026,6,13),tblDaily[WardCode],"MAE")),"")</f>
        <v/>
      </c>
      <c r="D220" s="13" t="str">
        <f>IFERROR(IF(SUMIFS(tblDaily[Deaths],tblDaily[EntryDate],DATE(2026,6,13),tblDaily[WardCode],"MAE")=0,"",SUMIFS(tblDaily[Deaths],tblDaily[EntryDate],DATE(2026,6,13),tblDaily[WardCode],"MAE")),"")</f>
        <v/>
      </c>
      <c r="E220" s="13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3" t="str">
        <f>IFERROR(IF(SUMIFS(tblDaily[TransfersIn],tblDaily[EntryDate],DATE(2026,6,13),tblDaily[WardCode],"MAE")=0,"",SUMIFS(tblDaily[TransfersIn],tblDaily[EntryDate],DATE(2026,6,13),tblDaily[WardCode],"MAE")),"")</f>
        <v/>
      </c>
      <c r="G220" s="13" t="str">
        <f>IFERROR(IF(SUMIFS(tblDaily[TransfersOut],tblDaily[EntryDate],DATE(2026,6,13),tblDaily[WardCode],"MAE")=0,"",SUMIFS(tblDaily[TransfersOut],tblDaily[EntryDate],DATE(2026,6,13),tblDaily[WardCode],"MAE")),"")</f>
        <v/>
      </c>
      <c r="H220" s="13" t="str">
        <f>IFERROR(IF(SUMIFS(tblDaily[Remaining],tblDaily[EntryDate],DATE(2026,6,13),tblDaily[WardCode],"MAE")=0,"",SUMIFS(tblDaily[Remaining],tblDaily[EntryDate],DATE(2026,6,13),tblDaily[WardCode],"MAE")),"")</f>
        <v/>
      </c>
      <c r="I220" s="13" t="str">
        <f>IFERROR(IF(SUMIFS(tblDaily[Admissions],tblDaily[EntryDate],DATE(2026,6,13),tblDaily[WardCode],"FAE")=0,"",SUMIFS(tblDaily[Admissions],tblDaily[EntryDate],DATE(2026,6,13),tblDaily[WardCode],"FAE")),"")</f>
        <v/>
      </c>
      <c r="J220" s="13" t="str">
        <f>IFERROR(IF(SUMIFS(tblDaily[Discharges],tblDaily[EntryDate],DATE(2026,6,13),tblDaily[WardCode],"FAE")=0,"",SUMIFS(tblDaily[Discharges],tblDaily[EntryDate],DATE(2026,6,13),tblDaily[WardCode],"FAE")),"")</f>
        <v/>
      </c>
      <c r="K220" s="13" t="str">
        <f>IFERROR(IF(SUMIFS(tblDaily[Deaths],tblDaily[EntryDate],DATE(2026,6,13),tblDaily[WardCode],"FAE")=0,"",SUMIFS(tblDaily[Deaths],tblDaily[EntryDate],DATE(2026,6,13),tblDaily[WardCode],"FAE")),"")</f>
        <v/>
      </c>
      <c r="L220" s="13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3" t="str">
        <f>IFERROR(IF(SUMIFS(tblDaily[TransfersIn],tblDaily[EntryDate],DATE(2026,6,13),tblDaily[WardCode],"FAE")=0,"",SUMIFS(tblDaily[TransfersIn],tblDaily[EntryDate],DATE(2026,6,13),tblDaily[WardCode],"FAE")),"")</f>
        <v/>
      </c>
      <c r="N220" s="13" t="str">
        <f>IFERROR(IF(SUMIFS(tblDaily[TransfersOut],tblDaily[EntryDate],DATE(2026,6,13),tblDaily[WardCode],"FAE")=0,"",SUMIFS(tblDaily[TransfersOut],tblDaily[EntryDate],DATE(2026,6,13),tblDaily[WardCode],"FAE")),"")</f>
        <v/>
      </c>
      <c r="O220" s="13" t="str">
        <f>IFERROR(IF(SUMIFS(tblDaily[Remaining],tblDaily[EntryDate],DATE(2026,6,13),tblDaily[WardCode],"FAE")=0,"",SUMIFS(tblDaily[Remaining],tblDaily[EntryDate],DATE(2026,6,13),tblDaily[WardCode],"FAE")),"")</f>
        <v/>
      </c>
    </row>
    <row r="221" spans="1:15" x14ac:dyDescent="0.25">
      <c r="A221" s="13">
        <v>14</v>
      </c>
      <c r="B221" s="13" t="str">
        <f>IFERROR(IF(SUMIFS(tblDaily[Admissions],tblDaily[EntryDate],DATE(2026,6,14),tblDaily[WardCode],"MAE")=0,"",SUMIFS(tblDaily[Admissions],tblDaily[EntryDate],DATE(2026,6,14),tblDaily[WardCode],"MAE")),"")</f>
        <v/>
      </c>
      <c r="C221" s="13" t="str">
        <f>IFERROR(IF(SUMIFS(tblDaily[Discharges],tblDaily[EntryDate],DATE(2026,6,14),tblDaily[WardCode],"MAE")=0,"",SUMIFS(tblDaily[Discharges],tblDaily[EntryDate],DATE(2026,6,14),tblDaily[WardCode],"MAE")),"")</f>
        <v/>
      </c>
      <c r="D221" s="13" t="str">
        <f>IFERROR(IF(SUMIFS(tblDaily[Deaths],tblDaily[EntryDate],DATE(2026,6,14),tblDaily[WardCode],"MAE")=0,"",SUMIFS(tblDaily[Deaths],tblDaily[EntryDate],DATE(2026,6,14),tblDaily[WardCode],"MAE")),"")</f>
        <v/>
      </c>
      <c r="E221" s="13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3" t="str">
        <f>IFERROR(IF(SUMIFS(tblDaily[TransfersIn],tblDaily[EntryDate],DATE(2026,6,14),tblDaily[WardCode],"MAE")=0,"",SUMIFS(tblDaily[TransfersIn],tblDaily[EntryDate],DATE(2026,6,14),tblDaily[WardCode],"MAE")),"")</f>
        <v/>
      </c>
      <c r="G221" s="13" t="str">
        <f>IFERROR(IF(SUMIFS(tblDaily[TransfersOut],tblDaily[EntryDate],DATE(2026,6,14),tblDaily[WardCode],"MAE")=0,"",SUMIFS(tblDaily[TransfersOut],tblDaily[EntryDate],DATE(2026,6,14),tblDaily[WardCode],"MAE")),"")</f>
        <v/>
      </c>
      <c r="H221" s="13" t="str">
        <f>IFERROR(IF(SUMIFS(tblDaily[Remaining],tblDaily[EntryDate],DATE(2026,6,14),tblDaily[WardCode],"MAE")=0,"",SUMIFS(tblDaily[Remaining],tblDaily[EntryDate],DATE(2026,6,14),tblDaily[WardCode],"MAE")),"")</f>
        <v/>
      </c>
      <c r="I221" s="13" t="str">
        <f>IFERROR(IF(SUMIFS(tblDaily[Admissions],tblDaily[EntryDate],DATE(2026,6,14),tblDaily[WardCode],"FAE")=0,"",SUMIFS(tblDaily[Admissions],tblDaily[EntryDate],DATE(2026,6,14),tblDaily[WardCode],"FAE")),"")</f>
        <v/>
      </c>
      <c r="J221" s="13" t="str">
        <f>IFERROR(IF(SUMIFS(tblDaily[Discharges],tblDaily[EntryDate],DATE(2026,6,14),tblDaily[WardCode],"FAE")=0,"",SUMIFS(tblDaily[Discharges],tblDaily[EntryDate],DATE(2026,6,14),tblDaily[WardCode],"FAE")),"")</f>
        <v/>
      </c>
      <c r="K221" s="13" t="str">
        <f>IFERROR(IF(SUMIFS(tblDaily[Deaths],tblDaily[EntryDate],DATE(2026,6,14),tblDaily[WardCode],"FAE")=0,"",SUMIFS(tblDaily[Deaths],tblDaily[EntryDate],DATE(2026,6,14),tblDaily[WardCode],"FAE")),"")</f>
        <v/>
      </c>
      <c r="L221" s="13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3" t="str">
        <f>IFERROR(IF(SUMIFS(tblDaily[TransfersIn],tblDaily[EntryDate],DATE(2026,6,14),tblDaily[WardCode],"FAE")=0,"",SUMIFS(tblDaily[TransfersIn],tblDaily[EntryDate],DATE(2026,6,14),tblDaily[WardCode],"FAE")),"")</f>
        <v/>
      </c>
      <c r="N221" s="13" t="str">
        <f>IFERROR(IF(SUMIFS(tblDaily[TransfersOut],tblDaily[EntryDate],DATE(2026,6,14),tblDaily[WardCode],"FAE")=0,"",SUMIFS(tblDaily[TransfersOut],tblDaily[EntryDate],DATE(2026,6,14),tblDaily[WardCode],"FAE")),"")</f>
        <v/>
      </c>
      <c r="O221" s="13" t="str">
        <f>IFERROR(IF(SUMIFS(tblDaily[Remaining],tblDaily[EntryDate],DATE(2026,6,14),tblDaily[WardCode],"FAE")=0,"",SUMIFS(tblDaily[Remaining],tblDaily[EntryDate],DATE(2026,6,14),tblDaily[WardCode],"FAE")),"")</f>
        <v/>
      </c>
    </row>
    <row r="222" spans="1:15" x14ac:dyDescent="0.25">
      <c r="A222" s="13">
        <v>15</v>
      </c>
      <c r="B222" s="13" t="str">
        <f>IFERROR(IF(SUMIFS(tblDaily[Admissions],tblDaily[EntryDate],DATE(2026,6,15),tblDaily[WardCode],"MAE")=0,"",SUMIFS(tblDaily[Admissions],tblDaily[EntryDate],DATE(2026,6,15),tblDaily[WardCode],"MAE")),"")</f>
        <v/>
      </c>
      <c r="C222" s="13" t="str">
        <f>IFERROR(IF(SUMIFS(tblDaily[Discharges],tblDaily[EntryDate],DATE(2026,6,15),tblDaily[WardCode],"MAE")=0,"",SUMIFS(tblDaily[Discharges],tblDaily[EntryDate],DATE(2026,6,15),tblDaily[WardCode],"MAE")),"")</f>
        <v/>
      </c>
      <c r="D222" s="13" t="str">
        <f>IFERROR(IF(SUMIFS(tblDaily[Deaths],tblDaily[EntryDate],DATE(2026,6,15),tblDaily[WardCode],"MAE")=0,"",SUMIFS(tblDaily[Deaths],tblDaily[EntryDate],DATE(2026,6,15),tblDaily[WardCode],"MAE")),"")</f>
        <v/>
      </c>
      <c r="E222" s="13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3" t="str">
        <f>IFERROR(IF(SUMIFS(tblDaily[TransfersIn],tblDaily[EntryDate],DATE(2026,6,15),tblDaily[WardCode],"MAE")=0,"",SUMIFS(tblDaily[TransfersIn],tblDaily[EntryDate],DATE(2026,6,15),tblDaily[WardCode],"MAE")),"")</f>
        <v/>
      </c>
      <c r="G222" s="13" t="str">
        <f>IFERROR(IF(SUMIFS(tblDaily[TransfersOut],tblDaily[EntryDate],DATE(2026,6,15),tblDaily[WardCode],"MAE")=0,"",SUMIFS(tblDaily[TransfersOut],tblDaily[EntryDate],DATE(2026,6,15),tblDaily[WardCode],"MAE")),"")</f>
        <v/>
      </c>
      <c r="H222" s="13" t="str">
        <f>IFERROR(IF(SUMIFS(tblDaily[Remaining],tblDaily[EntryDate],DATE(2026,6,15),tblDaily[WardCode],"MAE")=0,"",SUMIFS(tblDaily[Remaining],tblDaily[EntryDate],DATE(2026,6,15),tblDaily[WardCode],"MAE")),"")</f>
        <v/>
      </c>
      <c r="I222" s="13" t="str">
        <f>IFERROR(IF(SUMIFS(tblDaily[Admissions],tblDaily[EntryDate],DATE(2026,6,15),tblDaily[WardCode],"FAE")=0,"",SUMIFS(tblDaily[Admissions],tblDaily[EntryDate],DATE(2026,6,15),tblDaily[WardCode],"FAE")),"")</f>
        <v/>
      </c>
      <c r="J222" s="13" t="str">
        <f>IFERROR(IF(SUMIFS(tblDaily[Discharges],tblDaily[EntryDate],DATE(2026,6,15),tblDaily[WardCode],"FAE")=0,"",SUMIFS(tblDaily[Discharges],tblDaily[EntryDate],DATE(2026,6,15),tblDaily[WardCode],"FAE")),"")</f>
        <v/>
      </c>
      <c r="K222" s="13" t="str">
        <f>IFERROR(IF(SUMIFS(tblDaily[Deaths],tblDaily[EntryDate],DATE(2026,6,15),tblDaily[WardCode],"FAE")=0,"",SUMIFS(tblDaily[Deaths],tblDaily[EntryDate],DATE(2026,6,15),tblDaily[WardCode],"FAE")),"")</f>
        <v/>
      </c>
      <c r="L222" s="13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3" t="str">
        <f>IFERROR(IF(SUMIFS(tblDaily[TransfersIn],tblDaily[EntryDate],DATE(2026,6,15),tblDaily[WardCode],"FAE")=0,"",SUMIFS(tblDaily[TransfersIn],tblDaily[EntryDate],DATE(2026,6,15),tblDaily[WardCode],"FAE")),"")</f>
        <v/>
      </c>
      <c r="N222" s="13" t="str">
        <f>IFERROR(IF(SUMIFS(tblDaily[TransfersOut],tblDaily[EntryDate],DATE(2026,6,15),tblDaily[WardCode],"FAE")=0,"",SUMIFS(tblDaily[TransfersOut],tblDaily[EntryDate],DATE(2026,6,15),tblDaily[WardCode],"FAE")),"")</f>
        <v/>
      </c>
      <c r="O222" s="13" t="str">
        <f>IFERROR(IF(SUMIFS(tblDaily[Remaining],tblDaily[EntryDate],DATE(2026,6,15),tblDaily[WardCode],"FAE")=0,"",SUMIFS(tblDaily[Remaining],tblDaily[EntryDate],DATE(2026,6,15),tblDaily[WardCode],"FAE")),"")</f>
        <v/>
      </c>
    </row>
    <row r="223" spans="1:15" x14ac:dyDescent="0.25">
      <c r="A223" s="13">
        <v>16</v>
      </c>
      <c r="B223" s="13" t="str">
        <f>IFERROR(IF(SUMIFS(tblDaily[Admissions],tblDaily[EntryDate],DATE(2026,6,16),tblDaily[WardCode],"MAE")=0,"",SUMIFS(tblDaily[Admissions],tblDaily[EntryDate],DATE(2026,6,16),tblDaily[WardCode],"MAE")),"")</f>
        <v/>
      </c>
      <c r="C223" s="13" t="str">
        <f>IFERROR(IF(SUMIFS(tblDaily[Discharges],tblDaily[EntryDate],DATE(2026,6,16),tblDaily[WardCode],"MAE")=0,"",SUMIFS(tblDaily[Discharges],tblDaily[EntryDate],DATE(2026,6,16),tblDaily[WardCode],"MAE")),"")</f>
        <v/>
      </c>
      <c r="D223" s="13" t="str">
        <f>IFERROR(IF(SUMIFS(tblDaily[Deaths],tblDaily[EntryDate],DATE(2026,6,16),tblDaily[WardCode],"MAE")=0,"",SUMIFS(tblDaily[Deaths],tblDaily[EntryDate],DATE(2026,6,16),tblDaily[WardCode],"MAE")),"")</f>
        <v/>
      </c>
      <c r="E223" s="13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3" t="str">
        <f>IFERROR(IF(SUMIFS(tblDaily[TransfersIn],tblDaily[EntryDate],DATE(2026,6,16),tblDaily[WardCode],"MAE")=0,"",SUMIFS(tblDaily[TransfersIn],tblDaily[EntryDate],DATE(2026,6,16),tblDaily[WardCode],"MAE")),"")</f>
        <v/>
      </c>
      <c r="G223" s="13" t="str">
        <f>IFERROR(IF(SUMIFS(tblDaily[TransfersOut],tblDaily[EntryDate],DATE(2026,6,16),tblDaily[WardCode],"MAE")=0,"",SUMIFS(tblDaily[TransfersOut],tblDaily[EntryDate],DATE(2026,6,16),tblDaily[WardCode],"MAE")),"")</f>
        <v/>
      </c>
      <c r="H223" s="13" t="str">
        <f>IFERROR(IF(SUMIFS(tblDaily[Remaining],tblDaily[EntryDate],DATE(2026,6,16),tblDaily[WardCode],"MAE")=0,"",SUMIFS(tblDaily[Remaining],tblDaily[EntryDate],DATE(2026,6,16),tblDaily[WardCode],"MAE")),"")</f>
        <v/>
      </c>
      <c r="I223" s="13" t="str">
        <f>IFERROR(IF(SUMIFS(tblDaily[Admissions],tblDaily[EntryDate],DATE(2026,6,16),tblDaily[WardCode],"FAE")=0,"",SUMIFS(tblDaily[Admissions],tblDaily[EntryDate],DATE(2026,6,16),tblDaily[WardCode],"FAE")),"")</f>
        <v/>
      </c>
      <c r="J223" s="13" t="str">
        <f>IFERROR(IF(SUMIFS(tblDaily[Discharges],tblDaily[EntryDate],DATE(2026,6,16),tblDaily[WardCode],"FAE")=0,"",SUMIFS(tblDaily[Discharges],tblDaily[EntryDate],DATE(2026,6,16),tblDaily[WardCode],"FAE")),"")</f>
        <v/>
      </c>
      <c r="K223" s="13" t="str">
        <f>IFERROR(IF(SUMIFS(tblDaily[Deaths],tblDaily[EntryDate],DATE(2026,6,16),tblDaily[WardCode],"FAE")=0,"",SUMIFS(tblDaily[Deaths],tblDaily[EntryDate],DATE(2026,6,16),tblDaily[WardCode],"FAE")),"")</f>
        <v/>
      </c>
      <c r="L223" s="13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3" t="str">
        <f>IFERROR(IF(SUMIFS(tblDaily[TransfersIn],tblDaily[EntryDate],DATE(2026,6,16),tblDaily[WardCode],"FAE")=0,"",SUMIFS(tblDaily[TransfersIn],tblDaily[EntryDate],DATE(2026,6,16),tblDaily[WardCode],"FAE")),"")</f>
        <v/>
      </c>
      <c r="N223" s="13" t="str">
        <f>IFERROR(IF(SUMIFS(tblDaily[TransfersOut],tblDaily[EntryDate],DATE(2026,6,16),tblDaily[WardCode],"FAE")=0,"",SUMIFS(tblDaily[TransfersOut],tblDaily[EntryDate],DATE(2026,6,16),tblDaily[WardCode],"FAE")),"")</f>
        <v/>
      </c>
      <c r="O223" s="13" t="str">
        <f>IFERROR(IF(SUMIFS(tblDaily[Remaining],tblDaily[EntryDate],DATE(2026,6,16),tblDaily[WardCode],"FAE")=0,"",SUMIFS(tblDaily[Remaining],tblDaily[EntryDate],DATE(2026,6,16),tblDaily[WardCode],"FAE")),"")</f>
        <v/>
      </c>
    </row>
    <row r="224" spans="1:15" x14ac:dyDescent="0.25">
      <c r="A224" s="13">
        <v>17</v>
      </c>
      <c r="B224" s="13" t="str">
        <f>IFERROR(IF(SUMIFS(tblDaily[Admissions],tblDaily[EntryDate],DATE(2026,6,17),tblDaily[WardCode],"MAE")=0,"",SUMIFS(tblDaily[Admissions],tblDaily[EntryDate],DATE(2026,6,17),tblDaily[WardCode],"MAE")),"")</f>
        <v/>
      </c>
      <c r="C224" s="13" t="str">
        <f>IFERROR(IF(SUMIFS(tblDaily[Discharges],tblDaily[EntryDate],DATE(2026,6,17),tblDaily[WardCode],"MAE")=0,"",SUMIFS(tblDaily[Discharges],tblDaily[EntryDate],DATE(2026,6,17),tblDaily[WardCode],"MAE")),"")</f>
        <v/>
      </c>
      <c r="D224" s="13" t="str">
        <f>IFERROR(IF(SUMIFS(tblDaily[Deaths],tblDaily[EntryDate],DATE(2026,6,17),tblDaily[WardCode],"MAE")=0,"",SUMIFS(tblDaily[Deaths],tblDaily[EntryDate],DATE(2026,6,17),tblDaily[WardCode],"MAE")),"")</f>
        <v/>
      </c>
      <c r="E224" s="13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3" t="str">
        <f>IFERROR(IF(SUMIFS(tblDaily[TransfersIn],tblDaily[EntryDate],DATE(2026,6,17),tblDaily[WardCode],"MAE")=0,"",SUMIFS(tblDaily[TransfersIn],tblDaily[EntryDate],DATE(2026,6,17),tblDaily[WardCode],"MAE")),"")</f>
        <v/>
      </c>
      <c r="G224" s="13" t="str">
        <f>IFERROR(IF(SUMIFS(tblDaily[TransfersOut],tblDaily[EntryDate],DATE(2026,6,17),tblDaily[WardCode],"MAE")=0,"",SUMIFS(tblDaily[TransfersOut],tblDaily[EntryDate],DATE(2026,6,17),tblDaily[WardCode],"MAE")),"")</f>
        <v/>
      </c>
      <c r="H224" s="13" t="str">
        <f>IFERROR(IF(SUMIFS(tblDaily[Remaining],tblDaily[EntryDate],DATE(2026,6,17),tblDaily[WardCode],"MAE")=0,"",SUMIFS(tblDaily[Remaining],tblDaily[EntryDate],DATE(2026,6,17),tblDaily[WardCode],"MAE")),"")</f>
        <v/>
      </c>
      <c r="I224" s="13" t="str">
        <f>IFERROR(IF(SUMIFS(tblDaily[Admissions],tblDaily[EntryDate],DATE(2026,6,17),tblDaily[WardCode],"FAE")=0,"",SUMIFS(tblDaily[Admissions],tblDaily[EntryDate],DATE(2026,6,17),tblDaily[WardCode],"FAE")),"")</f>
        <v/>
      </c>
      <c r="J224" s="13" t="str">
        <f>IFERROR(IF(SUMIFS(tblDaily[Discharges],tblDaily[EntryDate],DATE(2026,6,17),tblDaily[WardCode],"FAE")=0,"",SUMIFS(tblDaily[Discharges],tblDaily[EntryDate],DATE(2026,6,17),tblDaily[WardCode],"FAE")),"")</f>
        <v/>
      </c>
      <c r="K224" s="13" t="str">
        <f>IFERROR(IF(SUMIFS(tblDaily[Deaths],tblDaily[EntryDate],DATE(2026,6,17),tblDaily[WardCode],"FAE")=0,"",SUMIFS(tblDaily[Deaths],tblDaily[EntryDate],DATE(2026,6,17),tblDaily[WardCode],"FAE")),"")</f>
        <v/>
      </c>
      <c r="L224" s="13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3" t="str">
        <f>IFERROR(IF(SUMIFS(tblDaily[TransfersIn],tblDaily[EntryDate],DATE(2026,6,17),tblDaily[WardCode],"FAE")=0,"",SUMIFS(tblDaily[TransfersIn],tblDaily[EntryDate],DATE(2026,6,17),tblDaily[WardCode],"FAE")),"")</f>
        <v/>
      </c>
      <c r="N224" s="13" t="str">
        <f>IFERROR(IF(SUMIFS(tblDaily[TransfersOut],tblDaily[EntryDate],DATE(2026,6,17),tblDaily[WardCode],"FAE")=0,"",SUMIFS(tblDaily[TransfersOut],tblDaily[EntryDate],DATE(2026,6,17),tblDaily[WardCode],"FAE")),"")</f>
        <v/>
      </c>
      <c r="O224" s="13" t="str">
        <f>IFERROR(IF(SUMIFS(tblDaily[Remaining],tblDaily[EntryDate],DATE(2026,6,17),tblDaily[WardCode],"FAE")=0,"",SUMIFS(tblDaily[Remaining],tblDaily[EntryDate],DATE(2026,6,17),tblDaily[WardCode],"FAE")),"")</f>
        <v/>
      </c>
    </row>
    <row r="225" spans="1:15" x14ac:dyDescent="0.25">
      <c r="A225" s="13">
        <v>18</v>
      </c>
      <c r="B225" s="13" t="str">
        <f>IFERROR(IF(SUMIFS(tblDaily[Admissions],tblDaily[EntryDate],DATE(2026,6,18),tblDaily[WardCode],"MAE")=0,"",SUMIFS(tblDaily[Admissions],tblDaily[EntryDate],DATE(2026,6,18),tblDaily[WardCode],"MAE")),"")</f>
        <v/>
      </c>
      <c r="C225" s="13" t="str">
        <f>IFERROR(IF(SUMIFS(tblDaily[Discharges],tblDaily[EntryDate],DATE(2026,6,18),tblDaily[WardCode],"MAE")=0,"",SUMIFS(tblDaily[Discharges],tblDaily[EntryDate],DATE(2026,6,18),tblDaily[WardCode],"MAE")),"")</f>
        <v/>
      </c>
      <c r="D225" s="13" t="str">
        <f>IFERROR(IF(SUMIFS(tblDaily[Deaths],tblDaily[EntryDate],DATE(2026,6,18),tblDaily[WardCode],"MAE")=0,"",SUMIFS(tblDaily[Deaths],tblDaily[EntryDate],DATE(2026,6,18),tblDaily[WardCode],"MAE")),"")</f>
        <v/>
      </c>
      <c r="E225" s="13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3" t="str">
        <f>IFERROR(IF(SUMIFS(tblDaily[TransfersIn],tblDaily[EntryDate],DATE(2026,6,18),tblDaily[WardCode],"MAE")=0,"",SUMIFS(tblDaily[TransfersIn],tblDaily[EntryDate],DATE(2026,6,18),tblDaily[WardCode],"MAE")),"")</f>
        <v/>
      </c>
      <c r="G225" s="13" t="str">
        <f>IFERROR(IF(SUMIFS(tblDaily[TransfersOut],tblDaily[EntryDate],DATE(2026,6,18),tblDaily[WardCode],"MAE")=0,"",SUMIFS(tblDaily[TransfersOut],tblDaily[EntryDate],DATE(2026,6,18),tblDaily[WardCode],"MAE")),"")</f>
        <v/>
      </c>
      <c r="H225" s="13" t="str">
        <f>IFERROR(IF(SUMIFS(tblDaily[Remaining],tblDaily[EntryDate],DATE(2026,6,18),tblDaily[WardCode],"MAE")=0,"",SUMIFS(tblDaily[Remaining],tblDaily[EntryDate],DATE(2026,6,18),tblDaily[WardCode],"MAE")),"")</f>
        <v/>
      </c>
      <c r="I225" s="13" t="str">
        <f>IFERROR(IF(SUMIFS(tblDaily[Admissions],tblDaily[EntryDate],DATE(2026,6,18),tblDaily[WardCode],"FAE")=0,"",SUMIFS(tblDaily[Admissions],tblDaily[EntryDate],DATE(2026,6,18),tblDaily[WardCode],"FAE")),"")</f>
        <v/>
      </c>
      <c r="J225" s="13" t="str">
        <f>IFERROR(IF(SUMIFS(tblDaily[Discharges],tblDaily[EntryDate],DATE(2026,6,18),tblDaily[WardCode],"FAE")=0,"",SUMIFS(tblDaily[Discharges],tblDaily[EntryDate],DATE(2026,6,18),tblDaily[WardCode],"FAE")),"")</f>
        <v/>
      </c>
      <c r="K225" s="13" t="str">
        <f>IFERROR(IF(SUMIFS(tblDaily[Deaths],tblDaily[EntryDate],DATE(2026,6,18),tblDaily[WardCode],"FAE")=0,"",SUMIFS(tblDaily[Deaths],tblDaily[EntryDate],DATE(2026,6,18),tblDaily[WardCode],"FAE")),"")</f>
        <v/>
      </c>
      <c r="L225" s="13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3" t="str">
        <f>IFERROR(IF(SUMIFS(tblDaily[TransfersIn],tblDaily[EntryDate],DATE(2026,6,18),tblDaily[WardCode],"FAE")=0,"",SUMIFS(tblDaily[TransfersIn],tblDaily[EntryDate],DATE(2026,6,18),tblDaily[WardCode],"FAE")),"")</f>
        <v/>
      </c>
      <c r="N225" s="13" t="str">
        <f>IFERROR(IF(SUMIFS(tblDaily[TransfersOut],tblDaily[EntryDate],DATE(2026,6,18),tblDaily[WardCode],"FAE")=0,"",SUMIFS(tblDaily[TransfersOut],tblDaily[EntryDate],DATE(2026,6,18),tblDaily[WardCode],"FAE")),"")</f>
        <v/>
      </c>
      <c r="O225" s="13" t="str">
        <f>IFERROR(IF(SUMIFS(tblDaily[Remaining],tblDaily[EntryDate],DATE(2026,6,18),tblDaily[WardCode],"FAE")=0,"",SUMIFS(tblDaily[Remaining],tblDaily[EntryDate],DATE(2026,6,18),tblDaily[WardCode],"FAE")),"")</f>
        <v/>
      </c>
    </row>
    <row r="226" spans="1:15" x14ac:dyDescent="0.25">
      <c r="A226" s="13">
        <v>19</v>
      </c>
      <c r="B226" s="13" t="str">
        <f>IFERROR(IF(SUMIFS(tblDaily[Admissions],tblDaily[EntryDate],DATE(2026,6,19),tblDaily[WardCode],"MAE")=0,"",SUMIFS(tblDaily[Admissions],tblDaily[EntryDate],DATE(2026,6,19),tblDaily[WardCode],"MAE")),"")</f>
        <v/>
      </c>
      <c r="C226" s="13" t="str">
        <f>IFERROR(IF(SUMIFS(tblDaily[Discharges],tblDaily[EntryDate],DATE(2026,6,19),tblDaily[WardCode],"MAE")=0,"",SUMIFS(tblDaily[Discharges],tblDaily[EntryDate],DATE(2026,6,19),tblDaily[WardCode],"MAE")),"")</f>
        <v/>
      </c>
      <c r="D226" s="13" t="str">
        <f>IFERROR(IF(SUMIFS(tblDaily[Deaths],tblDaily[EntryDate],DATE(2026,6,19),tblDaily[WardCode],"MAE")=0,"",SUMIFS(tblDaily[Deaths],tblDaily[EntryDate],DATE(2026,6,19),tblDaily[WardCode],"MAE")),"")</f>
        <v/>
      </c>
      <c r="E226" s="13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3" t="str">
        <f>IFERROR(IF(SUMIFS(tblDaily[TransfersIn],tblDaily[EntryDate],DATE(2026,6,19),tblDaily[WardCode],"MAE")=0,"",SUMIFS(tblDaily[TransfersIn],tblDaily[EntryDate],DATE(2026,6,19),tblDaily[WardCode],"MAE")),"")</f>
        <v/>
      </c>
      <c r="G226" s="13" t="str">
        <f>IFERROR(IF(SUMIFS(tblDaily[TransfersOut],tblDaily[EntryDate],DATE(2026,6,19),tblDaily[WardCode],"MAE")=0,"",SUMIFS(tblDaily[TransfersOut],tblDaily[EntryDate],DATE(2026,6,19),tblDaily[WardCode],"MAE")),"")</f>
        <v/>
      </c>
      <c r="H226" s="13" t="str">
        <f>IFERROR(IF(SUMIFS(tblDaily[Remaining],tblDaily[EntryDate],DATE(2026,6,19),tblDaily[WardCode],"MAE")=0,"",SUMIFS(tblDaily[Remaining],tblDaily[EntryDate],DATE(2026,6,19),tblDaily[WardCode],"MAE")),"")</f>
        <v/>
      </c>
      <c r="I226" s="13" t="str">
        <f>IFERROR(IF(SUMIFS(tblDaily[Admissions],tblDaily[EntryDate],DATE(2026,6,19),tblDaily[WardCode],"FAE")=0,"",SUMIFS(tblDaily[Admissions],tblDaily[EntryDate],DATE(2026,6,19),tblDaily[WardCode],"FAE")),"")</f>
        <v/>
      </c>
      <c r="J226" s="13" t="str">
        <f>IFERROR(IF(SUMIFS(tblDaily[Discharges],tblDaily[EntryDate],DATE(2026,6,19),tblDaily[WardCode],"FAE")=0,"",SUMIFS(tblDaily[Discharges],tblDaily[EntryDate],DATE(2026,6,19),tblDaily[WardCode],"FAE")),"")</f>
        <v/>
      </c>
      <c r="K226" s="13" t="str">
        <f>IFERROR(IF(SUMIFS(tblDaily[Deaths],tblDaily[EntryDate],DATE(2026,6,19),tblDaily[WardCode],"FAE")=0,"",SUMIFS(tblDaily[Deaths],tblDaily[EntryDate],DATE(2026,6,19),tblDaily[WardCode],"FAE")),"")</f>
        <v/>
      </c>
      <c r="L226" s="13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3" t="str">
        <f>IFERROR(IF(SUMIFS(tblDaily[TransfersIn],tblDaily[EntryDate],DATE(2026,6,19),tblDaily[WardCode],"FAE")=0,"",SUMIFS(tblDaily[TransfersIn],tblDaily[EntryDate],DATE(2026,6,19),tblDaily[WardCode],"FAE")),"")</f>
        <v/>
      </c>
      <c r="N226" s="13" t="str">
        <f>IFERROR(IF(SUMIFS(tblDaily[TransfersOut],tblDaily[EntryDate],DATE(2026,6,19),tblDaily[WardCode],"FAE")=0,"",SUMIFS(tblDaily[TransfersOut],tblDaily[EntryDate],DATE(2026,6,19),tblDaily[WardCode],"FAE")),"")</f>
        <v/>
      </c>
      <c r="O226" s="13" t="str">
        <f>IFERROR(IF(SUMIFS(tblDaily[Remaining],tblDaily[EntryDate],DATE(2026,6,19),tblDaily[WardCode],"FAE")=0,"",SUMIFS(tblDaily[Remaining],tblDaily[EntryDate],DATE(2026,6,19),tblDaily[WardCode],"FAE")),"")</f>
        <v/>
      </c>
    </row>
    <row r="227" spans="1:15" x14ac:dyDescent="0.25">
      <c r="A227" s="13">
        <v>20</v>
      </c>
      <c r="B227" s="13" t="str">
        <f>IFERROR(IF(SUMIFS(tblDaily[Admissions],tblDaily[EntryDate],DATE(2026,6,20),tblDaily[WardCode],"MAE")=0,"",SUMIFS(tblDaily[Admissions],tblDaily[EntryDate],DATE(2026,6,20),tblDaily[WardCode],"MAE")),"")</f>
        <v/>
      </c>
      <c r="C227" s="13" t="str">
        <f>IFERROR(IF(SUMIFS(tblDaily[Discharges],tblDaily[EntryDate],DATE(2026,6,20),tblDaily[WardCode],"MAE")=0,"",SUMIFS(tblDaily[Discharges],tblDaily[EntryDate],DATE(2026,6,20),tblDaily[WardCode],"MAE")),"")</f>
        <v/>
      </c>
      <c r="D227" s="13" t="str">
        <f>IFERROR(IF(SUMIFS(tblDaily[Deaths],tblDaily[EntryDate],DATE(2026,6,20),tblDaily[WardCode],"MAE")=0,"",SUMIFS(tblDaily[Deaths],tblDaily[EntryDate],DATE(2026,6,20),tblDaily[WardCode],"MAE")),"")</f>
        <v/>
      </c>
      <c r="E227" s="13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3" t="str">
        <f>IFERROR(IF(SUMIFS(tblDaily[TransfersIn],tblDaily[EntryDate],DATE(2026,6,20),tblDaily[WardCode],"MAE")=0,"",SUMIFS(tblDaily[TransfersIn],tblDaily[EntryDate],DATE(2026,6,20),tblDaily[WardCode],"MAE")),"")</f>
        <v/>
      </c>
      <c r="G227" s="13" t="str">
        <f>IFERROR(IF(SUMIFS(tblDaily[TransfersOut],tblDaily[EntryDate],DATE(2026,6,20),tblDaily[WardCode],"MAE")=0,"",SUMIFS(tblDaily[TransfersOut],tblDaily[EntryDate],DATE(2026,6,20),tblDaily[WardCode],"MAE")),"")</f>
        <v/>
      </c>
      <c r="H227" s="13" t="str">
        <f>IFERROR(IF(SUMIFS(tblDaily[Remaining],tblDaily[EntryDate],DATE(2026,6,20),tblDaily[WardCode],"MAE")=0,"",SUMIFS(tblDaily[Remaining],tblDaily[EntryDate],DATE(2026,6,20),tblDaily[WardCode],"MAE")),"")</f>
        <v/>
      </c>
      <c r="I227" s="13" t="str">
        <f>IFERROR(IF(SUMIFS(tblDaily[Admissions],tblDaily[EntryDate],DATE(2026,6,20),tblDaily[WardCode],"FAE")=0,"",SUMIFS(tblDaily[Admissions],tblDaily[EntryDate],DATE(2026,6,20),tblDaily[WardCode],"FAE")),"")</f>
        <v/>
      </c>
      <c r="J227" s="13" t="str">
        <f>IFERROR(IF(SUMIFS(tblDaily[Discharges],tblDaily[EntryDate],DATE(2026,6,20),tblDaily[WardCode],"FAE")=0,"",SUMIFS(tblDaily[Discharges],tblDaily[EntryDate],DATE(2026,6,20),tblDaily[WardCode],"FAE")),"")</f>
        <v/>
      </c>
      <c r="K227" s="13" t="str">
        <f>IFERROR(IF(SUMIFS(tblDaily[Deaths],tblDaily[EntryDate],DATE(2026,6,20),tblDaily[WardCode],"FAE")=0,"",SUMIFS(tblDaily[Deaths],tblDaily[EntryDate],DATE(2026,6,20),tblDaily[WardCode],"FAE")),"")</f>
        <v/>
      </c>
      <c r="L227" s="13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3" t="str">
        <f>IFERROR(IF(SUMIFS(tblDaily[TransfersIn],tblDaily[EntryDate],DATE(2026,6,20),tblDaily[WardCode],"FAE")=0,"",SUMIFS(tblDaily[TransfersIn],tblDaily[EntryDate],DATE(2026,6,20),tblDaily[WardCode],"FAE")),"")</f>
        <v/>
      </c>
      <c r="N227" s="13" t="str">
        <f>IFERROR(IF(SUMIFS(tblDaily[TransfersOut],tblDaily[EntryDate],DATE(2026,6,20),tblDaily[WardCode],"FAE")=0,"",SUMIFS(tblDaily[TransfersOut],tblDaily[EntryDate],DATE(2026,6,20),tblDaily[WardCode],"FAE")),"")</f>
        <v/>
      </c>
      <c r="O227" s="13" t="str">
        <f>IFERROR(IF(SUMIFS(tblDaily[Remaining],tblDaily[EntryDate],DATE(2026,6,20),tblDaily[WardCode],"FAE")=0,"",SUMIFS(tblDaily[Remaining],tblDaily[EntryDate],DATE(2026,6,20),tblDaily[WardCode],"FAE")),"")</f>
        <v/>
      </c>
    </row>
    <row r="228" spans="1:15" x14ac:dyDescent="0.25">
      <c r="A228" s="13">
        <v>21</v>
      </c>
      <c r="B228" s="13" t="str">
        <f>IFERROR(IF(SUMIFS(tblDaily[Admissions],tblDaily[EntryDate],DATE(2026,6,21),tblDaily[WardCode],"MAE")=0,"",SUMIFS(tblDaily[Admissions],tblDaily[EntryDate],DATE(2026,6,21),tblDaily[WardCode],"MAE")),"")</f>
        <v/>
      </c>
      <c r="C228" s="13" t="str">
        <f>IFERROR(IF(SUMIFS(tblDaily[Discharges],tblDaily[EntryDate],DATE(2026,6,21),tblDaily[WardCode],"MAE")=0,"",SUMIFS(tblDaily[Discharges],tblDaily[EntryDate],DATE(2026,6,21),tblDaily[WardCode],"MAE")),"")</f>
        <v/>
      </c>
      <c r="D228" s="13" t="str">
        <f>IFERROR(IF(SUMIFS(tblDaily[Deaths],tblDaily[EntryDate],DATE(2026,6,21),tblDaily[WardCode],"MAE")=0,"",SUMIFS(tblDaily[Deaths],tblDaily[EntryDate],DATE(2026,6,21),tblDaily[WardCode],"MAE")),"")</f>
        <v/>
      </c>
      <c r="E228" s="13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3" t="str">
        <f>IFERROR(IF(SUMIFS(tblDaily[TransfersIn],tblDaily[EntryDate],DATE(2026,6,21),tblDaily[WardCode],"MAE")=0,"",SUMIFS(tblDaily[TransfersIn],tblDaily[EntryDate],DATE(2026,6,21),tblDaily[WardCode],"MAE")),"")</f>
        <v/>
      </c>
      <c r="G228" s="13" t="str">
        <f>IFERROR(IF(SUMIFS(tblDaily[TransfersOut],tblDaily[EntryDate],DATE(2026,6,21),tblDaily[WardCode],"MAE")=0,"",SUMIFS(tblDaily[TransfersOut],tblDaily[EntryDate],DATE(2026,6,21),tblDaily[WardCode],"MAE")),"")</f>
        <v/>
      </c>
      <c r="H228" s="13" t="str">
        <f>IFERROR(IF(SUMIFS(tblDaily[Remaining],tblDaily[EntryDate],DATE(2026,6,21),tblDaily[WardCode],"MAE")=0,"",SUMIFS(tblDaily[Remaining],tblDaily[EntryDate],DATE(2026,6,21),tblDaily[WardCode],"MAE")),"")</f>
        <v/>
      </c>
      <c r="I228" s="13" t="str">
        <f>IFERROR(IF(SUMIFS(tblDaily[Admissions],tblDaily[EntryDate],DATE(2026,6,21),tblDaily[WardCode],"FAE")=0,"",SUMIFS(tblDaily[Admissions],tblDaily[EntryDate],DATE(2026,6,21),tblDaily[WardCode],"FAE")),"")</f>
        <v/>
      </c>
      <c r="J228" s="13" t="str">
        <f>IFERROR(IF(SUMIFS(tblDaily[Discharges],tblDaily[EntryDate],DATE(2026,6,21),tblDaily[WardCode],"FAE")=0,"",SUMIFS(tblDaily[Discharges],tblDaily[EntryDate],DATE(2026,6,21),tblDaily[WardCode],"FAE")),"")</f>
        <v/>
      </c>
      <c r="K228" s="13" t="str">
        <f>IFERROR(IF(SUMIFS(tblDaily[Deaths],tblDaily[EntryDate],DATE(2026,6,21),tblDaily[WardCode],"FAE")=0,"",SUMIFS(tblDaily[Deaths],tblDaily[EntryDate],DATE(2026,6,21),tblDaily[WardCode],"FAE")),"")</f>
        <v/>
      </c>
      <c r="L228" s="13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3" t="str">
        <f>IFERROR(IF(SUMIFS(tblDaily[TransfersIn],tblDaily[EntryDate],DATE(2026,6,21),tblDaily[WardCode],"FAE")=0,"",SUMIFS(tblDaily[TransfersIn],tblDaily[EntryDate],DATE(2026,6,21),tblDaily[WardCode],"FAE")),"")</f>
        <v/>
      </c>
      <c r="N228" s="13" t="str">
        <f>IFERROR(IF(SUMIFS(tblDaily[TransfersOut],tblDaily[EntryDate],DATE(2026,6,21),tblDaily[WardCode],"FAE")=0,"",SUMIFS(tblDaily[TransfersOut],tblDaily[EntryDate],DATE(2026,6,21),tblDaily[WardCode],"FAE")),"")</f>
        <v/>
      </c>
      <c r="O228" s="13" t="str">
        <f>IFERROR(IF(SUMIFS(tblDaily[Remaining],tblDaily[EntryDate],DATE(2026,6,21),tblDaily[WardCode],"FAE")=0,"",SUMIFS(tblDaily[Remaining],tblDaily[EntryDate],DATE(2026,6,21),tblDaily[WardCode],"FAE")),"")</f>
        <v/>
      </c>
    </row>
    <row r="229" spans="1:15" x14ac:dyDescent="0.25">
      <c r="A229" s="13">
        <v>22</v>
      </c>
      <c r="B229" s="13" t="str">
        <f>IFERROR(IF(SUMIFS(tblDaily[Admissions],tblDaily[EntryDate],DATE(2026,6,22),tblDaily[WardCode],"MAE")=0,"",SUMIFS(tblDaily[Admissions],tblDaily[EntryDate],DATE(2026,6,22),tblDaily[WardCode],"MAE")),"")</f>
        <v/>
      </c>
      <c r="C229" s="13" t="str">
        <f>IFERROR(IF(SUMIFS(tblDaily[Discharges],tblDaily[EntryDate],DATE(2026,6,22),tblDaily[WardCode],"MAE")=0,"",SUMIFS(tblDaily[Discharges],tblDaily[EntryDate],DATE(2026,6,22),tblDaily[WardCode],"MAE")),"")</f>
        <v/>
      </c>
      <c r="D229" s="13" t="str">
        <f>IFERROR(IF(SUMIFS(tblDaily[Deaths],tblDaily[EntryDate],DATE(2026,6,22),tblDaily[WardCode],"MAE")=0,"",SUMIFS(tblDaily[Deaths],tblDaily[EntryDate],DATE(2026,6,22),tblDaily[WardCode],"MAE")),"")</f>
        <v/>
      </c>
      <c r="E229" s="13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3" t="str">
        <f>IFERROR(IF(SUMIFS(tblDaily[TransfersIn],tblDaily[EntryDate],DATE(2026,6,22),tblDaily[WardCode],"MAE")=0,"",SUMIFS(tblDaily[TransfersIn],tblDaily[EntryDate],DATE(2026,6,22),tblDaily[WardCode],"MAE")),"")</f>
        <v/>
      </c>
      <c r="G229" s="13" t="str">
        <f>IFERROR(IF(SUMIFS(tblDaily[TransfersOut],tblDaily[EntryDate],DATE(2026,6,22),tblDaily[WardCode],"MAE")=0,"",SUMIFS(tblDaily[TransfersOut],tblDaily[EntryDate],DATE(2026,6,22),tblDaily[WardCode],"MAE")),"")</f>
        <v/>
      </c>
      <c r="H229" s="13" t="str">
        <f>IFERROR(IF(SUMIFS(tblDaily[Remaining],tblDaily[EntryDate],DATE(2026,6,22),tblDaily[WardCode],"MAE")=0,"",SUMIFS(tblDaily[Remaining],tblDaily[EntryDate],DATE(2026,6,22),tblDaily[WardCode],"MAE")),"")</f>
        <v/>
      </c>
      <c r="I229" s="13" t="str">
        <f>IFERROR(IF(SUMIFS(tblDaily[Admissions],tblDaily[EntryDate],DATE(2026,6,22),tblDaily[WardCode],"FAE")=0,"",SUMIFS(tblDaily[Admissions],tblDaily[EntryDate],DATE(2026,6,22),tblDaily[WardCode],"FAE")),"")</f>
        <v/>
      </c>
      <c r="J229" s="13" t="str">
        <f>IFERROR(IF(SUMIFS(tblDaily[Discharges],tblDaily[EntryDate],DATE(2026,6,22),tblDaily[WardCode],"FAE")=0,"",SUMIFS(tblDaily[Discharges],tblDaily[EntryDate],DATE(2026,6,22),tblDaily[WardCode],"FAE")),"")</f>
        <v/>
      </c>
      <c r="K229" s="13" t="str">
        <f>IFERROR(IF(SUMIFS(tblDaily[Deaths],tblDaily[EntryDate],DATE(2026,6,22),tblDaily[WardCode],"FAE")=0,"",SUMIFS(tblDaily[Deaths],tblDaily[EntryDate],DATE(2026,6,22),tblDaily[WardCode],"FAE")),"")</f>
        <v/>
      </c>
      <c r="L229" s="13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3" t="str">
        <f>IFERROR(IF(SUMIFS(tblDaily[TransfersIn],tblDaily[EntryDate],DATE(2026,6,22),tblDaily[WardCode],"FAE")=0,"",SUMIFS(tblDaily[TransfersIn],tblDaily[EntryDate],DATE(2026,6,22),tblDaily[WardCode],"FAE")),"")</f>
        <v/>
      </c>
      <c r="N229" s="13" t="str">
        <f>IFERROR(IF(SUMIFS(tblDaily[TransfersOut],tblDaily[EntryDate],DATE(2026,6,22),tblDaily[WardCode],"FAE")=0,"",SUMIFS(tblDaily[TransfersOut],tblDaily[EntryDate],DATE(2026,6,22),tblDaily[WardCode],"FAE")),"")</f>
        <v/>
      </c>
      <c r="O229" s="13" t="str">
        <f>IFERROR(IF(SUMIFS(tblDaily[Remaining],tblDaily[EntryDate],DATE(2026,6,22),tblDaily[WardCode],"FAE")=0,"",SUMIFS(tblDaily[Remaining],tblDaily[EntryDate],DATE(2026,6,22),tblDaily[WardCode],"FAE")),"")</f>
        <v/>
      </c>
    </row>
    <row r="230" spans="1:15" x14ac:dyDescent="0.25">
      <c r="A230" s="13">
        <v>23</v>
      </c>
      <c r="B230" s="13" t="str">
        <f>IFERROR(IF(SUMIFS(tblDaily[Admissions],tblDaily[EntryDate],DATE(2026,6,23),tblDaily[WardCode],"MAE")=0,"",SUMIFS(tblDaily[Admissions],tblDaily[EntryDate],DATE(2026,6,23),tblDaily[WardCode],"MAE")),"")</f>
        <v/>
      </c>
      <c r="C230" s="13" t="str">
        <f>IFERROR(IF(SUMIFS(tblDaily[Discharges],tblDaily[EntryDate],DATE(2026,6,23),tblDaily[WardCode],"MAE")=0,"",SUMIFS(tblDaily[Discharges],tblDaily[EntryDate],DATE(2026,6,23),tblDaily[WardCode],"MAE")),"")</f>
        <v/>
      </c>
      <c r="D230" s="13" t="str">
        <f>IFERROR(IF(SUMIFS(tblDaily[Deaths],tblDaily[EntryDate],DATE(2026,6,23),tblDaily[WardCode],"MAE")=0,"",SUMIFS(tblDaily[Deaths],tblDaily[EntryDate],DATE(2026,6,23),tblDaily[WardCode],"MAE")),"")</f>
        <v/>
      </c>
      <c r="E230" s="13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3" t="str">
        <f>IFERROR(IF(SUMIFS(tblDaily[TransfersIn],tblDaily[EntryDate],DATE(2026,6,23),tblDaily[WardCode],"MAE")=0,"",SUMIFS(tblDaily[TransfersIn],tblDaily[EntryDate],DATE(2026,6,23),tblDaily[WardCode],"MAE")),"")</f>
        <v/>
      </c>
      <c r="G230" s="13" t="str">
        <f>IFERROR(IF(SUMIFS(tblDaily[TransfersOut],tblDaily[EntryDate],DATE(2026,6,23),tblDaily[WardCode],"MAE")=0,"",SUMIFS(tblDaily[TransfersOut],tblDaily[EntryDate],DATE(2026,6,23),tblDaily[WardCode],"MAE")),"")</f>
        <v/>
      </c>
      <c r="H230" s="13" t="str">
        <f>IFERROR(IF(SUMIFS(tblDaily[Remaining],tblDaily[EntryDate],DATE(2026,6,23),tblDaily[WardCode],"MAE")=0,"",SUMIFS(tblDaily[Remaining],tblDaily[EntryDate],DATE(2026,6,23),tblDaily[WardCode],"MAE")),"")</f>
        <v/>
      </c>
      <c r="I230" s="13" t="str">
        <f>IFERROR(IF(SUMIFS(tblDaily[Admissions],tblDaily[EntryDate],DATE(2026,6,23),tblDaily[WardCode],"FAE")=0,"",SUMIFS(tblDaily[Admissions],tblDaily[EntryDate],DATE(2026,6,23),tblDaily[WardCode],"FAE")),"")</f>
        <v/>
      </c>
      <c r="J230" s="13" t="str">
        <f>IFERROR(IF(SUMIFS(tblDaily[Discharges],tblDaily[EntryDate],DATE(2026,6,23),tblDaily[WardCode],"FAE")=0,"",SUMIFS(tblDaily[Discharges],tblDaily[EntryDate],DATE(2026,6,23),tblDaily[WardCode],"FAE")),"")</f>
        <v/>
      </c>
      <c r="K230" s="13" t="str">
        <f>IFERROR(IF(SUMIFS(tblDaily[Deaths],tblDaily[EntryDate],DATE(2026,6,23),tblDaily[WardCode],"FAE")=0,"",SUMIFS(tblDaily[Deaths],tblDaily[EntryDate],DATE(2026,6,23),tblDaily[WardCode],"FAE")),"")</f>
        <v/>
      </c>
      <c r="L230" s="13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3" t="str">
        <f>IFERROR(IF(SUMIFS(tblDaily[TransfersIn],tblDaily[EntryDate],DATE(2026,6,23),tblDaily[WardCode],"FAE")=0,"",SUMIFS(tblDaily[TransfersIn],tblDaily[EntryDate],DATE(2026,6,23),tblDaily[WardCode],"FAE")),"")</f>
        <v/>
      </c>
      <c r="N230" s="13" t="str">
        <f>IFERROR(IF(SUMIFS(tblDaily[TransfersOut],tblDaily[EntryDate],DATE(2026,6,23),tblDaily[WardCode],"FAE")=0,"",SUMIFS(tblDaily[TransfersOut],tblDaily[EntryDate],DATE(2026,6,23),tblDaily[WardCode],"FAE")),"")</f>
        <v/>
      </c>
      <c r="O230" s="13" t="str">
        <f>IFERROR(IF(SUMIFS(tblDaily[Remaining],tblDaily[EntryDate],DATE(2026,6,23),tblDaily[WardCode],"FAE")=0,"",SUMIFS(tblDaily[Remaining],tblDaily[EntryDate],DATE(2026,6,23),tblDaily[WardCode],"FAE")),"")</f>
        <v/>
      </c>
    </row>
    <row r="231" spans="1:15" x14ac:dyDescent="0.25">
      <c r="A231" s="13">
        <v>24</v>
      </c>
      <c r="B231" s="13" t="str">
        <f>IFERROR(IF(SUMIFS(tblDaily[Admissions],tblDaily[EntryDate],DATE(2026,6,24),tblDaily[WardCode],"MAE")=0,"",SUMIFS(tblDaily[Admissions],tblDaily[EntryDate],DATE(2026,6,24),tblDaily[WardCode],"MAE")),"")</f>
        <v/>
      </c>
      <c r="C231" s="13" t="str">
        <f>IFERROR(IF(SUMIFS(tblDaily[Discharges],tblDaily[EntryDate],DATE(2026,6,24),tblDaily[WardCode],"MAE")=0,"",SUMIFS(tblDaily[Discharges],tblDaily[EntryDate],DATE(2026,6,24),tblDaily[WardCode],"MAE")),"")</f>
        <v/>
      </c>
      <c r="D231" s="13" t="str">
        <f>IFERROR(IF(SUMIFS(tblDaily[Deaths],tblDaily[EntryDate],DATE(2026,6,24),tblDaily[WardCode],"MAE")=0,"",SUMIFS(tblDaily[Deaths],tblDaily[EntryDate],DATE(2026,6,24),tblDaily[WardCode],"MAE")),"")</f>
        <v/>
      </c>
      <c r="E231" s="13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3" t="str">
        <f>IFERROR(IF(SUMIFS(tblDaily[TransfersIn],tblDaily[EntryDate],DATE(2026,6,24),tblDaily[WardCode],"MAE")=0,"",SUMIFS(tblDaily[TransfersIn],tblDaily[EntryDate],DATE(2026,6,24),tblDaily[WardCode],"MAE")),"")</f>
        <v/>
      </c>
      <c r="G231" s="13" t="str">
        <f>IFERROR(IF(SUMIFS(tblDaily[TransfersOut],tblDaily[EntryDate],DATE(2026,6,24),tblDaily[WardCode],"MAE")=0,"",SUMIFS(tblDaily[TransfersOut],tblDaily[EntryDate],DATE(2026,6,24),tblDaily[WardCode],"MAE")),"")</f>
        <v/>
      </c>
      <c r="H231" s="13" t="str">
        <f>IFERROR(IF(SUMIFS(tblDaily[Remaining],tblDaily[EntryDate],DATE(2026,6,24),tblDaily[WardCode],"MAE")=0,"",SUMIFS(tblDaily[Remaining],tblDaily[EntryDate],DATE(2026,6,24),tblDaily[WardCode],"MAE")),"")</f>
        <v/>
      </c>
      <c r="I231" s="13" t="str">
        <f>IFERROR(IF(SUMIFS(tblDaily[Admissions],tblDaily[EntryDate],DATE(2026,6,24),tblDaily[WardCode],"FAE")=0,"",SUMIFS(tblDaily[Admissions],tblDaily[EntryDate],DATE(2026,6,24),tblDaily[WardCode],"FAE")),"")</f>
        <v/>
      </c>
      <c r="J231" s="13" t="str">
        <f>IFERROR(IF(SUMIFS(tblDaily[Discharges],tblDaily[EntryDate],DATE(2026,6,24),tblDaily[WardCode],"FAE")=0,"",SUMIFS(tblDaily[Discharges],tblDaily[EntryDate],DATE(2026,6,24),tblDaily[WardCode],"FAE")),"")</f>
        <v/>
      </c>
      <c r="K231" s="13" t="str">
        <f>IFERROR(IF(SUMIFS(tblDaily[Deaths],tblDaily[EntryDate],DATE(2026,6,24),tblDaily[WardCode],"FAE")=0,"",SUMIFS(tblDaily[Deaths],tblDaily[EntryDate],DATE(2026,6,24),tblDaily[WardCode],"FAE")),"")</f>
        <v/>
      </c>
      <c r="L231" s="13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3" t="str">
        <f>IFERROR(IF(SUMIFS(tblDaily[TransfersIn],tblDaily[EntryDate],DATE(2026,6,24),tblDaily[WardCode],"FAE")=0,"",SUMIFS(tblDaily[TransfersIn],tblDaily[EntryDate],DATE(2026,6,24),tblDaily[WardCode],"FAE")),"")</f>
        <v/>
      </c>
      <c r="N231" s="13" t="str">
        <f>IFERROR(IF(SUMIFS(tblDaily[TransfersOut],tblDaily[EntryDate],DATE(2026,6,24),tblDaily[WardCode],"FAE")=0,"",SUMIFS(tblDaily[TransfersOut],tblDaily[EntryDate],DATE(2026,6,24),tblDaily[WardCode],"FAE")),"")</f>
        <v/>
      </c>
      <c r="O231" s="13" t="str">
        <f>IFERROR(IF(SUMIFS(tblDaily[Remaining],tblDaily[EntryDate],DATE(2026,6,24),tblDaily[WardCode],"FAE")=0,"",SUMIFS(tblDaily[Remaining],tblDaily[EntryDate],DATE(2026,6,24),tblDaily[WardCode],"FAE")),"")</f>
        <v/>
      </c>
    </row>
    <row r="232" spans="1:15" x14ac:dyDescent="0.25">
      <c r="A232" s="13">
        <v>25</v>
      </c>
      <c r="B232" s="13" t="str">
        <f>IFERROR(IF(SUMIFS(tblDaily[Admissions],tblDaily[EntryDate],DATE(2026,6,25),tblDaily[WardCode],"MAE")=0,"",SUMIFS(tblDaily[Admissions],tblDaily[EntryDate],DATE(2026,6,25),tblDaily[WardCode],"MAE")),"")</f>
        <v/>
      </c>
      <c r="C232" s="13" t="str">
        <f>IFERROR(IF(SUMIFS(tblDaily[Discharges],tblDaily[EntryDate],DATE(2026,6,25),tblDaily[WardCode],"MAE")=0,"",SUMIFS(tblDaily[Discharges],tblDaily[EntryDate],DATE(2026,6,25),tblDaily[WardCode],"MAE")),"")</f>
        <v/>
      </c>
      <c r="D232" s="13" t="str">
        <f>IFERROR(IF(SUMIFS(tblDaily[Deaths],tblDaily[EntryDate],DATE(2026,6,25),tblDaily[WardCode],"MAE")=0,"",SUMIFS(tblDaily[Deaths],tblDaily[EntryDate],DATE(2026,6,25),tblDaily[WardCode],"MAE")),"")</f>
        <v/>
      </c>
      <c r="E232" s="13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3" t="str">
        <f>IFERROR(IF(SUMIFS(tblDaily[TransfersIn],tblDaily[EntryDate],DATE(2026,6,25),tblDaily[WardCode],"MAE")=0,"",SUMIFS(tblDaily[TransfersIn],tblDaily[EntryDate],DATE(2026,6,25),tblDaily[WardCode],"MAE")),"")</f>
        <v/>
      </c>
      <c r="G232" s="13" t="str">
        <f>IFERROR(IF(SUMIFS(tblDaily[TransfersOut],tblDaily[EntryDate],DATE(2026,6,25),tblDaily[WardCode],"MAE")=0,"",SUMIFS(tblDaily[TransfersOut],tblDaily[EntryDate],DATE(2026,6,25),tblDaily[WardCode],"MAE")),"")</f>
        <v/>
      </c>
      <c r="H232" s="13" t="str">
        <f>IFERROR(IF(SUMIFS(tblDaily[Remaining],tblDaily[EntryDate],DATE(2026,6,25),tblDaily[WardCode],"MAE")=0,"",SUMIFS(tblDaily[Remaining],tblDaily[EntryDate],DATE(2026,6,25),tblDaily[WardCode],"MAE")),"")</f>
        <v/>
      </c>
      <c r="I232" s="13" t="str">
        <f>IFERROR(IF(SUMIFS(tblDaily[Admissions],tblDaily[EntryDate],DATE(2026,6,25),tblDaily[WardCode],"FAE")=0,"",SUMIFS(tblDaily[Admissions],tblDaily[EntryDate],DATE(2026,6,25),tblDaily[WardCode],"FAE")),"")</f>
        <v/>
      </c>
      <c r="J232" s="13" t="str">
        <f>IFERROR(IF(SUMIFS(tblDaily[Discharges],tblDaily[EntryDate],DATE(2026,6,25),tblDaily[WardCode],"FAE")=0,"",SUMIFS(tblDaily[Discharges],tblDaily[EntryDate],DATE(2026,6,25),tblDaily[WardCode],"FAE")),"")</f>
        <v/>
      </c>
      <c r="K232" s="13" t="str">
        <f>IFERROR(IF(SUMIFS(tblDaily[Deaths],tblDaily[EntryDate],DATE(2026,6,25),tblDaily[WardCode],"FAE")=0,"",SUMIFS(tblDaily[Deaths],tblDaily[EntryDate],DATE(2026,6,25),tblDaily[WardCode],"FAE")),"")</f>
        <v/>
      </c>
      <c r="L232" s="13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3" t="str">
        <f>IFERROR(IF(SUMIFS(tblDaily[TransfersIn],tblDaily[EntryDate],DATE(2026,6,25),tblDaily[WardCode],"FAE")=0,"",SUMIFS(tblDaily[TransfersIn],tblDaily[EntryDate],DATE(2026,6,25),tblDaily[WardCode],"FAE")),"")</f>
        <v/>
      </c>
      <c r="N232" s="13" t="str">
        <f>IFERROR(IF(SUMIFS(tblDaily[TransfersOut],tblDaily[EntryDate],DATE(2026,6,25),tblDaily[WardCode],"FAE")=0,"",SUMIFS(tblDaily[TransfersOut],tblDaily[EntryDate],DATE(2026,6,25),tblDaily[WardCode],"FAE")),"")</f>
        <v/>
      </c>
      <c r="O232" s="13" t="str">
        <f>IFERROR(IF(SUMIFS(tblDaily[Remaining],tblDaily[EntryDate],DATE(2026,6,25),tblDaily[WardCode],"FAE")=0,"",SUMIFS(tblDaily[Remaining],tblDaily[EntryDate],DATE(2026,6,25),tblDaily[WardCode],"FAE")),"")</f>
        <v/>
      </c>
    </row>
    <row r="233" spans="1:15" x14ac:dyDescent="0.25">
      <c r="A233" s="13">
        <v>26</v>
      </c>
      <c r="B233" s="13" t="str">
        <f>IFERROR(IF(SUMIFS(tblDaily[Admissions],tblDaily[EntryDate],DATE(2026,6,26),tblDaily[WardCode],"MAE")=0,"",SUMIFS(tblDaily[Admissions],tblDaily[EntryDate],DATE(2026,6,26),tblDaily[WardCode],"MAE")),"")</f>
        <v/>
      </c>
      <c r="C233" s="13" t="str">
        <f>IFERROR(IF(SUMIFS(tblDaily[Discharges],tblDaily[EntryDate],DATE(2026,6,26),tblDaily[WardCode],"MAE")=0,"",SUMIFS(tblDaily[Discharges],tblDaily[EntryDate],DATE(2026,6,26),tblDaily[WardCode],"MAE")),"")</f>
        <v/>
      </c>
      <c r="D233" s="13" t="str">
        <f>IFERROR(IF(SUMIFS(tblDaily[Deaths],tblDaily[EntryDate],DATE(2026,6,26),tblDaily[WardCode],"MAE")=0,"",SUMIFS(tblDaily[Deaths],tblDaily[EntryDate],DATE(2026,6,26),tblDaily[WardCode],"MAE")),"")</f>
        <v/>
      </c>
      <c r="E233" s="13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3" t="str">
        <f>IFERROR(IF(SUMIFS(tblDaily[TransfersIn],tblDaily[EntryDate],DATE(2026,6,26),tblDaily[WardCode],"MAE")=0,"",SUMIFS(tblDaily[TransfersIn],tblDaily[EntryDate],DATE(2026,6,26),tblDaily[WardCode],"MAE")),"")</f>
        <v/>
      </c>
      <c r="G233" s="13" t="str">
        <f>IFERROR(IF(SUMIFS(tblDaily[TransfersOut],tblDaily[EntryDate],DATE(2026,6,26),tblDaily[WardCode],"MAE")=0,"",SUMIFS(tblDaily[TransfersOut],tblDaily[EntryDate],DATE(2026,6,26),tblDaily[WardCode],"MAE")),"")</f>
        <v/>
      </c>
      <c r="H233" s="13" t="str">
        <f>IFERROR(IF(SUMIFS(tblDaily[Remaining],tblDaily[EntryDate],DATE(2026,6,26),tblDaily[WardCode],"MAE")=0,"",SUMIFS(tblDaily[Remaining],tblDaily[EntryDate],DATE(2026,6,26),tblDaily[WardCode],"MAE")),"")</f>
        <v/>
      </c>
      <c r="I233" s="13" t="str">
        <f>IFERROR(IF(SUMIFS(tblDaily[Admissions],tblDaily[EntryDate],DATE(2026,6,26),tblDaily[WardCode],"FAE")=0,"",SUMIFS(tblDaily[Admissions],tblDaily[EntryDate],DATE(2026,6,26),tblDaily[WardCode],"FAE")),"")</f>
        <v/>
      </c>
      <c r="J233" s="13" t="str">
        <f>IFERROR(IF(SUMIFS(tblDaily[Discharges],tblDaily[EntryDate],DATE(2026,6,26),tblDaily[WardCode],"FAE")=0,"",SUMIFS(tblDaily[Discharges],tblDaily[EntryDate],DATE(2026,6,26),tblDaily[WardCode],"FAE")),"")</f>
        <v/>
      </c>
      <c r="K233" s="13" t="str">
        <f>IFERROR(IF(SUMIFS(tblDaily[Deaths],tblDaily[EntryDate],DATE(2026,6,26),tblDaily[WardCode],"FAE")=0,"",SUMIFS(tblDaily[Deaths],tblDaily[EntryDate],DATE(2026,6,26),tblDaily[WardCode],"FAE")),"")</f>
        <v/>
      </c>
      <c r="L233" s="13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3" t="str">
        <f>IFERROR(IF(SUMIFS(tblDaily[TransfersIn],tblDaily[EntryDate],DATE(2026,6,26),tblDaily[WardCode],"FAE")=0,"",SUMIFS(tblDaily[TransfersIn],tblDaily[EntryDate],DATE(2026,6,26),tblDaily[WardCode],"FAE")),"")</f>
        <v/>
      </c>
      <c r="N233" s="13" t="str">
        <f>IFERROR(IF(SUMIFS(tblDaily[TransfersOut],tblDaily[EntryDate],DATE(2026,6,26),tblDaily[WardCode],"FAE")=0,"",SUMIFS(tblDaily[TransfersOut],tblDaily[EntryDate],DATE(2026,6,26),tblDaily[WardCode],"FAE")),"")</f>
        <v/>
      </c>
      <c r="O233" s="13" t="str">
        <f>IFERROR(IF(SUMIFS(tblDaily[Remaining],tblDaily[EntryDate],DATE(2026,6,26),tblDaily[WardCode],"FAE")=0,"",SUMIFS(tblDaily[Remaining],tblDaily[EntryDate],DATE(2026,6,26),tblDaily[WardCode],"FAE")),"")</f>
        <v/>
      </c>
    </row>
    <row r="234" spans="1:15" x14ac:dyDescent="0.25">
      <c r="A234" s="13">
        <v>27</v>
      </c>
      <c r="B234" s="13" t="str">
        <f>IFERROR(IF(SUMIFS(tblDaily[Admissions],tblDaily[EntryDate],DATE(2026,6,27),tblDaily[WardCode],"MAE")=0,"",SUMIFS(tblDaily[Admissions],tblDaily[EntryDate],DATE(2026,6,27),tblDaily[WardCode],"MAE")),"")</f>
        <v/>
      </c>
      <c r="C234" s="13" t="str">
        <f>IFERROR(IF(SUMIFS(tblDaily[Discharges],tblDaily[EntryDate],DATE(2026,6,27),tblDaily[WardCode],"MAE")=0,"",SUMIFS(tblDaily[Discharges],tblDaily[EntryDate],DATE(2026,6,27),tblDaily[WardCode],"MAE")),"")</f>
        <v/>
      </c>
      <c r="D234" s="13" t="str">
        <f>IFERROR(IF(SUMIFS(tblDaily[Deaths],tblDaily[EntryDate],DATE(2026,6,27),tblDaily[WardCode],"MAE")=0,"",SUMIFS(tblDaily[Deaths],tblDaily[EntryDate],DATE(2026,6,27),tblDaily[WardCode],"MAE")),"")</f>
        <v/>
      </c>
      <c r="E234" s="13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3" t="str">
        <f>IFERROR(IF(SUMIFS(tblDaily[TransfersIn],tblDaily[EntryDate],DATE(2026,6,27),tblDaily[WardCode],"MAE")=0,"",SUMIFS(tblDaily[TransfersIn],tblDaily[EntryDate],DATE(2026,6,27),tblDaily[WardCode],"MAE")),"")</f>
        <v/>
      </c>
      <c r="G234" s="13" t="str">
        <f>IFERROR(IF(SUMIFS(tblDaily[TransfersOut],tblDaily[EntryDate],DATE(2026,6,27),tblDaily[WardCode],"MAE")=0,"",SUMIFS(tblDaily[TransfersOut],tblDaily[EntryDate],DATE(2026,6,27),tblDaily[WardCode],"MAE")),"")</f>
        <v/>
      </c>
      <c r="H234" s="13" t="str">
        <f>IFERROR(IF(SUMIFS(tblDaily[Remaining],tblDaily[EntryDate],DATE(2026,6,27),tblDaily[WardCode],"MAE")=0,"",SUMIFS(tblDaily[Remaining],tblDaily[EntryDate],DATE(2026,6,27),tblDaily[WardCode],"MAE")),"")</f>
        <v/>
      </c>
      <c r="I234" s="13" t="str">
        <f>IFERROR(IF(SUMIFS(tblDaily[Admissions],tblDaily[EntryDate],DATE(2026,6,27),tblDaily[WardCode],"FAE")=0,"",SUMIFS(tblDaily[Admissions],tblDaily[EntryDate],DATE(2026,6,27),tblDaily[WardCode],"FAE")),"")</f>
        <v/>
      </c>
      <c r="J234" s="13" t="str">
        <f>IFERROR(IF(SUMIFS(tblDaily[Discharges],tblDaily[EntryDate],DATE(2026,6,27),tblDaily[WardCode],"FAE")=0,"",SUMIFS(tblDaily[Discharges],tblDaily[EntryDate],DATE(2026,6,27),tblDaily[WardCode],"FAE")),"")</f>
        <v/>
      </c>
      <c r="K234" s="13" t="str">
        <f>IFERROR(IF(SUMIFS(tblDaily[Deaths],tblDaily[EntryDate],DATE(2026,6,27),tblDaily[WardCode],"FAE")=0,"",SUMIFS(tblDaily[Deaths],tblDaily[EntryDate],DATE(2026,6,27),tblDaily[WardCode],"FAE")),"")</f>
        <v/>
      </c>
      <c r="L234" s="13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3" t="str">
        <f>IFERROR(IF(SUMIFS(tblDaily[TransfersIn],tblDaily[EntryDate],DATE(2026,6,27),tblDaily[WardCode],"FAE")=0,"",SUMIFS(tblDaily[TransfersIn],tblDaily[EntryDate],DATE(2026,6,27),tblDaily[WardCode],"FAE")),"")</f>
        <v/>
      </c>
      <c r="N234" s="13" t="str">
        <f>IFERROR(IF(SUMIFS(tblDaily[TransfersOut],tblDaily[EntryDate],DATE(2026,6,27),tblDaily[WardCode],"FAE")=0,"",SUMIFS(tblDaily[TransfersOut],tblDaily[EntryDate],DATE(2026,6,27),tblDaily[WardCode],"FAE")),"")</f>
        <v/>
      </c>
      <c r="O234" s="13" t="str">
        <f>IFERROR(IF(SUMIFS(tblDaily[Remaining],tblDaily[EntryDate],DATE(2026,6,27),tblDaily[WardCode],"FAE")=0,"",SUMIFS(tblDaily[Remaining],tblDaily[EntryDate],DATE(2026,6,27),tblDaily[WardCode],"FAE")),"")</f>
        <v/>
      </c>
    </row>
    <row r="235" spans="1:15" x14ac:dyDescent="0.25">
      <c r="A235" s="13">
        <v>28</v>
      </c>
      <c r="B235" s="13" t="str">
        <f>IFERROR(IF(SUMIFS(tblDaily[Admissions],tblDaily[EntryDate],DATE(2026,6,28),tblDaily[WardCode],"MAE")=0,"",SUMIFS(tblDaily[Admissions],tblDaily[EntryDate],DATE(2026,6,28),tblDaily[WardCode],"MAE")),"")</f>
        <v/>
      </c>
      <c r="C235" s="13" t="str">
        <f>IFERROR(IF(SUMIFS(tblDaily[Discharges],tblDaily[EntryDate],DATE(2026,6,28),tblDaily[WardCode],"MAE")=0,"",SUMIFS(tblDaily[Discharges],tblDaily[EntryDate],DATE(2026,6,28),tblDaily[WardCode],"MAE")),"")</f>
        <v/>
      </c>
      <c r="D235" s="13" t="str">
        <f>IFERROR(IF(SUMIFS(tblDaily[Deaths],tblDaily[EntryDate],DATE(2026,6,28),tblDaily[WardCode],"MAE")=0,"",SUMIFS(tblDaily[Deaths],tblDaily[EntryDate],DATE(2026,6,28),tblDaily[WardCode],"MAE")),"")</f>
        <v/>
      </c>
      <c r="E235" s="13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3" t="str">
        <f>IFERROR(IF(SUMIFS(tblDaily[TransfersIn],tblDaily[EntryDate],DATE(2026,6,28),tblDaily[WardCode],"MAE")=0,"",SUMIFS(tblDaily[TransfersIn],tblDaily[EntryDate],DATE(2026,6,28),tblDaily[WardCode],"MAE")),"")</f>
        <v/>
      </c>
      <c r="G235" s="13" t="str">
        <f>IFERROR(IF(SUMIFS(tblDaily[TransfersOut],tblDaily[EntryDate],DATE(2026,6,28),tblDaily[WardCode],"MAE")=0,"",SUMIFS(tblDaily[TransfersOut],tblDaily[EntryDate],DATE(2026,6,28),tblDaily[WardCode],"MAE")),"")</f>
        <v/>
      </c>
      <c r="H235" s="13" t="str">
        <f>IFERROR(IF(SUMIFS(tblDaily[Remaining],tblDaily[EntryDate],DATE(2026,6,28),tblDaily[WardCode],"MAE")=0,"",SUMIFS(tblDaily[Remaining],tblDaily[EntryDate],DATE(2026,6,28),tblDaily[WardCode],"MAE")),"")</f>
        <v/>
      </c>
      <c r="I235" s="13" t="str">
        <f>IFERROR(IF(SUMIFS(tblDaily[Admissions],tblDaily[EntryDate],DATE(2026,6,28),tblDaily[WardCode],"FAE")=0,"",SUMIFS(tblDaily[Admissions],tblDaily[EntryDate],DATE(2026,6,28),tblDaily[WardCode],"FAE")),"")</f>
        <v/>
      </c>
      <c r="J235" s="13" t="str">
        <f>IFERROR(IF(SUMIFS(tblDaily[Discharges],tblDaily[EntryDate],DATE(2026,6,28),tblDaily[WardCode],"FAE")=0,"",SUMIFS(tblDaily[Discharges],tblDaily[EntryDate],DATE(2026,6,28),tblDaily[WardCode],"FAE")),"")</f>
        <v/>
      </c>
      <c r="K235" s="13" t="str">
        <f>IFERROR(IF(SUMIFS(tblDaily[Deaths],tblDaily[EntryDate],DATE(2026,6,28),tblDaily[WardCode],"FAE")=0,"",SUMIFS(tblDaily[Deaths],tblDaily[EntryDate],DATE(2026,6,28),tblDaily[WardCode],"FAE")),"")</f>
        <v/>
      </c>
      <c r="L235" s="13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3" t="str">
        <f>IFERROR(IF(SUMIFS(tblDaily[TransfersIn],tblDaily[EntryDate],DATE(2026,6,28),tblDaily[WardCode],"FAE")=0,"",SUMIFS(tblDaily[TransfersIn],tblDaily[EntryDate],DATE(2026,6,28),tblDaily[WardCode],"FAE")),"")</f>
        <v/>
      </c>
      <c r="N235" s="13" t="str">
        <f>IFERROR(IF(SUMIFS(tblDaily[TransfersOut],tblDaily[EntryDate],DATE(2026,6,28),tblDaily[WardCode],"FAE")=0,"",SUMIFS(tblDaily[TransfersOut],tblDaily[EntryDate],DATE(2026,6,28),tblDaily[WardCode],"FAE")),"")</f>
        <v/>
      </c>
      <c r="O235" s="13" t="str">
        <f>IFERROR(IF(SUMIFS(tblDaily[Remaining],tblDaily[EntryDate],DATE(2026,6,28),tblDaily[WardCode],"FAE")=0,"",SUMIFS(tblDaily[Remaining],tblDaily[EntryDate],DATE(2026,6,28),tblDaily[WardCode],"FAE")),"")</f>
        <v/>
      </c>
    </row>
    <row r="236" spans="1:15" x14ac:dyDescent="0.25">
      <c r="A236" s="13">
        <v>29</v>
      </c>
      <c r="B236" s="13" t="str">
        <f>IFERROR(IF(SUMIFS(tblDaily[Admissions],tblDaily[EntryDate],DATE(2026,6,29),tblDaily[WardCode],"MAE")=0,"",SUMIFS(tblDaily[Admissions],tblDaily[EntryDate],DATE(2026,6,29),tblDaily[WardCode],"MAE")),"")</f>
        <v/>
      </c>
      <c r="C236" s="13" t="str">
        <f>IFERROR(IF(SUMIFS(tblDaily[Discharges],tblDaily[EntryDate],DATE(2026,6,29),tblDaily[WardCode],"MAE")=0,"",SUMIFS(tblDaily[Discharges],tblDaily[EntryDate],DATE(2026,6,29),tblDaily[WardCode],"MAE")),"")</f>
        <v/>
      </c>
      <c r="D236" s="13" t="str">
        <f>IFERROR(IF(SUMIFS(tblDaily[Deaths],tblDaily[EntryDate],DATE(2026,6,29),tblDaily[WardCode],"MAE")=0,"",SUMIFS(tblDaily[Deaths],tblDaily[EntryDate],DATE(2026,6,29),tblDaily[WardCode],"MAE")),"")</f>
        <v/>
      </c>
      <c r="E236" s="13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3" t="str">
        <f>IFERROR(IF(SUMIFS(tblDaily[TransfersIn],tblDaily[EntryDate],DATE(2026,6,29),tblDaily[WardCode],"MAE")=0,"",SUMIFS(tblDaily[TransfersIn],tblDaily[EntryDate],DATE(2026,6,29),tblDaily[WardCode],"MAE")),"")</f>
        <v/>
      </c>
      <c r="G236" s="13" t="str">
        <f>IFERROR(IF(SUMIFS(tblDaily[TransfersOut],tblDaily[EntryDate],DATE(2026,6,29),tblDaily[WardCode],"MAE")=0,"",SUMIFS(tblDaily[TransfersOut],tblDaily[EntryDate],DATE(2026,6,29),tblDaily[WardCode],"MAE")),"")</f>
        <v/>
      </c>
      <c r="H236" s="13" t="str">
        <f>IFERROR(IF(SUMIFS(tblDaily[Remaining],tblDaily[EntryDate],DATE(2026,6,29),tblDaily[WardCode],"MAE")=0,"",SUMIFS(tblDaily[Remaining],tblDaily[EntryDate],DATE(2026,6,29),tblDaily[WardCode],"MAE")),"")</f>
        <v/>
      </c>
      <c r="I236" s="13" t="str">
        <f>IFERROR(IF(SUMIFS(tblDaily[Admissions],tblDaily[EntryDate],DATE(2026,6,29),tblDaily[WardCode],"FAE")=0,"",SUMIFS(tblDaily[Admissions],tblDaily[EntryDate],DATE(2026,6,29),tblDaily[WardCode],"FAE")),"")</f>
        <v/>
      </c>
      <c r="J236" s="13" t="str">
        <f>IFERROR(IF(SUMIFS(tblDaily[Discharges],tblDaily[EntryDate],DATE(2026,6,29),tblDaily[WardCode],"FAE")=0,"",SUMIFS(tblDaily[Discharges],tblDaily[EntryDate],DATE(2026,6,29),tblDaily[WardCode],"FAE")),"")</f>
        <v/>
      </c>
      <c r="K236" s="13" t="str">
        <f>IFERROR(IF(SUMIFS(tblDaily[Deaths],tblDaily[EntryDate],DATE(2026,6,29),tblDaily[WardCode],"FAE")=0,"",SUMIFS(tblDaily[Deaths],tblDaily[EntryDate],DATE(2026,6,29),tblDaily[WardCode],"FAE")),"")</f>
        <v/>
      </c>
      <c r="L236" s="13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3" t="str">
        <f>IFERROR(IF(SUMIFS(tblDaily[TransfersIn],tblDaily[EntryDate],DATE(2026,6,29),tblDaily[WardCode],"FAE")=0,"",SUMIFS(tblDaily[TransfersIn],tblDaily[EntryDate],DATE(2026,6,29),tblDaily[WardCode],"FAE")),"")</f>
        <v/>
      </c>
      <c r="N236" s="13" t="str">
        <f>IFERROR(IF(SUMIFS(tblDaily[TransfersOut],tblDaily[EntryDate],DATE(2026,6,29),tblDaily[WardCode],"FAE")=0,"",SUMIFS(tblDaily[TransfersOut],tblDaily[EntryDate],DATE(2026,6,29),tblDaily[WardCode],"FAE")),"")</f>
        <v/>
      </c>
      <c r="O236" s="13" t="str">
        <f>IFERROR(IF(SUMIFS(tblDaily[Remaining],tblDaily[EntryDate],DATE(2026,6,29),tblDaily[WardCode],"FAE")=0,"",SUMIFS(tblDaily[Remaining],tblDaily[EntryDate],DATE(2026,6,29),tblDaily[WardCode],"FAE")),"")</f>
        <v/>
      </c>
    </row>
    <row r="237" spans="1:15" x14ac:dyDescent="0.25">
      <c r="A237" s="13">
        <v>30</v>
      </c>
      <c r="B237" s="13" t="str">
        <f>IFERROR(IF(SUMIFS(tblDaily[Admissions],tblDaily[EntryDate],DATE(2026,6,30),tblDaily[WardCode],"MAE")=0,"",SUMIFS(tblDaily[Admissions],tblDaily[EntryDate],DATE(2026,6,30),tblDaily[WardCode],"MAE")),"")</f>
        <v/>
      </c>
      <c r="C237" s="13" t="str">
        <f>IFERROR(IF(SUMIFS(tblDaily[Discharges],tblDaily[EntryDate],DATE(2026,6,30),tblDaily[WardCode],"MAE")=0,"",SUMIFS(tblDaily[Discharges],tblDaily[EntryDate],DATE(2026,6,30),tblDaily[WardCode],"MAE")),"")</f>
        <v/>
      </c>
      <c r="D237" s="13" t="str">
        <f>IFERROR(IF(SUMIFS(tblDaily[Deaths],tblDaily[EntryDate],DATE(2026,6,30),tblDaily[WardCode],"MAE")=0,"",SUMIFS(tblDaily[Deaths],tblDaily[EntryDate],DATE(2026,6,30),tblDaily[WardCode],"MAE")),"")</f>
        <v/>
      </c>
      <c r="E237" s="13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3" t="str">
        <f>IFERROR(IF(SUMIFS(tblDaily[TransfersIn],tblDaily[EntryDate],DATE(2026,6,30),tblDaily[WardCode],"MAE")=0,"",SUMIFS(tblDaily[TransfersIn],tblDaily[EntryDate],DATE(2026,6,30),tblDaily[WardCode],"MAE")),"")</f>
        <v/>
      </c>
      <c r="G237" s="13" t="str">
        <f>IFERROR(IF(SUMIFS(tblDaily[TransfersOut],tblDaily[EntryDate],DATE(2026,6,30),tblDaily[WardCode],"MAE")=0,"",SUMIFS(tblDaily[TransfersOut],tblDaily[EntryDate],DATE(2026,6,30),tblDaily[WardCode],"MAE")),"")</f>
        <v/>
      </c>
      <c r="H237" s="13" t="str">
        <f>IFERROR(IF(SUMIFS(tblDaily[Remaining],tblDaily[EntryDate],DATE(2026,6,30),tblDaily[WardCode],"MAE")=0,"",SUMIFS(tblDaily[Remaining],tblDaily[EntryDate],DATE(2026,6,30),tblDaily[WardCode],"MAE")),"")</f>
        <v/>
      </c>
      <c r="I237" s="13" t="str">
        <f>IFERROR(IF(SUMIFS(tblDaily[Admissions],tblDaily[EntryDate],DATE(2026,6,30),tblDaily[WardCode],"FAE")=0,"",SUMIFS(tblDaily[Admissions],tblDaily[EntryDate],DATE(2026,6,30),tblDaily[WardCode],"FAE")),"")</f>
        <v/>
      </c>
      <c r="J237" s="13" t="str">
        <f>IFERROR(IF(SUMIFS(tblDaily[Discharges],tblDaily[EntryDate],DATE(2026,6,30),tblDaily[WardCode],"FAE")=0,"",SUMIFS(tblDaily[Discharges],tblDaily[EntryDate],DATE(2026,6,30),tblDaily[WardCode],"FAE")),"")</f>
        <v/>
      </c>
      <c r="K237" s="13" t="str">
        <f>IFERROR(IF(SUMIFS(tblDaily[Deaths],tblDaily[EntryDate],DATE(2026,6,30),tblDaily[WardCode],"FAE")=0,"",SUMIFS(tblDaily[Deaths],tblDaily[EntryDate],DATE(2026,6,30),tblDaily[WardCode],"FAE")),"")</f>
        <v/>
      </c>
      <c r="L237" s="13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3" t="str">
        <f>IFERROR(IF(SUMIFS(tblDaily[TransfersIn],tblDaily[EntryDate],DATE(2026,6,30),tblDaily[WardCode],"FAE")=0,"",SUMIFS(tblDaily[TransfersIn],tblDaily[EntryDate],DATE(2026,6,30),tblDaily[WardCode],"FAE")),"")</f>
        <v/>
      </c>
      <c r="N237" s="13" t="str">
        <f>IFERROR(IF(SUMIFS(tblDaily[TransfersOut],tblDaily[EntryDate],DATE(2026,6,30),tblDaily[WardCode],"FAE")=0,"",SUMIFS(tblDaily[TransfersOut],tblDaily[EntryDate],DATE(2026,6,30),tblDaily[WardCode],"FAE")),"")</f>
        <v/>
      </c>
      <c r="O237" s="13" t="str">
        <f>IFERROR(IF(SUMIFS(tblDaily[Remaining],tblDaily[EntryDate],DATE(2026,6,30),tblDaily[WardCode],"FAE")=0,"",SUMIFS(tblDaily[Remaining],tblDaily[EntryDate],DATE(2026,6,30),tblDaily[WardCode],"FAE")),"")</f>
        <v/>
      </c>
    </row>
    <row r="238" spans="1:15" x14ac:dyDescent="0.25">
      <c r="A238" s="13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1:15" x14ac:dyDescent="0.25">
      <c r="A239" s="9" t="s">
        <v>110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</row>
    <row r="241" spans="1:15" ht="18.75" x14ac:dyDescent="0.25">
      <c r="A241" s="36" t="s">
        <v>0</v>
      </c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</row>
    <row r="242" spans="1:15" ht="15.75" x14ac:dyDescent="0.25">
      <c r="A242" s="34" t="s">
        <v>99</v>
      </c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</row>
    <row r="243" spans="1:15" x14ac:dyDescent="0.25">
      <c r="A243" s="1" t="s">
        <v>4</v>
      </c>
      <c r="B243" s="2" t="s">
        <v>2</v>
      </c>
      <c r="E243" s="1" t="s">
        <v>100</v>
      </c>
      <c r="F243" s="1" t="s">
        <v>119</v>
      </c>
      <c r="M243" s="1" t="s">
        <v>102</v>
      </c>
      <c r="N243" s="1" t="s">
        <v>64</v>
      </c>
    </row>
    <row r="244" spans="1:15" x14ac:dyDescent="0.25">
      <c r="A244" s="1" t="s">
        <v>103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5" x14ac:dyDescent="0.25">
      <c r="A245" s="1" t="s">
        <v>104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5" x14ac:dyDescent="0.25">
      <c r="A246" s="3" t="s">
        <v>120</v>
      </c>
      <c r="B246" s="35" t="s">
        <v>117</v>
      </c>
      <c r="C246" s="26"/>
      <c r="D246" s="26"/>
      <c r="E246" s="26"/>
      <c r="F246" s="26"/>
      <c r="G246" s="26"/>
      <c r="H246" s="26"/>
      <c r="I246" s="37" t="s">
        <v>118</v>
      </c>
      <c r="J246" s="26"/>
      <c r="K246" s="26"/>
      <c r="L246" s="26"/>
      <c r="M246" s="26"/>
      <c r="N246" s="26"/>
      <c r="O246" s="26"/>
    </row>
    <row r="247" spans="1:15" x14ac:dyDescent="0.25">
      <c r="A247" s="3" t="s">
        <v>120</v>
      </c>
      <c r="B247" s="3" t="s">
        <v>121</v>
      </c>
      <c r="C247" s="3" t="s">
        <v>122</v>
      </c>
      <c r="D247" s="3" t="s">
        <v>123</v>
      </c>
      <c r="E247" s="3" t="s">
        <v>124</v>
      </c>
      <c r="F247" s="3" t="s">
        <v>125</v>
      </c>
      <c r="G247" s="3" t="s">
        <v>126</v>
      </c>
      <c r="H247" s="3" t="s">
        <v>127</v>
      </c>
      <c r="I247" s="3" t="s">
        <v>121</v>
      </c>
      <c r="J247" s="3" t="s">
        <v>122</v>
      </c>
      <c r="K247" s="3" t="s">
        <v>123</v>
      </c>
      <c r="L247" s="3" t="s">
        <v>124</v>
      </c>
      <c r="M247" s="3" t="s">
        <v>125</v>
      </c>
      <c r="N247" s="3" t="s">
        <v>126</v>
      </c>
      <c r="O247" s="3" t="s">
        <v>127</v>
      </c>
    </row>
    <row r="248" spans="1:15" x14ac:dyDescent="0.25">
      <c r="A248" s="13">
        <v>1</v>
      </c>
      <c r="B248" s="13" t="str">
        <f>IFERROR(IF(SUMIFS(tblDaily[Admissions],tblDaily[EntryDate],DATE(2026,7,1),tblDaily[WardCode],"MAE")=0,"",SUMIFS(tblDaily[Admissions],tblDaily[EntryDate],DATE(2026,7,1),tblDaily[WardCode],"MAE")),"")</f>
        <v/>
      </c>
      <c r="C248" s="13" t="str">
        <f>IFERROR(IF(SUMIFS(tblDaily[Discharges],tblDaily[EntryDate],DATE(2026,7,1),tblDaily[WardCode],"MAE")=0,"",SUMIFS(tblDaily[Discharges],tblDaily[EntryDate],DATE(2026,7,1),tblDaily[WardCode],"MAE")),"")</f>
        <v/>
      </c>
      <c r="D248" s="13" t="str">
        <f>IFERROR(IF(SUMIFS(tblDaily[Deaths],tblDaily[EntryDate],DATE(2026,7,1),tblDaily[WardCode],"MAE")=0,"",SUMIFS(tblDaily[Deaths],tblDaily[EntryDate],DATE(2026,7,1),tblDaily[WardCode],"MAE")),"")</f>
        <v/>
      </c>
      <c r="E248" s="13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3" t="str">
        <f>IFERROR(IF(SUMIFS(tblDaily[TransfersIn],tblDaily[EntryDate],DATE(2026,7,1),tblDaily[WardCode],"MAE")=0,"",SUMIFS(tblDaily[TransfersIn],tblDaily[EntryDate],DATE(2026,7,1),tblDaily[WardCode],"MAE")),"")</f>
        <v/>
      </c>
      <c r="G248" s="13" t="str">
        <f>IFERROR(IF(SUMIFS(tblDaily[TransfersOut],tblDaily[EntryDate],DATE(2026,7,1),tblDaily[WardCode],"MAE")=0,"",SUMIFS(tblDaily[TransfersOut],tblDaily[EntryDate],DATE(2026,7,1),tblDaily[WardCode],"MAE")),"")</f>
        <v/>
      </c>
      <c r="H248" s="13" t="str">
        <f>IFERROR(IF(SUMIFS(tblDaily[Remaining],tblDaily[EntryDate],DATE(2026,7,1),tblDaily[WardCode],"MAE")=0,"",SUMIFS(tblDaily[Remaining],tblDaily[EntryDate],DATE(2026,7,1),tblDaily[WardCode],"MAE")),"")</f>
        <v/>
      </c>
      <c r="I248" s="13" t="str">
        <f>IFERROR(IF(SUMIFS(tblDaily[Admissions],tblDaily[EntryDate],DATE(2026,7,1),tblDaily[WardCode],"FAE")=0,"",SUMIFS(tblDaily[Admissions],tblDaily[EntryDate],DATE(2026,7,1),tblDaily[WardCode],"FAE")),"")</f>
        <v/>
      </c>
      <c r="J248" s="13" t="str">
        <f>IFERROR(IF(SUMIFS(tblDaily[Discharges],tblDaily[EntryDate],DATE(2026,7,1),tblDaily[WardCode],"FAE")=0,"",SUMIFS(tblDaily[Discharges],tblDaily[EntryDate],DATE(2026,7,1),tblDaily[WardCode],"FAE")),"")</f>
        <v/>
      </c>
      <c r="K248" s="13" t="str">
        <f>IFERROR(IF(SUMIFS(tblDaily[Deaths],tblDaily[EntryDate],DATE(2026,7,1),tblDaily[WardCode],"FAE")=0,"",SUMIFS(tblDaily[Deaths],tblDaily[EntryDate],DATE(2026,7,1),tblDaily[WardCode],"FAE")),"")</f>
        <v/>
      </c>
      <c r="L248" s="13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3" t="str">
        <f>IFERROR(IF(SUMIFS(tblDaily[TransfersIn],tblDaily[EntryDate],DATE(2026,7,1),tblDaily[WardCode],"FAE")=0,"",SUMIFS(tblDaily[TransfersIn],tblDaily[EntryDate],DATE(2026,7,1),tblDaily[WardCode],"FAE")),"")</f>
        <v/>
      </c>
      <c r="N248" s="13" t="str">
        <f>IFERROR(IF(SUMIFS(tblDaily[TransfersOut],tblDaily[EntryDate],DATE(2026,7,1),tblDaily[WardCode],"FAE")=0,"",SUMIFS(tblDaily[TransfersOut],tblDaily[EntryDate],DATE(2026,7,1),tblDaily[WardCode],"FAE")),"")</f>
        <v/>
      </c>
      <c r="O248" s="13" t="str">
        <f>IFERROR(IF(SUMIFS(tblDaily[Remaining],tblDaily[EntryDate],DATE(2026,7,1),tblDaily[WardCode],"FAE")=0,"",SUMIFS(tblDaily[Remaining],tblDaily[EntryDate],DATE(2026,7,1),tblDaily[WardCode],"FAE")),"")</f>
        <v/>
      </c>
    </row>
    <row r="249" spans="1:15" x14ac:dyDescent="0.25">
      <c r="A249" s="13">
        <v>2</v>
      </c>
      <c r="B249" s="13" t="str">
        <f>IFERROR(IF(SUMIFS(tblDaily[Admissions],tblDaily[EntryDate],DATE(2026,7,2),tblDaily[WardCode],"MAE")=0,"",SUMIFS(tblDaily[Admissions],tblDaily[EntryDate],DATE(2026,7,2),tblDaily[WardCode],"MAE")),"")</f>
        <v/>
      </c>
      <c r="C249" s="13" t="str">
        <f>IFERROR(IF(SUMIFS(tblDaily[Discharges],tblDaily[EntryDate],DATE(2026,7,2),tblDaily[WardCode],"MAE")=0,"",SUMIFS(tblDaily[Discharges],tblDaily[EntryDate],DATE(2026,7,2),tblDaily[WardCode],"MAE")),"")</f>
        <v/>
      </c>
      <c r="D249" s="13" t="str">
        <f>IFERROR(IF(SUMIFS(tblDaily[Deaths],tblDaily[EntryDate],DATE(2026,7,2),tblDaily[WardCode],"MAE")=0,"",SUMIFS(tblDaily[Deaths],tblDaily[EntryDate],DATE(2026,7,2),tblDaily[WardCode],"MAE")),"")</f>
        <v/>
      </c>
      <c r="E249" s="13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3" t="str">
        <f>IFERROR(IF(SUMIFS(tblDaily[TransfersIn],tblDaily[EntryDate],DATE(2026,7,2),tblDaily[WardCode],"MAE")=0,"",SUMIFS(tblDaily[TransfersIn],tblDaily[EntryDate],DATE(2026,7,2),tblDaily[WardCode],"MAE")),"")</f>
        <v/>
      </c>
      <c r="G249" s="13" t="str">
        <f>IFERROR(IF(SUMIFS(tblDaily[TransfersOut],tblDaily[EntryDate],DATE(2026,7,2),tblDaily[WardCode],"MAE")=0,"",SUMIFS(tblDaily[TransfersOut],tblDaily[EntryDate],DATE(2026,7,2),tblDaily[WardCode],"MAE")),"")</f>
        <v/>
      </c>
      <c r="H249" s="13" t="str">
        <f>IFERROR(IF(SUMIFS(tblDaily[Remaining],tblDaily[EntryDate],DATE(2026,7,2),tblDaily[WardCode],"MAE")=0,"",SUMIFS(tblDaily[Remaining],tblDaily[EntryDate],DATE(2026,7,2),tblDaily[WardCode],"MAE")),"")</f>
        <v/>
      </c>
      <c r="I249" s="13" t="str">
        <f>IFERROR(IF(SUMIFS(tblDaily[Admissions],tblDaily[EntryDate],DATE(2026,7,2),tblDaily[WardCode],"FAE")=0,"",SUMIFS(tblDaily[Admissions],tblDaily[EntryDate],DATE(2026,7,2),tblDaily[WardCode],"FAE")),"")</f>
        <v/>
      </c>
      <c r="J249" s="13" t="str">
        <f>IFERROR(IF(SUMIFS(tblDaily[Discharges],tblDaily[EntryDate],DATE(2026,7,2),tblDaily[WardCode],"FAE")=0,"",SUMIFS(tblDaily[Discharges],tblDaily[EntryDate],DATE(2026,7,2),tblDaily[WardCode],"FAE")),"")</f>
        <v/>
      </c>
      <c r="K249" s="13" t="str">
        <f>IFERROR(IF(SUMIFS(tblDaily[Deaths],tblDaily[EntryDate],DATE(2026,7,2),tblDaily[WardCode],"FAE")=0,"",SUMIFS(tblDaily[Deaths],tblDaily[EntryDate],DATE(2026,7,2),tblDaily[WardCode],"FAE")),"")</f>
        <v/>
      </c>
      <c r="L249" s="13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3" t="str">
        <f>IFERROR(IF(SUMIFS(tblDaily[TransfersIn],tblDaily[EntryDate],DATE(2026,7,2),tblDaily[WardCode],"FAE")=0,"",SUMIFS(tblDaily[TransfersIn],tblDaily[EntryDate],DATE(2026,7,2),tblDaily[WardCode],"FAE")),"")</f>
        <v/>
      </c>
      <c r="N249" s="13" t="str">
        <f>IFERROR(IF(SUMIFS(tblDaily[TransfersOut],tblDaily[EntryDate],DATE(2026,7,2),tblDaily[WardCode],"FAE")=0,"",SUMIFS(tblDaily[TransfersOut],tblDaily[EntryDate],DATE(2026,7,2),tblDaily[WardCode],"FAE")),"")</f>
        <v/>
      </c>
      <c r="O249" s="13" t="str">
        <f>IFERROR(IF(SUMIFS(tblDaily[Remaining],tblDaily[EntryDate],DATE(2026,7,2),tblDaily[WardCode],"FAE")=0,"",SUMIFS(tblDaily[Remaining],tblDaily[EntryDate],DATE(2026,7,2),tblDaily[WardCode],"FAE")),"")</f>
        <v/>
      </c>
    </row>
    <row r="250" spans="1:15" x14ac:dyDescent="0.25">
      <c r="A250" s="13">
        <v>3</v>
      </c>
      <c r="B250" s="13" t="str">
        <f>IFERROR(IF(SUMIFS(tblDaily[Admissions],tblDaily[EntryDate],DATE(2026,7,3),tblDaily[WardCode],"MAE")=0,"",SUMIFS(tblDaily[Admissions],tblDaily[EntryDate],DATE(2026,7,3),tblDaily[WardCode],"MAE")),"")</f>
        <v/>
      </c>
      <c r="C250" s="13" t="str">
        <f>IFERROR(IF(SUMIFS(tblDaily[Discharges],tblDaily[EntryDate],DATE(2026,7,3),tblDaily[WardCode],"MAE")=0,"",SUMIFS(tblDaily[Discharges],tblDaily[EntryDate],DATE(2026,7,3),tblDaily[WardCode],"MAE")),"")</f>
        <v/>
      </c>
      <c r="D250" s="13" t="str">
        <f>IFERROR(IF(SUMIFS(tblDaily[Deaths],tblDaily[EntryDate],DATE(2026,7,3),tblDaily[WardCode],"MAE")=0,"",SUMIFS(tblDaily[Deaths],tblDaily[EntryDate],DATE(2026,7,3),tblDaily[WardCode],"MAE")),"")</f>
        <v/>
      </c>
      <c r="E250" s="13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3" t="str">
        <f>IFERROR(IF(SUMIFS(tblDaily[TransfersIn],tblDaily[EntryDate],DATE(2026,7,3),tblDaily[WardCode],"MAE")=0,"",SUMIFS(tblDaily[TransfersIn],tblDaily[EntryDate],DATE(2026,7,3),tblDaily[WardCode],"MAE")),"")</f>
        <v/>
      </c>
      <c r="G250" s="13" t="str">
        <f>IFERROR(IF(SUMIFS(tblDaily[TransfersOut],tblDaily[EntryDate],DATE(2026,7,3),tblDaily[WardCode],"MAE")=0,"",SUMIFS(tblDaily[TransfersOut],tblDaily[EntryDate],DATE(2026,7,3),tblDaily[WardCode],"MAE")),"")</f>
        <v/>
      </c>
      <c r="H250" s="13" t="str">
        <f>IFERROR(IF(SUMIFS(tblDaily[Remaining],tblDaily[EntryDate],DATE(2026,7,3),tblDaily[WardCode],"MAE")=0,"",SUMIFS(tblDaily[Remaining],tblDaily[EntryDate],DATE(2026,7,3),tblDaily[WardCode],"MAE")),"")</f>
        <v/>
      </c>
      <c r="I250" s="13" t="str">
        <f>IFERROR(IF(SUMIFS(tblDaily[Admissions],tblDaily[EntryDate],DATE(2026,7,3),tblDaily[WardCode],"FAE")=0,"",SUMIFS(tblDaily[Admissions],tblDaily[EntryDate],DATE(2026,7,3),tblDaily[WardCode],"FAE")),"")</f>
        <v/>
      </c>
      <c r="J250" s="13" t="str">
        <f>IFERROR(IF(SUMIFS(tblDaily[Discharges],tblDaily[EntryDate],DATE(2026,7,3),tblDaily[WardCode],"FAE")=0,"",SUMIFS(tblDaily[Discharges],tblDaily[EntryDate],DATE(2026,7,3),tblDaily[WardCode],"FAE")),"")</f>
        <v/>
      </c>
      <c r="K250" s="13" t="str">
        <f>IFERROR(IF(SUMIFS(tblDaily[Deaths],tblDaily[EntryDate],DATE(2026,7,3),tblDaily[WardCode],"FAE")=0,"",SUMIFS(tblDaily[Deaths],tblDaily[EntryDate],DATE(2026,7,3),tblDaily[WardCode],"FAE")),"")</f>
        <v/>
      </c>
      <c r="L250" s="13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3" t="str">
        <f>IFERROR(IF(SUMIFS(tblDaily[TransfersIn],tblDaily[EntryDate],DATE(2026,7,3),tblDaily[WardCode],"FAE")=0,"",SUMIFS(tblDaily[TransfersIn],tblDaily[EntryDate],DATE(2026,7,3),tblDaily[WardCode],"FAE")),"")</f>
        <v/>
      </c>
      <c r="N250" s="13" t="str">
        <f>IFERROR(IF(SUMIFS(tblDaily[TransfersOut],tblDaily[EntryDate],DATE(2026,7,3),tblDaily[WardCode],"FAE")=0,"",SUMIFS(tblDaily[TransfersOut],tblDaily[EntryDate],DATE(2026,7,3),tblDaily[WardCode],"FAE")),"")</f>
        <v/>
      </c>
      <c r="O250" s="13" t="str">
        <f>IFERROR(IF(SUMIFS(tblDaily[Remaining],tblDaily[EntryDate],DATE(2026,7,3),tblDaily[WardCode],"FAE")=0,"",SUMIFS(tblDaily[Remaining],tblDaily[EntryDate],DATE(2026,7,3),tblDaily[WardCode],"FAE")),"")</f>
        <v/>
      </c>
    </row>
    <row r="251" spans="1:15" x14ac:dyDescent="0.25">
      <c r="A251" s="13">
        <v>4</v>
      </c>
      <c r="B251" s="13" t="str">
        <f>IFERROR(IF(SUMIFS(tblDaily[Admissions],tblDaily[EntryDate],DATE(2026,7,4),tblDaily[WardCode],"MAE")=0,"",SUMIFS(tblDaily[Admissions],tblDaily[EntryDate],DATE(2026,7,4),tblDaily[WardCode],"MAE")),"")</f>
        <v/>
      </c>
      <c r="C251" s="13" t="str">
        <f>IFERROR(IF(SUMIFS(tblDaily[Discharges],tblDaily[EntryDate],DATE(2026,7,4),tblDaily[WardCode],"MAE")=0,"",SUMIFS(tblDaily[Discharges],tblDaily[EntryDate],DATE(2026,7,4),tblDaily[WardCode],"MAE")),"")</f>
        <v/>
      </c>
      <c r="D251" s="13" t="str">
        <f>IFERROR(IF(SUMIFS(tblDaily[Deaths],tblDaily[EntryDate],DATE(2026,7,4),tblDaily[WardCode],"MAE")=0,"",SUMIFS(tblDaily[Deaths],tblDaily[EntryDate],DATE(2026,7,4),tblDaily[WardCode],"MAE")),"")</f>
        <v/>
      </c>
      <c r="E251" s="13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3" t="str">
        <f>IFERROR(IF(SUMIFS(tblDaily[TransfersIn],tblDaily[EntryDate],DATE(2026,7,4),tblDaily[WardCode],"MAE")=0,"",SUMIFS(tblDaily[TransfersIn],tblDaily[EntryDate],DATE(2026,7,4),tblDaily[WardCode],"MAE")),"")</f>
        <v/>
      </c>
      <c r="G251" s="13" t="str">
        <f>IFERROR(IF(SUMIFS(tblDaily[TransfersOut],tblDaily[EntryDate],DATE(2026,7,4),tblDaily[WardCode],"MAE")=0,"",SUMIFS(tblDaily[TransfersOut],tblDaily[EntryDate],DATE(2026,7,4),tblDaily[WardCode],"MAE")),"")</f>
        <v/>
      </c>
      <c r="H251" s="13" t="str">
        <f>IFERROR(IF(SUMIFS(tblDaily[Remaining],tblDaily[EntryDate],DATE(2026,7,4),tblDaily[WardCode],"MAE")=0,"",SUMIFS(tblDaily[Remaining],tblDaily[EntryDate],DATE(2026,7,4),tblDaily[WardCode],"MAE")),"")</f>
        <v/>
      </c>
      <c r="I251" s="13" t="str">
        <f>IFERROR(IF(SUMIFS(tblDaily[Admissions],tblDaily[EntryDate],DATE(2026,7,4),tblDaily[WardCode],"FAE")=0,"",SUMIFS(tblDaily[Admissions],tblDaily[EntryDate],DATE(2026,7,4),tblDaily[WardCode],"FAE")),"")</f>
        <v/>
      </c>
      <c r="J251" s="13" t="str">
        <f>IFERROR(IF(SUMIFS(tblDaily[Discharges],tblDaily[EntryDate],DATE(2026,7,4),tblDaily[WardCode],"FAE")=0,"",SUMIFS(tblDaily[Discharges],tblDaily[EntryDate],DATE(2026,7,4),tblDaily[WardCode],"FAE")),"")</f>
        <v/>
      </c>
      <c r="K251" s="13" t="str">
        <f>IFERROR(IF(SUMIFS(tblDaily[Deaths],tblDaily[EntryDate],DATE(2026,7,4),tblDaily[WardCode],"FAE")=0,"",SUMIFS(tblDaily[Deaths],tblDaily[EntryDate],DATE(2026,7,4),tblDaily[WardCode],"FAE")),"")</f>
        <v/>
      </c>
      <c r="L251" s="13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3" t="str">
        <f>IFERROR(IF(SUMIFS(tblDaily[TransfersIn],tblDaily[EntryDate],DATE(2026,7,4),tblDaily[WardCode],"FAE")=0,"",SUMIFS(tblDaily[TransfersIn],tblDaily[EntryDate],DATE(2026,7,4),tblDaily[WardCode],"FAE")),"")</f>
        <v/>
      </c>
      <c r="N251" s="13" t="str">
        <f>IFERROR(IF(SUMIFS(tblDaily[TransfersOut],tblDaily[EntryDate],DATE(2026,7,4),tblDaily[WardCode],"FAE")=0,"",SUMIFS(tblDaily[TransfersOut],tblDaily[EntryDate],DATE(2026,7,4),tblDaily[WardCode],"FAE")),"")</f>
        <v/>
      </c>
      <c r="O251" s="13" t="str">
        <f>IFERROR(IF(SUMIFS(tblDaily[Remaining],tblDaily[EntryDate],DATE(2026,7,4),tblDaily[WardCode],"FAE")=0,"",SUMIFS(tblDaily[Remaining],tblDaily[EntryDate],DATE(2026,7,4),tblDaily[WardCode],"FAE")),"")</f>
        <v/>
      </c>
    </row>
    <row r="252" spans="1:15" x14ac:dyDescent="0.25">
      <c r="A252" s="13">
        <v>5</v>
      </c>
      <c r="B252" s="13" t="str">
        <f>IFERROR(IF(SUMIFS(tblDaily[Admissions],tblDaily[EntryDate],DATE(2026,7,5),tblDaily[WardCode],"MAE")=0,"",SUMIFS(tblDaily[Admissions],tblDaily[EntryDate],DATE(2026,7,5),tblDaily[WardCode],"MAE")),"")</f>
        <v/>
      </c>
      <c r="C252" s="13" t="str">
        <f>IFERROR(IF(SUMIFS(tblDaily[Discharges],tblDaily[EntryDate],DATE(2026,7,5),tblDaily[WardCode],"MAE")=0,"",SUMIFS(tblDaily[Discharges],tblDaily[EntryDate],DATE(2026,7,5),tblDaily[WardCode],"MAE")),"")</f>
        <v/>
      </c>
      <c r="D252" s="13" t="str">
        <f>IFERROR(IF(SUMIFS(tblDaily[Deaths],tblDaily[EntryDate],DATE(2026,7,5),tblDaily[WardCode],"MAE")=0,"",SUMIFS(tblDaily[Deaths],tblDaily[EntryDate],DATE(2026,7,5),tblDaily[WardCode],"MAE")),"")</f>
        <v/>
      </c>
      <c r="E252" s="13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3" t="str">
        <f>IFERROR(IF(SUMIFS(tblDaily[TransfersIn],tblDaily[EntryDate],DATE(2026,7,5),tblDaily[WardCode],"MAE")=0,"",SUMIFS(tblDaily[TransfersIn],tblDaily[EntryDate],DATE(2026,7,5),tblDaily[WardCode],"MAE")),"")</f>
        <v/>
      </c>
      <c r="G252" s="13" t="str">
        <f>IFERROR(IF(SUMIFS(tblDaily[TransfersOut],tblDaily[EntryDate],DATE(2026,7,5),tblDaily[WardCode],"MAE")=0,"",SUMIFS(tblDaily[TransfersOut],tblDaily[EntryDate],DATE(2026,7,5),tblDaily[WardCode],"MAE")),"")</f>
        <v/>
      </c>
      <c r="H252" s="13" t="str">
        <f>IFERROR(IF(SUMIFS(tblDaily[Remaining],tblDaily[EntryDate],DATE(2026,7,5),tblDaily[WardCode],"MAE")=0,"",SUMIFS(tblDaily[Remaining],tblDaily[EntryDate],DATE(2026,7,5),tblDaily[WardCode],"MAE")),"")</f>
        <v/>
      </c>
      <c r="I252" s="13" t="str">
        <f>IFERROR(IF(SUMIFS(tblDaily[Admissions],tblDaily[EntryDate],DATE(2026,7,5),tblDaily[WardCode],"FAE")=0,"",SUMIFS(tblDaily[Admissions],tblDaily[EntryDate],DATE(2026,7,5),tblDaily[WardCode],"FAE")),"")</f>
        <v/>
      </c>
      <c r="J252" s="13" t="str">
        <f>IFERROR(IF(SUMIFS(tblDaily[Discharges],tblDaily[EntryDate],DATE(2026,7,5),tblDaily[WardCode],"FAE")=0,"",SUMIFS(tblDaily[Discharges],tblDaily[EntryDate],DATE(2026,7,5),tblDaily[WardCode],"FAE")),"")</f>
        <v/>
      </c>
      <c r="K252" s="13" t="str">
        <f>IFERROR(IF(SUMIFS(tblDaily[Deaths],tblDaily[EntryDate],DATE(2026,7,5),tblDaily[WardCode],"FAE")=0,"",SUMIFS(tblDaily[Deaths],tblDaily[EntryDate],DATE(2026,7,5),tblDaily[WardCode],"FAE")),"")</f>
        <v/>
      </c>
      <c r="L252" s="13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3" t="str">
        <f>IFERROR(IF(SUMIFS(tblDaily[TransfersIn],tblDaily[EntryDate],DATE(2026,7,5),tblDaily[WardCode],"FAE")=0,"",SUMIFS(tblDaily[TransfersIn],tblDaily[EntryDate],DATE(2026,7,5),tblDaily[WardCode],"FAE")),"")</f>
        <v/>
      </c>
      <c r="N252" s="13" t="str">
        <f>IFERROR(IF(SUMIFS(tblDaily[TransfersOut],tblDaily[EntryDate],DATE(2026,7,5),tblDaily[WardCode],"FAE")=0,"",SUMIFS(tblDaily[TransfersOut],tblDaily[EntryDate],DATE(2026,7,5),tblDaily[WardCode],"FAE")),"")</f>
        <v/>
      </c>
      <c r="O252" s="13" t="str">
        <f>IFERROR(IF(SUMIFS(tblDaily[Remaining],tblDaily[EntryDate],DATE(2026,7,5),tblDaily[WardCode],"FAE")=0,"",SUMIFS(tblDaily[Remaining],tblDaily[EntryDate],DATE(2026,7,5),tblDaily[WardCode],"FAE")),"")</f>
        <v/>
      </c>
    </row>
    <row r="253" spans="1:15" x14ac:dyDescent="0.25">
      <c r="A253" s="13">
        <v>6</v>
      </c>
      <c r="B253" s="13" t="str">
        <f>IFERROR(IF(SUMIFS(tblDaily[Admissions],tblDaily[EntryDate],DATE(2026,7,6),tblDaily[WardCode],"MAE")=0,"",SUMIFS(tblDaily[Admissions],tblDaily[EntryDate],DATE(2026,7,6),tblDaily[WardCode],"MAE")),"")</f>
        <v/>
      </c>
      <c r="C253" s="13" t="str">
        <f>IFERROR(IF(SUMIFS(tblDaily[Discharges],tblDaily[EntryDate],DATE(2026,7,6),tblDaily[WardCode],"MAE")=0,"",SUMIFS(tblDaily[Discharges],tblDaily[EntryDate],DATE(2026,7,6),tblDaily[WardCode],"MAE")),"")</f>
        <v/>
      </c>
      <c r="D253" s="13" t="str">
        <f>IFERROR(IF(SUMIFS(tblDaily[Deaths],tblDaily[EntryDate],DATE(2026,7,6),tblDaily[WardCode],"MAE")=0,"",SUMIFS(tblDaily[Deaths],tblDaily[EntryDate],DATE(2026,7,6),tblDaily[WardCode],"MAE")),"")</f>
        <v/>
      </c>
      <c r="E253" s="13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3" t="str">
        <f>IFERROR(IF(SUMIFS(tblDaily[TransfersIn],tblDaily[EntryDate],DATE(2026,7,6),tblDaily[WardCode],"MAE")=0,"",SUMIFS(tblDaily[TransfersIn],tblDaily[EntryDate],DATE(2026,7,6),tblDaily[WardCode],"MAE")),"")</f>
        <v/>
      </c>
      <c r="G253" s="13" t="str">
        <f>IFERROR(IF(SUMIFS(tblDaily[TransfersOut],tblDaily[EntryDate],DATE(2026,7,6),tblDaily[WardCode],"MAE")=0,"",SUMIFS(tblDaily[TransfersOut],tblDaily[EntryDate],DATE(2026,7,6),tblDaily[WardCode],"MAE")),"")</f>
        <v/>
      </c>
      <c r="H253" s="13" t="str">
        <f>IFERROR(IF(SUMIFS(tblDaily[Remaining],tblDaily[EntryDate],DATE(2026,7,6),tblDaily[WardCode],"MAE")=0,"",SUMIFS(tblDaily[Remaining],tblDaily[EntryDate],DATE(2026,7,6),tblDaily[WardCode],"MAE")),"")</f>
        <v/>
      </c>
      <c r="I253" s="13" t="str">
        <f>IFERROR(IF(SUMIFS(tblDaily[Admissions],tblDaily[EntryDate],DATE(2026,7,6),tblDaily[WardCode],"FAE")=0,"",SUMIFS(tblDaily[Admissions],tblDaily[EntryDate],DATE(2026,7,6),tblDaily[WardCode],"FAE")),"")</f>
        <v/>
      </c>
      <c r="J253" s="13" t="str">
        <f>IFERROR(IF(SUMIFS(tblDaily[Discharges],tblDaily[EntryDate],DATE(2026,7,6),tblDaily[WardCode],"FAE")=0,"",SUMIFS(tblDaily[Discharges],tblDaily[EntryDate],DATE(2026,7,6),tblDaily[WardCode],"FAE")),"")</f>
        <v/>
      </c>
      <c r="K253" s="13" t="str">
        <f>IFERROR(IF(SUMIFS(tblDaily[Deaths],tblDaily[EntryDate],DATE(2026,7,6),tblDaily[WardCode],"FAE")=0,"",SUMIFS(tblDaily[Deaths],tblDaily[EntryDate],DATE(2026,7,6),tblDaily[WardCode],"FAE")),"")</f>
        <v/>
      </c>
      <c r="L253" s="13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3" t="str">
        <f>IFERROR(IF(SUMIFS(tblDaily[TransfersIn],tblDaily[EntryDate],DATE(2026,7,6),tblDaily[WardCode],"FAE")=0,"",SUMIFS(tblDaily[TransfersIn],tblDaily[EntryDate],DATE(2026,7,6),tblDaily[WardCode],"FAE")),"")</f>
        <v/>
      </c>
      <c r="N253" s="13" t="str">
        <f>IFERROR(IF(SUMIFS(tblDaily[TransfersOut],tblDaily[EntryDate],DATE(2026,7,6),tblDaily[WardCode],"FAE")=0,"",SUMIFS(tblDaily[TransfersOut],tblDaily[EntryDate],DATE(2026,7,6),tblDaily[WardCode],"FAE")),"")</f>
        <v/>
      </c>
      <c r="O253" s="13" t="str">
        <f>IFERROR(IF(SUMIFS(tblDaily[Remaining],tblDaily[EntryDate],DATE(2026,7,6),tblDaily[WardCode],"FAE")=0,"",SUMIFS(tblDaily[Remaining],tblDaily[EntryDate],DATE(2026,7,6),tblDaily[WardCode],"FAE")),"")</f>
        <v/>
      </c>
    </row>
    <row r="254" spans="1:15" x14ac:dyDescent="0.25">
      <c r="A254" s="13">
        <v>7</v>
      </c>
      <c r="B254" s="13" t="str">
        <f>IFERROR(IF(SUMIFS(tblDaily[Admissions],tblDaily[EntryDate],DATE(2026,7,7),tblDaily[WardCode],"MAE")=0,"",SUMIFS(tblDaily[Admissions],tblDaily[EntryDate],DATE(2026,7,7),tblDaily[WardCode],"MAE")),"")</f>
        <v/>
      </c>
      <c r="C254" s="13" t="str">
        <f>IFERROR(IF(SUMIFS(tblDaily[Discharges],tblDaily[EntryDate],DATE(2026,7,7),tblDaily[WardCode],"MAE")=0,"",SUMIFS(tblDaily[Discharges],tblDaily[EntryDate],DATE(2026,7,7),tblDaily[WardCode],"MAE")),"")</f>
        <v/>
      </c>
      <c r="D254" s="13" t="str">
        <f>IFERROR(IF(SUMIFS(tblDaily[Deaths],tblDaily[EntryDate],DATE(2026,7,7),tblDaily[WardCode],"MAE")=0,"",SUMIFS(tblDaily[Deaths],tblDaily[EntryDate],DATE(2026,7,7),tblDaily[WardCode],"MAE")),"")</f>
        <v/>
      </c>
      <c r="E254" s="13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3" t="str">
        <f>IFERROR(IF(SUMIFS(tblDaily[TransfersIn],tblDaily[EntryDate],DATE(2026,7,7),tblDaily[WardCode],"MAE")=0,"",SUMIFS(tblDaily[TransfersIn],tblDaily[EntryDate],DATE(2026,7,7),tblDaily[WardCode],"MAE")),"")</f>
        <v/>
      </c>
      <c r="G254" s="13" t="str">
        <f>IFERROR(IF(SUMIFS(tblDaily[TransfersOut],tblDaily[EntryDate],DATE(2026,7,7),tblDaily[WardCode],"MAE")=0,"",SUMIFS(tblDaily[TransfersOut],tblDaily[EntryDate],DATE(2026,7,7),tblDaily[WardCode],"MAE")),"")</f>
        <v/>
      </c>
      <c r="H254" s="13" t="str">
        <f>IFERROR(IF(SUMIFS(tblDaily[Remaining],tblDaily[EntryDate],DATE(2026,7,7),tblDaily[WardCode],"MAE")=0,"",SUMIFS(tblDaily[Remaining],tblDaily[EntryDate],DATE(2026,7,7),tblDaily[WardCode],"MAE")),"")</f>
        <v/>
      </c>
      <c r="I254" s="13" t="str">
        <f>IFERROR(IF(SUMIFS(tblDaily[Admissions],tblDaily[EntryDate],DATE(2026,7,7),tblDaily[WardCode],"FAE")=0,"",SUMIFS(tblDaily[Admissions],tblDaily[EntryDate],DATE(2026,7,7),tblDaily[WardCode],"FAE")),"")</f>
        <v/>
      </c>
      <c r="J254" s="13" t="str">
        <f>IFERROR(IF(SUMIFS(tblDaily[Discharges],tblDaily[EntryDate],DATE(2026,7,7),tblDaily[WardCode],"FAE")=0,"",SUMIFS(tblDaily[Discharges],tblDaily[EntryDate],DATE(2026,7,7),tblDaily[WardCode],"FAE")),"")</f>
        <v/>
      </c>
      <c r="K254" s="13" t="str">
        <f>IFERROR(IF(SUMIFS(tblDaily[Deaths],tblDaily[EntryDate],DATE(2026,7,7),tblDaily[WardCode],"FAE")=0,"",SUMIFS(tblDaily[Deaths],tblDaily[EntryDate],DATE(2026,7,7),tblDaily[WardCode],"FAE")),"")</f>
        <v/>
      </c>
      <c r="L254" s="13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3" t="str">
        <f>IFERROR(IF(SUMIFS(tblDaily[TransfersIn],tblDaily[EntryDate],DATE(2026,7,7),tblDaily[WardCode],"FAE")=0,"",SUMIFS(tblDaily[TransfersIn],tblDaily[EntryDate],DATE(2026,7,7),tblDaily[WardCode],"FAE")),"")</f>
        <v/>
      </c>
      <c r="N254" s="13" t="str">
        <f>IFERROR(IF(SUMIFS(tblDaily[TransfersOut],tblDaily[EntryDate],DATE(2026,7,7),tblDaily[WardCode],"FAE")=0,"",SUMIFS(tblDaily[TransfersOut],tblDaily[EntryDate],DATE(2026,7,7),tblDaily[WardCode],"FAE")),"")</f>
        <v/>
      </c>
      <c r="O254" s="13" t="str">
        <f>IFERROR(IF(SUMIFS(tblDaily[Remaining],tblDaily[EntryDate],DATE(2026,7,7),tblDaily[WardCode],"FAE")=0,"",SUMIFS(tblDaily[Remaining],tblDaily[EntryDate],DATE(2026,7,7),tblDaily[WardCode],"FAE")),"")</f>
        <v/>
      </c>
    </row>
    <row r="255" spans="1:15" x14ac:dyDescent="0.25">
      <c r="A255" s="13">
        <v>8</v>
      </c>
      <c r="B255" s="13" t="str">
        <f>IFERROR(IF(SUMIFS(tblDaily[Admissions],tblDaily[EntryDate],DATE(2026,7,8),tblDaily[WardCode],"MAE")=0,"",SUMIFS(tblDaily[Admissions],tblDaily[EntryDate],DATE(2026,7,8),tblDaily[WardCode],"MAE")),"")</f>
        <v/>
      </c>
      <c r="C255" s="13" t="str">
        <f>IFERROR(IF(SUMIFS(tblDaily[Discharges],tblDaily[EntryDate],DATE(2026,7,8),tblDaily[WardCode],"MAE")=0,"",SUMIFS(tblDaily[Discharges],tblDaily[EntryDate],DATE(2026,7,8),tblDaily[WardCode],"MAE")),"")</f>
        <v/>
      </c>
      <c r="D255" s="13" t="str">
        <f>IFERROR(IF(SUMIFS(tblDaily[Deaths],tblDaily[EntryDate],DATE(2026,7,8),tblDaily[WardCode],"MAE")=0,"",SUMIFS(tblDaily[Deaths],tblDaily[EntryDate],DATE(2026,7,8),tblDaily[WardCode],"MAE")),"")</f>
        <v/>
      </c>
      <c r="E255" s="13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3" t="str">
        <f>IFERROR(IF(SUMIFS(tblDaily[TransfersIn],tblDaily[EntryDate],DATE(2026,7,8),tblDaily[WardCode],"MAE")=0,"",SUMIFS(tblDaily[TransfersIn],tblDaily[EntryDate],DATE(2026,7,8),tblDaily[WardCode],"MAE")),"")</f>
        <v/>
      </c>
      <c r="G255" s="13" t="str">
        <f>IFERROR(IF(SUMIFS(tblDaily[TransfersOut],tblDaily[EntryDate],DATE(2026,7,8),tblDaily[WardCode],"MAE")=0,"",SUMIFS(tblDaily[TransfersOut],tblDaily[EntryDate],DATE(2026,7,8),tblDaily[WardCode],"MAE")),"")</f>
        <v/>
      </c>
      <c r="H255" s="13" t="str">
        <f>IFERROR(IF(SUMIFS(tblDaily[Remaining],tblDaily[EntryDate],DATE(2026,7,8),tblDaily[WardCode],"MAE")=0,"",SUMIFS(tblDaily[Remaining],tblDaily[EntryDate],DATE(2026,7,8),tblDaily[WardCode],"MAE")),"")</f>
        <v/>
      </c>
      <c r="I255" s="13" t="str">
        <f>IFERROR(IF(SUMIFS(tblDaily[Admissions],tblDaily[EntryDate],DATE(2026,7,8),tblDaily[WardCode],"FAE")=0,"",SUMIFS(tblDaily[Admissions],tblDaily[EntryDate],DATE(2026,7,8),tblDaily[WardCode],"FAE")),"")</f>
        <v/>
      </c>
      <c r="J255" s="13" t="str">
        <f>IFERROR(IF(SUMIFS(tblDaily[Discharges],tblDaily[EntryDate],DATE(2026,7,8),tblDaily[WardCode],"FAE")=0,"",SUMIFS(tblDaily[Discharges],tblDaily[EntryDate],DATE(2026,7,8),tblDaily[WardCode],"FAE")),"")</f>
        <v/>
      </c>
      <c r="K255" s="13" t="str">
        <f>IFERROR(IF(SUMIFS(tblDaily[Deaths],tblDaily[EntryDate],DATE(2026,7,8),tblDaily[WardCode],"FAE")=0,"",SUMIFS(tblDaily[Deaths],tblDaily[EntryDate],DATE(2026,7,8),tblDaily[WardCode],"FAE")),"")</f>
        <v/>
      </c>
      <c r="L255" s="13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3" t="str">
        <f>IFERROR(IF(SUMIFS(tblDaily[TransfersIn],tblDaily[EntryDate],DATE(2026,7,8),tblDaily[WardCode],"FAE")=0,"",SUMIFS(tblDaily[TransfersIn],tblDaily[EntryDate],DATE(2026,7,8),tblDaily[WardCode],"FAE")),"")</f>
        <v/>
      </c>
      <c r="N255" s="13" t="str">
        <f>IFERROR(IF(SUMIFS(tblDaily[TransfersOut],tblDaily[EntryDate],DATE(2026,7,8),tblDaily[WardCode],"FAE")=0,"",SUMIFS(tblDaily[TransfersOut],tblDaily[EntryDate],DATE(2026,7,8),tblDaily[WardCode],"FAE")),"")</f>
        <v/>
      </c>
      <c r="O255" s="13" t="str">
        <f>IFERROR(IF(SUMIFS(tblDaily[Remaining],tblDaily[EntryDate],DATE(2026,7,8),tblDaily[WardCode],"FAE")=0,"",SUMIFS(tblDaily[Remaining],tblDaily[EntryDate],DATE(2026,7,8),tblDaily[WardCode],"FAE")),"")</f>
        <v/>
      </c>
    </row>
    <row r="256" spans="1:15" x14ac:dyDescent="0.25">
      <c r="A256" s="13">
        <v>9</v>
      </c>
      <c r="B256" s="13" t="str">
        <f>IFERROR(IF(SUMIFS(tblDaily[Admissions],tblDaily[EntryDate],DATE(2026,7,9),tblDaily[WardCode],"MAE")=0,"",SUMIFS(tblDaily[Admissions],tblDaily[EntryDate],DATE(2026,7,9),tblDaily[WardCode],"MAE")),"")</f>
        <v/>
      </c>
      <c r="C256" s="13" t="str">
        <f>IFERROR(IF(SUMIFS(tblDaily[Discharges],tblDaily[EntryDate],DATE(2026,7,9),tblDaily[WardCode],"MAE")=0,"",SUMIFS(tblDaily[Discharges],tblDaily[EntryDate],DATE(2026,7,9),tblDaily[WardCode],"MAE")),"")</f>
        <v/>
      </c>
      <c r="D256" s="13" t="str">
        <f>IFERROR(IF(SUMIFS(tblDaily[Deaths],tblDaily[EntryDate],DATE(2026,7,9),tblDaily[WardCode],"MAE")=0,"",SUMIFS(tblDaily[Deaths],tblDaily[EntryDate],DATE(2026,7,9),tblDaily[WardCode],"MAE")),"")</f>
        <v/>
      </c>
      <c r="E256" s="13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3" t="str">
        <f>IFERROR(IF(SUMIFS(tblDaily[TransfersIn],tblDaily[EntryDate],DATE(2026,7,9),tblDaily[WardCode],"MAE")=0,"",SUMIFS(tblDaily[TransfersIn],tblDaily[EntryDate],DATE(2026,7,9),tblDaily[WardCode],"MAE")),"")</f>
        <v/>
      </c>
      <c r="G256" s="13" t="str">
        <f>IFERROR(IF(SUMIFS(tblDaily[TransfersOut],tblDaily[EntryDate],DATE(2026,7,9),tblDaily[WardCode],"MAE")=0,"",SUMIFS(tblDaily[TransfersOut],tblDaily[EntryDate],DATE(2026,7,9),tblDaily[WardCode],"MAE")),"")</f>
        <v/>
      </c>
      <c r="H256" s="13" t="str">
        <f>IFERROR(IF(SUMIFS(tblDaily[Remaining],tblDaily[EntryDate],DATE(2026,7,9),tblDaily[WardCode],"MAE")=0,"",SUMIFS(tblDaily[Remaining],tblDaily[EntryDate],DATE(2026,7,9),tblDaily[WardCode],"MAE")),"")</f>
        <v/>
      </c>
      <c r="I256" s="13" t="str">
        <f>IFERROR(IF(SUMIFS(tblDaily[Admissions],tblDaily[EntryDate],DATE(2026,7,9),tblDaily[WardCode],"FAE")=0,"",SUMIFS(tblDaily[Admissions],tblDaily[EntryDate],DATE(2026,7,9),tblDaily[WardCode],"FAE")),"")</f>
        <v/>
      </c>
      <c r="J256" s="13" t="str">
        <f>IFERROR(IF(SUMIFS(tblDaily[Discharges],tblDaily[EntryDate],DATE(2026,7,9),tblDaily[WardCode],"FAE")=0,"",SUMIFS(tblDaily[Discharges],tblDaily[EntryDate],DATE(2026,7,9),tblDaily[WardCode],"FAE")),"")</f>
        <v/>
      </c>
      <c r="K256" s="13" t="str">
        <f>IFERROR(IF(SUMIFS(tblDaily[Deaths],tblDaily[EntryDate],DATE(2026,7,9),tblDaily[WardCode],"FAE")=0,"",SUMIFS(tblDaily[Deaths],tblDaily[EntryDate],DATE(2026,7,9),tblDaily[WardCode],"FAE")),"")</f>
        <v/>
      </c>
      <c r="L256" s="13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3" t="str">
        <f>IFERROR(IF(SUMIFS(tblDaily[TransfersIn],tblDaily[EntryDate],DATE(2026,7,9),tblDaily[WardCode],"FAE")=0,"",SUMIFS(tblDaily[TransfersIn],tblDaily[EntryDate],DATE(2026,7,9),tblDaily[WardCode],"FAE")),"")</f>
        <v/>
      </c>
      <c r="N256" s="13" t="str">
        <f>IFERROR(IF(SUMIFS(tblDaily[TransfersOut],tblDaily[EntryDate],DATE(2026,7,9),tblDaily[WardCode],"FAE")=0,"",SUMIFS(tblDaily[TransfersOut],tblDaily[EntryDate],DATE(2026,7,9),tblDaily[WardCode],"FAE")),"")</f>
        <v/>
      </c>
      <c r="O256" s="13" t="str">
        <f>IFERROR(IF(SUMIFS(tblDaily[Remaining],tblDaily[EntryDate],DATE(2026,7,9),tblDaily[WardCode],"FAE")=0,"",SUMIFS(tblDaily[Remaining],tblDaily[EntryDate],DATE(2026,7,9),tblDaily[WardCode],"FAE")),"")</f>
        <v/>
      </c>
    </row>
    <row r="257" spans="1:15" x14ac:dyDescent="0.25">
      <c r="A257" s="13">
        <v>10</v>
      </c>
      <c r="B257" s="13" t="str">
        <f>IFERROR(IF(SUMIFS(tblDaily[Admissions],tblDaily[EntryDate],DATE(2026,7,10),tblDaily[WardCode],"MAE")=0,"",SUMIFS(tblDaily[Admissions],tblDaily[EntryDate],DATE(2026,7,10),tblDaily[WardCode],"MAE")),"")</f>
        <v/>
      </c>
      <c r="C257" s="13" t="str">
        <f>IFERROR(IF(SUMIFS(tblDaily[Discharges],tblDaily[EntryDate],DATE(2026,7,10),tblDaily[WardCode],"MAE")=0,"",SUMIFS(tblDaily[Discharges],tblDaily[EntryDate],DATE(2026,7,10),tblDaily[WardCode],"MAE")),"")</f>
        <v/>
      </c>
      <c r="D257" s="13" t="str">
        <f>IFERROR(IF(SUMIFS(tblDaily[Deaths],tblDaily[EntryDate],DATE(2026,7,10),tblDaily[WardCode],"MAE")=0,"",SUMIFS(tblDaily[Deaths],tblDaily[EntryDate],DATE(2026,7,10),tblDaily[WardCode],"MAE")),"")</f>
        <v/>
      </c>
      <c r="E257" s="13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3" t="str">
        <f>IFERROR(IF(SUMIFS(tblDaily[TransfersIn],tblDaily[EntryDate],DATE(2026,7,10),tblDaily[WardCode],"MAE")=0,"",SUMIFS(tblDaily[TransfersIn],tblDaily[EntryDate],DATE(2026,7,10),tblDaily[WardCode],"MAE")),"")</f>
        <v/>
      </c>
      <c r="G257" s="13" t="str">
        <f>IFERROR(IF(SUMIFS(tblDaily[TransfersOut],tblDaily[EntryDate],DATE(2026,7,10),tblDaily[WardCode],"MAE")=0,"",SUMIFS(tblDaily[TransfersOut],tblDaily[EntryDate],DATE(2026,7,10),tblDaily[WardCode],"MAE")),"")</f>
        <v/>
      </c>
      <c r="H257" s="13" t="str">
        <f>IFERROR(IF(SUMIFS(tblDaily[Remaining],tblDaily[EntryDate],DATE(2026,7,10),tblDaily[WardCode],"MAE")=0,"",SUMIFS(tblDaily[Remaining],tblDaily[EntryDate],DATE(2026,7,10),tblDaily[WardCode],"MAE")),"")</f>
        <v/>
      </c>
      <c r="I257" s="13" t="str">
        <f>IFERROR(IF(SUMIFS(tblDaily[Admissions],tblDaily[EntryDate],DATE(2026,7,10),tblDaily[WardCode],"FAE")=0,"",SUMIFS(tblDaily[Admissions],tblDaily[EntryDate],DATE(2026,7,10),tblDaily[WardCode],"FAE")),"")</f>
        <v/>
      </c>
      <c r="J257" s="13" t="str">
        <f>IFERROR(IF(SUMIFS(tblDaily[Discharges],tblDaily[EntryDate],DATE(2026,7,10),tblDaily[WardCode],"FAE")=0,"",SUMIFS(tblDaily[Discharges],tblDaily[EntryDate],DATE(2026,7,10),tblDaily[WardCode],"FAE")),"")</f>
        <v/>
      </c>
      <c r="K257" s="13" t="str">
        <f>IFERROR(IF(SUMIFS(tblDaily[Deaths],tblDaily[EntryDate],DATE(2026,7,10),tblDaily[WardCode],"FAE")=0,"",SUMIFS(tblDaily[Deaths],tblDaily[EntryDate],DATE(2026,7,10),tblDaily[WardCode],"FAE")),"")</f>
        <v/>
      </c>
      <c r="L257" s="13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3" t="str">
        <f>IFERROR(IF(SUMIFS(tblDaily[TransfersIn],tblDaily[EntryDate],DATE(2026,7,10),tblDaily[WardCode],"FAE")=0,"",SUMIFS(tblDaily[TransfersIn],tblDaily[EntryDate],DATE(2026,7,10),tblDaily[WardCode],"FAE")),"")</f>
        <v/>
      </c>
      <c r="N257" s="13" t="str">
        <f>IFERROR(IF(SUMIFS(tblDaily[TransfersOut],tblDaily[EntryDate],DATE(2026,7,10),tblDaily[WardCode],"FAE")=0,"",SUMIFS(tblDaily[TransfersOut],tblDaily[EntryDate],DATE(2026,7,10),tblDaily[WardCode],"FAE")),"")</f>
        <v/>
      </c>
      <c r="O257" s="13" t="str">
        <f>IFERROR(IF(SUMIFS(tblDaily[Remaining],tblDaily[EntryDate],DATE(2026,7,10),tblDaily[WardCode],"FAE")=0,"",SUMIFS(tblDaily[Remaining],tblDaily[EntryDate],DATE(2026,7,10),tblDaily[WardCode],"FAE")),"")</f>
        <v/>
      </c>
    </row>
    <row r="258" spans="1:15" x14ac:dyDescent="0.25">
      <c r="A258" s="13">
        <v>11</v>
      </c>
      <c r="B258" s="13" t="str">
        <f>IFERROR(IF(SUMIFS(tblDaily[Admissions],tblDaily[EntryDate],DATE(2026,7,11),tblDaily[WardCode],"MAE")=0,"",SUMIFS(tblDaily[Admissions],tblDaily[EntryDate],DATE(2026,7,11),tblDaily[WardCode],"MAE")),"")</f>
        <v/>
      </c>
      <c r="C258" s="13" t="str">
        <f>IFERROR(IF(SUMIFS(tblDaily[Discharges],tblDaily[EntryDate],DATE(2026,7,11),tblDaily[WardCode],"MAE")=0,"",SUMIFS(tblDaily[Discharges],tblDaily[EntryDate],DATE(2026,7,11),tblDaily[WardCode],"MAE")),"")</f>
        <v/>
      </c>
      <c r="D258" s="13" t="str">
        <f>IFERROR(IF(SUMIFS(tblDaily[Deaths],tblDaily[EntryDate],DATE(2026,7,11),tblDaily[WardCode],"MAE")=0,"",SUMIFS(tblDaily[Deaths],tblDaily[EntryDate],DATE(2026,7,11),tblDaily[WardCode],"MAE")),"")</f>
        <v/>
      </c>
      <c r="E258" s="13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3" t="str">
        <f>IFERROR(IF(SUMIFS(tblDaily[TransfersIn],tblDaily[EntryDate],DATE(2026,7,11),tblDaily[WardCode],"MAE")=0,"",SUMIFS(tblDaily[TransfersIn],tblDaily[EntryDate],DATE(2026,7,11),tblDaily[WardCode],"MAE")),"")</f>
        <v/>
      </c>
      <c r="G258" s="13" t="str">
        <f>IFERROR(IF(SUMIFS(tblDaily[TransfersOut],tblDaily[EntryDate],DATE(2026,7,11),tblDaily[WardCode],"MAE")=0,"",SUMIFS(tblDaily[TransfersOut],tblDaily[EntryDate],DATE(2026,7,11),tblDaily[WardCode],"MAE")),"")</f>
        <v/>
      </c>
      <c r="H258" s="13" t="str">
        <f>IFERROR(IF(SUMIFS(tblDaily[Remaining],tblDaily[EntryDate],DATE(2026,7,11),tblDaily[WardCode],"MAE")=0,"",SUMIFS(tblDaily[Remaining],tblDaily[EntryDate],DATE(2026,7,11),tblDaily[WardCode],"MAE")),"")</f>
        <v/>
      </c>
      <c r="I258" s="13" t="str">
        <f>IFERROR(IF(SUMIFS(tblDaily[Admissions],tblDaily[EntryDate],DATE(2026,7,11),tblDaily[WardCode],"FAE")=0,"",SUMIFS(tblDaily[Admissions],tblDaily[EntryDate],DATE(2026,7,11),tblDaily[WardCode],"FAE")),"")</f>
        <v/>
      </c>
      <c r="J258" s="13" t="str">
        <f>IFERROR(IF(SUMIFS(tblDaily[Discharges],tblDaily[EntryDate],DATE(2026,7,11),tblDaily[WardCode],"FAE")=0,"",SUMIFS(tblDaily[Discharges],tblDaily[EntryDate],DATE(2026,7,11),tblDaily[WardCode],"FAE")),"")</f>
        <v/>
      </c>
      <c r="K258" s="13" t="str">
        <f>IFERROR(IF(SUMIFS(tblDaily[Deaths],tblDaily[EntryDate],DATE(2026,7,11),tblDaily[WardCode],"FAE")=0,"",SUMIFS(tblDaily[Deaths],tblDaily[EntryDate],DATE(2026,7,11),tblDaily[WardCode],"FAE")),"")</f>
        <v/>
      </c>
      <c r="L258" s="13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3" t="str">
        <f>IFERROR(IF(SUMIFS(tblDaily[TransfersIn],tblDaily[EntryDate],DATE(2026,7,11),tblDaily[WardCode],"FAE")=0,"",SUMIFS(tblDaily[TransfersIn],tblDaily[EntryDate],DATE(2026,7,11),tblDaily[WardCode],"FAE")),"")</f>
        <v/>
      </c>
      <c r="N258" s="13" t="str">
        <f>IFERROR(IF(SUMIFS(tblDaily[TransfersOut],tblDaily[EntryDate],DATE(2026,7,11),tblDaily[WardCode],"FAE")=0,"",SUMIFS(tblDaily[TransfersOut],tblDaily[EntryDate],DATE(2026,7,11),tblDaily[WardCode],"FAE")),"")</f>
        <v/>
      </c>
      <c r="O258" s="13" t="str">
        <f>IFERROR(IF(SUMIFS(tblDaily[Remaining],tblDaily[EntryDate],DATE(2026,7,11),tblDaily[WardCode],"FAE")=0,"",SUMIFS(tblDaily[Remaining],tblDaily[EntryDate],DATE(2026,7,11),tblDaily[WardCode],"FAE")),"")</f>
        <v/>
      </c>
    </row>
    <row r="259" spans="1:15" x14ac:dyDescent="0.25">
      <c r="A259" s="13">
        <v>12</v>
      </c>
      <c r="B259" s="13" t="str">
        <f>IFERROR(IF(SUMIFS(tblDaily[Admissions],tblDaily[EntryDate],DATE(2026,7,12),tblDaily[WardCode],"MAE")=0,"",SUMIFS(tblDaily[Admissions],tblDaily[EntryDate],DATE(2026,7,12),tblDaily[WardCode],"MAE")),"")</f>
        <v/>
      </c>
      <c r="C259" s="13" t="str">
        <f>IFERROR(IF(SUMIFS(tblDaily[Discharges],tblDaily[EntryDate],DATE(2026,7,12),tblDaily[WardCode],"MAE")=0,"",SUMIFS(tblDaily[Discharges],tblDaily[EntryDate],DATE(2026,7,12),tblDaily[WardCode],"MAE")),"")</f>
        <v/>
      </c>
      <c r="D259" s="13" t="str">
        <f>IFERROR(IF(SUMIFS(tblDaily[Deaths],tblDaily[EntryDate],DATE(2026,7,12),tblDaily[WardCode],"MAE")=0,"",SUMIFS(tblDaily[Deaths],tblDaily[EntryDate],DATE(2026,7,12),tblDaily[WardCode],"MAE")),"")</f>
        <v/>
      </c>
      <c r="E259" s="13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3" t="str">
        <f>IFERROR(IF(SUMIFS(tblDaily[TransfersIn],tblDaily[EntryDate],DATE(2026,7,12),tblDaily[WardCode],"MAE")=0,"",SUMIFS(tblDaily[TransfersIn],tblDaily[EntryDate],DATE(2026,7,12),tblDaily[WardCode],"MAE")),"")</f>
        <v/>
      </c>
      <c r="G259" s="13" t="str">
        <f>IFERROR(IF(SUMIFS(tblDaily[TransfersOut],tblDaily[EntryDate],DATE(2026,7,12),tblDaily[WardCode],"MAE")=0,"",SUMIFS(tblDaily[TransfersOut],tblDaily[EntryDate],DATE(2026,7,12),tblDaily[WardCode],"MAE")),"")</f>
        <v/>
      </c>
      <c r="H259" s="13" t="str">
        <f>IFERROR(IF(SUMIFS(tblDaily[Remaining],tblDaily[EntryDate],DATE(2026,7,12),tblDaily[WardCode],"MAE")=0,"",SUMIFS(tblDaily[Remaining],tblDaily[EntryDate],DATE(2026,7,12),tblDaily[WardCode],"MAE")),"")</f>
        <v/>
      </c>
      <c r="I259" s="13" t="str">
        <f>IFERROR(IF(SUMIFS(tblDaily[Admissions],tblDaily[EntryDate],DATE(2026,7,12),tblDaily[WardCode],"FAE")=0,"",SUMIFS(tblDaily[Admissions],tblDaily[EntryDate],DATE(2026,7,12),tblDaily[WardCode],"FAE")),"")</f>
        <v/>
      </c>
      <c r="J259" s="13" t="str">
        <f>IFERROR(IF(SUMIFS(tblDaily[Discharges],tblDaily[EntryDate],DATE(2026,7,12),tblDaily[WardCode],"FAE")=0,"",SUMIFS(tblDaily[Discharges],tblDaily[EntryDate],DATE(2026,7,12),tblDaily[WardCode],"FAE")),"")</f>
        <v/>
      </c>
      <c r="K259" s="13" t="str">
        <f>IFERROR(IF(SUMIFS(tblDaily[Deaths],tblDaily[EntryDate],DATE(2026,7,12),tblDaily[WardCode],"FAE")=0,"",SUMIFS(tblDaily[Deaths],tblDaily[EntryDate],DATE(2026,7,12),tblDaily[WardCode],"FAE")),"")</f>
        <v/>
      </c>
      <c r="L259" s="13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3" t="str">
        <f>IFERROR(IF(SUMIFS(tblDaily[TransfersIn],tblDaily[EntryDate],DATE(2026,7,12),tblDaily[WardCode],"FAE")=0,"",SUMIFS(tblDaily[TransfersIn],tblDaily[EntryDate],DATE(2026,7,12),tblDaily[WardCode],"FAE")),"")</f>
        <v/>
      </c>
      <c r="N259" s="13" t="str">
        <f>IFERROR(IF(SUMIFS(tblDaily[TransfersOut],tblDaily[EntryDate],DATE(2026,7,12),tblDaily[WardCode],"FAE")=0,"",SUMIFS(tblDaily[TransfersOut],tblDaily[EntryDate],DATE(2026,7,12),tblDaily[WardCode],"FAE")),"")</f>
        <v/>
      </c>
      <c r="O259" s="13" t="str">
        <f>IFERROR(IF(SUMIFS(tblDaily[Remaining],tblDaily[EntryDate],DATE(2026,7,12),tblDaily[WardCode],"FAE")=0,"",SUMIFS(tblDaily[Remaining],tblDaily[EntryDate],DATE(2026,7,12),tblDaily[WardCode],"FAE")),"")</f>
        <v/>
      </c>
    </row>
    <row r="260" spans="1:15" x14ac:dyDescent="0.25">
      <c r="A260" s="13">
        <v>13</v>
      </c>
      <c r="B260" s="13" t="str">
        <f>IFERROR(IF(SUMIFS(tblDaily[Admissions],tblDaily[EntryDate],DATE(2026,7,13),tblDaily[WardCode],"MAE")=0,"",SUMIFS(tblDaily[Admissions],tblDaily[EntryDate],DATE(2026,7,13),tblDaily[WardCode],"MAE")),"")</f>
        <v/>
      </c>
      <c r="C260" s="13" t="str">
        <f>IFERROR(IF(SUMIFS(tblDaily[Discharges],tblDaily[EntryDate],DATE(2026,7,13),tblDaily[WardCode],"MAE")=0,"",SUMIFS(tblDaily[Discharges],tblDaily[EntryDate],DATE(2026,7,13),tblDaily[WardCode],"MAE")),"")</f>
        <v/>
      </c>
      <c r="D260" s="13" t="str">
        <f>IFERROR(IF(SUMIFS(tblDaily[Deaths],tblDaily[EntryDate],DATE(2026,7,13),tblDaily[WardCode],"MAE")=0,"",SUMIFS(tblDaily[Deaths],tblDaily[EntryDate],DATE(2026,7,13),tblDaily[WardCode],"MAE")),"")</f>
        <v/>
      </c>
      <c r="E260" s="13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3" t="str">
        <f>IFERROR(IF(SUMIFS(tblDaily[TransfersIn],tblDaily[EntryDate],DATE(2026,7,13),tblDaily[WardCode],"MAE")=0,"",SUMIFS(tblDaily[TransfersIn],tblDaily[EntryDate],DATE(2026,7,13),tblDaily[WardCode],"MAE")),"")</f>
        <v/>
      </c>
      <c r="G260" s="13" t="str">
        <f>IFERROR(IF(SUMIFS(tblDaily[TransfersOut],tblDaily[EntryDate],DATE(2026,7,13),tblDaily[WardCode],"MAE")=0,"",SUMIFS(tblDaily[TransfersOut],tblDaily[EntryDate],DATE(2026,7,13),tblDaily[WardCode],"MAE")),"")</f>
        <v/>
      </c>
      <c r="H260" s="13" t="str">
        <f>IFERROR(IF(SUMIFS(tblDaily[Remaining],tblDaily[EntryDate],DATE(2026,7,13),tblDaily[WardCode],"MAE")=0,"",SUMIFS(tblDaily[Remaining],tblDaily[EntryDate],DATE(2026,7,13),tblDaily[WardCode],"MAE")),"")</f>
        <v/>
      </c>
      <c r="I260" s="13" t="str">
        <f>IFERROR(IF(SUMIFS(tblDaily[Admissions],tblDaily[EntryDate],DATE(2026,7,13),tblDaily[WardCode],"FAE")=0,"",SUMIFS(tblDaily[Admissions],tblDaily[EntryDate],DATE(2026,7,13),tblDaily[WardCode],"FAE")),"")</f>
        <v/>
      </c>
      <c r="J260" s="13" t="str">
        <f>IFERROR(IF(SUMIFS(tblDaily[Discharges],tblDaily[EntryDate],DATE(2026,7,13),tblDaily[WardCode],"FAE")=0,"",SUMIFS(tblDaily[Discharges],tblDaily[EntryDate],DATE(2026,7,13),tblDaily[WardCode],"FAE")),"")</f>
        <v/>
      </c>
      <c r="K260" s="13" t="str">
        <f>IFERROR(IF(SUMIFS(tblDaily[Deaths],tblDaily[EntryDate],DATE(2026,7,13),tblDaily[WardCode],"FAE")=0,"",SUMIFS(tblDaily[Deaths],tblDaily[EntryDate],DATE(2026,7,13),tblDaily[WardCode],"FAE")),"")</f>
        <v/>
      </c>
      <c r="L260" s="13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3" t="str">
        <f>IFERROR(IF(SUMIFS(tblDaily[TransfersIn],tblDaily[EntryDate],DATE(2026,7,13),tblDaily[WardCode],"FAE")=0,"",SUMIFS(tblDaily[TransfersIn],tblDaily[EntryDate],DATE(2026,7,13),tblDaily[WardCode],"FAE")),"")</f>
        <v/>
      </c>
      <c r="N260" s="13" t="str">
        <f>IFERROR(IF(SUMIFS(tblDaily[TransfersOut],tblDaily[EntryDate],DATE(2026,7,13),tblDaily[WardCode],"FAE")=0,"",SUMIFS(tblDaily[TransfersOut],tblDaily[EntryDate],DATE(2026,7,13),tblDaily[WardCode],"FAE")),"")</f>
        <v/>
      </c>
      <c r="O260" s="13" t="str">
        <f>IFERROR(IF(SUMIFS(tblDaily[Remaining],tblDaily[EntryDate],DATE(2026,7,13),tblDaily[WardCode],"FAE")=0,"",SUMIFS(tblDaily[Remaining],tblDaily[EntryDate],DATE(2026,7,13),tblDaily[WardCode],"FAE")),"")</f>
        <v/>
      </c>
    </row>
    <row r="261" spans="1:15" x14ac:dyDescent="0.25">
      <c r="A261" s="13">
        <v>14</v>
      </c>
      <c r="B261" s="13" t="str">
        <f>IFERROR(IF(SUMIFS(tblDaily[Admissions],tblDaily[EntryDate],DATE(2026,7,14),tblDaily[WardCode],"MAE")=0,"",SUMIFS(tblDaily[Admissions],tblDaily[EntryDate],DATE(2026,7,14),tblDaily[WardCode],"MAE")),"")</f>
        <v/>
      </c>
      <c r="C261" s="13" t="str">
        <f>IFERROR(IF(SUMIFS(tblDaily[Discharges],tblDaily[EntryDate],DATE(2026,7,14),tblDaily[WardCode],"MAE")=0,"",SUMIFS(tblDaily[Discharges],tblDaily[EntryDate],DATE(2026,7,14),tblDaily[WardCode],"MAE")),"")</f>
        <v/>
      </c>
      <c r="D261" s="13" t="str">
        <f>IFERROR(IF(SUMIFS(tblDaily[Deaths],tblDaily[EntryDate],DATE(2026,7,14),tblDaily[WardCode],"MAE")=0,"",SUMIFS(tblDaily[Deaths],tblDaily[EntryDate],DATE(2026,7,14),tblDaily[WardCode],"MAE")),"")</f>
        <v/>
      </c>
      <c r="E261" s="13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3" t="str">
        <f>IFERROR(IF(SUMIFS(tblDaily[TransfersIn],tblDaily[EntryDate],DATE(2026,7,14),tblDaily[WardCode],"MAE")=0,"",SUMIFS(tblDaily[TransfersIn],tblDaily[EntryDate],DATE(2026,7,14),tblDaily[WardCode],"MAE")),"")</f>
        <v/>
      </c>
      <c r="G261" s="13" t="str">
        <f>IFERROR(IF(SUMIFS(tblDaily[TransfersOut],tblDaily[EntryDate],DATE(2026,7,14),tblDaily[WardCode],"MAE")=0,"",SUMIFS(tblDaily[TransfersOut],tblDaily[EntryDate],DATE(2026,7,14),tblDaily[WardCode],"MAE")),"")</f>
        <v/>
      </c>
      <c r="H261" s="13" t="str">
        <f>IFERROR(IF(SUMIFS(tblDaily[Remaining],tblDaily[EntryDate],DATE(2026,7,14),tblDaily[WardCode],"MAE")=0,"",SUMIFS(tblDaily[Remaining],tblDaily[EntryDate],DATE(2026,7,14),tblDaily[WardCode],"MAE")),"")</f>
        <v/>
      </c>
      <c r="I261" s="13" t="str">
        <f>IFERROR(IF(SUMIFS(tblDaily[Admissions],tblDaily[EntryDate],DATE(2026,7,14),tblDaily[WardCode],"FAE")=0,"",SUMIFS(tblDaily[Admissions],tblDaily[EntryDate],DATE(2026,7,14),tblDaily[WardCode],"FAE")),"")</f>
        <v/>
      </c>
      <c r="J261" s="13" t="str">
        <f>IFERROR(IF(SUMIFS(tblDaily[Discharges],tblDaily[EntryDate],DATE(2026,7,14),tblDaily[WardCode],"FAE")=0,"",SUMIFS(tblDaily[Discharges],tblDaily[EntryDate],DATE(2026,7,14),tblDaily[WardCode],"FAE")),"")</f>
        <v/>
      </c>
      <c r="K261" s="13" t="str">
        <f>IFERROR(IF(SUMIFS(tblDaily[Deaths],tblDaily[EntryDate],DATE(2026,7,14),tblDaily[WardCode],"FAE")=0,"",SUMIFS(tblDaily[Deaths],tblDaily[EntryDate],DATE(2026,7,14),tblDaily[WardCode],"FAE")),"")</f>
        <v/>
      </c>
      <c r="L261" s="13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3" t="str">
        <f>IFERROR(IF(SUMIFS(tblDaily[TransfersIn],tblDaily[EntryDate],DATE(2026,7,14),tblDaily[WardCode],"FAE")=0,"",SUMIFS(tblDaily[TransfersIn],tblDaily[EntryDate],DATE(2026,7,14),tblDaily[WardCode],"FAE")),"")</f>
        <v/>
      </c>
      <c r="N261" s="13" t="str">
        <f>IFERROR(IF(SUMIFS(tblDaily[TransfersOut],tblDaily[EntryDate],DATE(2026,7,14),tblDaily[WardCode],"FAE")=0,"",SUMIFS(tblDaily[TransfersOut],tblDaily[EntryDate],DATE(2026,7,14),tblDaily[WardCode],"FAE")),"")</f>
        <v/>
      </c>
      <c r="O261" s="13" t="str">
        <f>IFERROR(IF(SUMIFS(tblDaily[Remaining],tblDaily[EntryDate],DATE(2026,7,14),tblDaily[WardCode],"FAE")=0,"",SUMIFS(tblDaily[Remaining],tblDaily[EntryDate],DATE(2026,7,14),tblDaily[WardCode],"FAE")),"")</f>
        <v/>
      </c>
    </row>
    <row r="262" spans="1:15" x14ac:dyDescent="0.25">
      <c r="A262" s="13">
        <v>15</v>
      </c>
      <c r="B262" s="13" t="str">
        <f>IFERROR(IF(SUMIFS(tblDaily[Admissions],tblDaily[EntryDate],DATE(2026,7,15),tblDaily[WardCode],"MAE")=0,"",SUMIFS(tblDaily[Admissions],tblDaily[EntryDate],DATE(2026,7,15),tblDaily[WardCode],"MAE")),"")</f>
        <v/>
      </c>
      <c r="C262" s="13" t="str">
        <f>IFERROR(IF(SUMIFS(tblDaily[Discharges],tblDaily[EntryDate],DATE(2026,7,15),tblDaily[WardCode],"MAE")=0,"",SUMIFS(tblDaily[Discharges],tblDaily[EntryDate],DATE(2026,7,15),tblDaily[WardCode],"MAE")),"")</f>
        <v/>
      </c>
      <c r="D262" s="13" t="str">
        <f>IFERROR(IF(SUMIFS(tblDaily[Deaths],tblDaily[EntryDate],DATE(2026,7,15),tblDaily[WardCode],"MAE")=0,"",SUMIFS(tblDaily[Deaths],tblDaily[EntryDate],DATE(2026,7,15),tblDaily[WardCode],"MAE")),"")</f>
        <v/>
      </c>
      <c r="E262" s="13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3" t="str">
        <f>IFERROR(IF(SUMIFS(tblDaily[TransfersIn],tblDaily[EntryDate],DATE(2026,7,15),tblDaily[WardCode],"MAE")=0,"",SUMIFS(tblDaily[TransfersIn],tblDaily[EntryDate],DATE(2026,7,15),tblDaily[WardCode],"MAE")),"")</f>
        <v/>
      </c>
      <c r="G262" s="13" t="str">
        <f>IFERROR(IF(SUMIFS(tblDaily[TransfersOut],tblDaily[EntryDate],DATE(2026,7,15),tblDaily[WardCode],"MAE")=0,"",SUMIFS(tblDaily[TransfersOut],tblDaily[EntryDate],DATE(2026,7,15),tblDaily[WardCode],"MAE")),"")</f>
        <v/>
      </c>
      <c r="H262" s="13" t="str">
        <f>IFERROR(IF(SUMIFS(tblDaily[Remaining],tblDaily[EntryDate],DATE(2026,7,15),tblDaily[WardCode],"MAE")=0,"",SUMIFS(tblDaily[Remaining],tblDaily[EntryDate],DATE(2026,7,15),tblDaily[WardCode],"MAE")),"")</f>
        <v/>
      </c>
      <c r="I262" s="13" t="str">
        <f>IFERROR(IF(SUMIFS(tblDaily[Admissions],tblDaily[EntryDate],DATE(2026,7,15),tblDaily[WardCode],"FAE")=0,"",SUMIFS(tblDaily[Admissions],tblDaily[EntryDate],DATE(2026,7,15),tblDaily[WardCode],"FAE")),"")</f>
        <v/>
      </c>
      <c r="J262" s="13" t="str">
        <f>IFERROR(IF(SUMIFS(tblDaily[Discharges],tblDaily[EntryDate],DATE(2026,7,15),tblDaily[WardCode],"FAE")=0,"",SUMIFS(tblDaily[Discharges],tblDaily[EntryDate],DATE(2026,7,15),tblDaily[WardCode],"FAE")),"")</f>
        <v/>
      </c>
      <c r="K262" s="13" t="str">
        <f>IFERROR(IF(SUMIFS(tblDaily[Deaths],tblDaily[EntryDate],DATE(2026,7,15),tblDaily[WardCode],"FAE")=0,"",SUMIFS(tblDaily[Deaths],tblDaily[EntryDate],DATE(2026,7,15),tblDaily[WardCode],"FAE")),"")</f>
        <v/>
      </c>
      <c r="L262" s="13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3" t="str">
        <f>IFERROR(IF(SUMIFS(tblDaily[TransfersIn],tblDaily[EntryDate],DATE(2026,7,15),tblDaily[WardCode],"FAE")=0,"",SUMIFS(tblDaily[TransfersIn],tblDaily[EntryDate],DATE(2026,7,15),tblDaily[WardCode],"FAE")),"")</f>
        <v/>
      </c>
      <c r="N262" s="13" t="str">
        <f>IFERROR(IF(SUMIFS(tblDaily[TransfersOut],tblDaily[EntryDate],DATE(2026,7,15),tblDaily[WardCode],"FAE")=0,"",SUMIFS(tblDaily[TransfersOut],tblDaily[EntryDate],DATE(2026,7,15),tblDaily[WardCode],"FAE")),"")</f>
        <v/>
      </c>
      <c r="O262" s="13" t="str">
        <f>IFERROR(IF(SUMIFS(tblDaily[Remaining],tblDaily[EntryDate],DATE(2026,7,15),tblDaily[WardCode],"FAE")=0,"",SUMIFS(tblDaily[Remaining],tblDaily[EntryDate],DATE(2026,7,15),tblDaily[WardCode],"FAE")),"")</f>
        <v/>
      </c>
    </row>
    <row r="263" spans="1:15" x14ac:dyDescent="0.25">
      <c r="A263" s="13">
        <v>16</v>
      </c>
      <c r="B263" s="13" t="str">
        <f>IFERROR(IF(SUMIFS(tblDaily[Admissions],tblDaily[EntryDate],DATE(2026,7,16),tblDaily[WardCode],"MAE")=0,"",SUMIFS(tblDaily[Admissions],tblDaily[EntryDate],DATE(2026,7,16),tblDaily[WardCode],"MAE")),"")</f>
        <v/>
      </c>
      <c r="C263" s="13" t="str">
        <f>IFERROR(IF(SUMIFS(tblDaily[Discharges],tblDaily[EntryDate],DATE(2026,7,16),tblDaily[WardCode],"MAE")=0,"",SUMIFS(tblDaily[Discharges],tblDaily[EntryDate],DATE(2026,7,16),tblDaily[WardCode],"MAE")),"")</f>
        <v/>
      </c>
      <c r="D263" s="13" t="str">
        <f>IFERROR(IF(SUMIFS(tblDaily[Deaths],tblDaily[EntryDate],DATE(2026,7,16),tblDaily[WardCode],"MAE")=0,"",SUMIFS(tblDaily[Deaths],tblDaily[EntryDate],DATE(2026,7,16),tblDaily[WardCode],"MAE")),"")</f>
        <v/>
      </c>
      <c r="E263" s="13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3" t="str">
        <f>IFERROR(IF(SUMIFS(tblDaily[TransfersIn],tblDaily[EntryDate],DATE(2026,7,16),tblDaily[WardCode],"MAE")=0,"",SUMIFS(tblDaily[TransfersIn],tblDaily[EntryDate],DATE(2026,7,16),tblDaily[WardCode],"MAE")),"")</f>
        <v/>
      </c>
      <c r="G263" s="13" t="str">
        <f>IFERROR(IF(SUMIFS(tblDaily[TransfersOut],tblDaily[EntryDate],DATE(2026,7,16),tblDaily[WardCode],"MAE")=0,"",SUMIFS(tblDaily[TransfersOut],tblDaily[EntryDate],DATE(2026,7,16),tblDaily[WardCode],"MAE")),"")</f>
        <v/>
      </c>
      <c r="H263" s="13" t="str">
        <f>IFERROR(IF(SUMIFS(tblDaily[Remaining],tblDaily[EntryDate],DATE(2026,7,16),tblDaily[WardCode],"MAE")=0,"",SUMIFS(tblDaily[Remaining],tblDaily[EntryDate],DATE(2026,7,16),tblDaily[WardCode],"MAE")),"")</f>
        <v/>
      </c>
      <c r="I263" s="13" t="str">
        <f>IFERROR(IF(SUMIFS(tblDaily[Admissions],tblDaily[EntryDate],DATE(2026,7,16),tblDaily[WardCode],"FAE")=0,"",SUMIFS(tblDaily[Admissions],tblDaily[EntryDate],DATE(2026,7,16),tblDaily[WardCode],"FAE")),"")</f>
        <v/>
      </c>
      <c r="J263" s="13" t="str">
        <f>IFERROR(IF(SUMIFS(tblDaily[Discharges],tblDaily[EntryDate],DATE(2026,7,16),tblDaily[WardCode],"FAE")=0,"",SUMIFS(tblDaily[Discharges],tblDaily[EntryDate],DATE(2026,7,16),tblDaily[WardCode],"FAE")),"")</f>
        <v/>
      </c>
      <c r="K263" s="13" t="str">
        <f>IFERROR(IF(SUMIFS(tblDaily[Deaths],tblDaily[EntryDate],DATE(2026,7,16),tblDaily[WardCode],"FAE")=0,"",SUMIFS(tblDaily[Deaths],tblDaily[EntryDate],DATE(2026,7,16),tblDaily[WardCode],"FAE")),"")</f>
        <v/>
      </c>
      <c r="L263" s="13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3" t="str">
        <f>IFERROR(IF(SUMIFS(tblDaily[TransfersIn],tblDaily[EntryDate],DATE(2026,7,16),tblDaily[WardCode],"FAE")=0,"",SUMIFS(tblDaily[TransfersIn],tblDaily[EntryDate],DATE(2026,7,16),tblDaily[WardCode],"FAE")),"")</f>
        <v/>
      </c>
      <c r="N263" s="13" t="str">
        <f>IFERROR(IF(SUMIFS(tblDaily[TransfersOut],tblDaily[EntryDate],DATE(2026,7,16),tblDaily[WardCode],"FAE")=0,"",SUMIFS(tblDaily[TransfersOut],tblDaily[EntryDate],DATE(2026,7,16),tblDaily[WardCode],"FAE")),"")</f>
        <v/>
      </c>
      <c r="O263" s="13" t="str">
        <f>IFERROR(IF(SUMIFS(tblDaily[Remaining],tblDaily[EntryDate],DATE(2026,7,16),tblDaily[WardCode],"FAE")=0,"",SUMIFS(tblDaily[Remaining],tblDaily[EntryDate],DATE(2026,7,16),tblDaily[WardCode],"FAE")),"")</f>
        <v/>
      </c>
    </row>
    <row r="264" spans="1:15" x14ac:dyDescent="0.25">
      <c r="A264" s="13">
        <v>17</v>
      </c>
      <c r="B264" s="13" t="str">
        <f>IFERROR(IF(SUMIFS(tblDaily[Admissions],tblDaily[EntryDate],DATE(2026,7,17),tblDaily[WardCode],"MAE")=0,"",SUMIFS(tblDaily[Admissions],tblDaily[EntryDate],DATE(2026,7,17),tblDaily[WardCode],"MAE")),"")</f>
        <v/>
      </c>
      <c r="C264" s="13" t="str">
        <f>IFERROR(IF(SUMIFS(tblDaily[Discharges],tblDaily[EntryDate],DATE(2026,7,17),tblDaily[WardCode],"MAE")=0,"",SUMIFS(tblDaily[Discharges],tblDaily[EntryDate],DATE(2026,7,17),tblDaily[WardCode],"MAE")),"")</f>
        <v/>
      </c>
      <c r="D264" s="13" t="str">
        <f>IFERROR(IF(SUMIFS(tblDaily[Deaths],tblDaily[EntryDate],DATE(2026,7,17),tblDaily[WardCode],"MAE")=0,"",SUMIFS(tblDaily[Deaths],tblDaily[EntryDate],DATE(2026,7,17),tblDaily[WardCode],"MAE")),"")</f>
        <v/>
      </c>
      <c r="E264" s="13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3" t="str">
        <f>IFERROR(IF(SUMIFS(tblDaily[TransfersIn],tblDaily[EntryDate],DATE(2026,7,17),tblDaily[WardCode],"MAE")=0,"",SUMIFS(tblDaily[TransfersIn],tblDaily[EntryDate],DATE(2026,7,17),tblDaily[WardCode],"MAE")),"")</f>
        <v/>
      </c>
      <c r="G264" s="13" t="str">
        <f>IFERROR(IF(SUMIFS(tblDaily[TransfersOut],tblDaily[EntryDate],DATE(2026,7,17),tblDaily[WardCode],"MAE")=0,"",SUMIFS(tblDaily[TransfersOut],tblDaily[EntryDate],DATE(2026,7,17),tblDaily[WardCode],"MAE")),"")</f>
        <v/>
      </c>
      <c r="H264" s="13" t="str">
        <f>IFERROR(IF(SUMIFS(tblDaily[Remaining],tblDaily[EntryDate],DATE(2026,7,17),tblDaily[WardCode],"MAE")=0,"",SUMIFS(tblDaily[Remaining],tblDaily[EntryDate],DATE(2026,7,17),tblDaily[WardCode],"MAE")),"")</f>
        <v/>
      </c>
      <c r="I264" s="13" t="str">
        <f>IFERROR(IF(SUMIFS(tblDaily[Admissions],tblDaily[EntryDate],DATE(2026,7,17),tblDaily[WardCode],"FAE")=0,"",SUMIFS(tblDaily[Admissions],tblDaily[EntryDate],DATE(2026,7,17),tblDaily[WardCode],"FAE")),"")</f>
        <v/>
      </c>
      <c r="J264" s="13" t="str">
        <f>IFERROR(IF(SUMIFS(tblDaily[Discharges],tblDaily[EntryDate],DATE(2026,7,17),tblDaily[WardCode],"FAE")=0,"",SUMIFS(tblDaily[Discharges],tblDaily[EntryDate],DATE(2026,7,17),tblDaily[WardCode],"FAE")),"")</f>
        <v/>
      </c>
      <c r="K264" s="13" t="str">
        <f>IFERROR(IF(SUMIFS(tblDaily[Deaths],tblDaily[EntryDate],DATE(2026,7,17),tblDaily[WardCode],"FAE")=0,"",SUMIFS(tblDaily[Deaths],tblDaily[EntryDate],DATE(2026,7,17),tblDaily[WardCode],"FAE")),"")</f>
        <v/>
      </c>
      <c r="L264" s="13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3" t="str">
        <f>IFERROR(IF(SUMIFS(tblDaily[TransfersIn],tblDaily[EntryDate],DATE(2026,7,17),tblDaily[WardCode],"FAE")=0,"",SUMIFS(tblDaily[TransfersIn],tblDaily[EntryDate],DATE(2026,7,17),tblDaily[WardCode],"FAE")),"")</f>
        <v/>
      </c>
      <c r="N264" s="13" t="str">
        <f>IFERROR(IF(SUMIFS(tblDaily[TransfersOut],tblDaily[EntryDate],DATE(2026,7,17),tblDaily[WardCode],"FAE")=0,"",SUMIFS(tblDaily[TransfersOut],tblDaily[EntryDate],DATE(2026,7,17),tblDaily[WardCode],"FAE")),"")</f>
        <v/>
      </c>
      <c r="O264" s="13" t="str">
        <f>IFERROR(IF(SUMIFS(tblDaily[Remaining],tblDaily[EntryDate],DATE(2026,7,17),tblDaily[WardCode],"FAE")=0,"",SUMIFS(tblDaily[Remaining],tblDaily[EntryDate],DATE(2026,7,17),tblDaily[WardCode],"FAE")),"")</f>
        <v/>
      </c>
    </row>
    <row r="265" spans="1:15" x14ac:dyDescent="0.25">
      <c r="A265" s="13">
        <v>18</v>
      </c>
      <c r="B265" s="13" t="str">
        <f>IFERROR(IF(SUMIFS(tblDaily[Admissions],tblDaily[EntryDate],DATE(2026,7,18),tblDaily[WardCode],"MAE")=0,"",SUMIFS(tblDaily[Admissions],tblDaily[EntryDate],DATE(2026,7,18),tblDaily[WardCode],"MAE")),"")</f>
        <v/>
      </c>
      <c r="C265" s="13" t="str">
        <f>IFERROR(IF(SUMIFS(tblDaily[Discharges],tblDaily[EntryDate],DATE(2026,7,18),tblDaily[WardCode],"MAE")=0,"",SUMIFS(tblDaily[Discharges],tblDaily[EntryDate],DATE(2026,7,18),tblDaily[WardCode],"MAE")),"")</f>
        <v/>
      </c>
      <c r="D265" s="13" t="str">
        <f>IFERROR(IF(SUMIFS(tblDaily[Deaths],tblDaily[EntryDate],DATE(2026,7,18),tblDaily[WardCode],"MAE")=0,"",SUMIFS(tblDaily[Deaths],tblDaily[EntryDate],DATE(2026,7,18),tblDaily[WardCode],"MAE")),"")</f>
        <v/>
      </c>
      <c r="E265" s="13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3" t="str">
        <f>IFERROR(IF(SUMIFS(tblDaily[TransfersIn],tblDaily[EntryDate],DATE(2026,7,18),tblDaily[WardCode],"MAE")=0,"",SUMIFS(tblDaily[TransfersIn],tblDaily[EntryDate],DATE(2026,7,18),tblDaily[WardCode],"MAE")),"")</f>
        <v/>
      </c>
      <c r="G265" s="13" t="str">
        <f>IFERROR(IF(SUMIFS(tblDaily[TransfersOut],tblDaily[EntryDate],DATE(2026,7,18),tblDaily[WardCode],"MAE")=0,"",SUMIFS(tblDaily[TransfersOut],tblDaily[EntryDate],DATE(2026,7,18),tblDaily[WardCode],"MAE")),"")</f>
        <v/>
      </c>
      <c r="H265" s="13" t="str">
        <f>IFERROR(IF(SUMIFS(tblDaily[Remaining],tblDaily[EntryDate],DATE(2026,7,18),tblDaily[WardCode],"MAE")=0,"",SUMIFS(tblDaily[Remaining],tblDaily[EntryDate],DATE(2026,7,18),tblDaily[WardCode],"MAE")),"")</f>
        <v/>
      </c>
      <c r="I265" s="13" t="str">
        <f>IFERROR(IF(SUMIFS(tblDaily[Admissions],tblDaily[EntryDate],DATE(2026,7,18),tblDaily[WardCode],"FAE")=0,"",SUMIFS(tblDaily[Admissions],tblDaily[EntryDate],DATE(2026,7,18),tblDaily[WardCode],"FAE")),"")</f>
        <v/>
      </c>
      <c r="J265" s="13" t="str">
        <f>IFERROR(IF(SUMIFS(tblDaily[Discharges],tblDaily[EntryDate],DATE(2026,7,18),tblDaily[WardCode],"FAE")=0,"",SUMIFS(tblDaily[Discharges],tblDaily[EntryDate],DATE(2026,7,18),tblDaily[WardCode],"FAE")),"")</f>
        <v/>
      </c>
      <c r="K265" s="13" t="str">
        <f>IFERROR(IF(SUMIFS(tblDaily[Deaths],tblDaily[EntryDate],DATE(2026,7,18),tblDaily[WardCode],"FAE")=0,"",SUMIFS(tblDaily[Deaths],tblDaily[EntryDate],DATE(2026,7,18),tblDaily[WardCode],"FAE")),"")</f>
        <v/>
      </c>
      <c r="L265" s="13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3" t="str">
        <f>IFERROR(IF(SUMIFS(tblDaily[TransfersIn],tblDaily[EntryDate],DATE(2026,7,18),tblDaily[WardCode],"FAE")=0,"",SUMIFS(tblDaily[TransfersIn],tblDaily[EntryDate],DATE(2026,7,18),tblDaily[WardCode],"FAE")),"")</f>
        <v/>
      </c>
      <c r="N265" s="13" t="str">
        <f>IFERROR(IF(SUMIFS(tblDaily[TransfersOut],tblDaily[EntryDate],DATE(2026,7,18),tblDaily[WardCode],"FAE")=0,"",SUMIFS(tblDaily[TransfersOut],tblDaily[EntryDate],DATE(2026,7,18),tblDaily[WardCode],"FAE")),"")</f>
        <v/>
      </c>
      <c r="O265" s="13" t="str">
        <f>IFERROR(IF(SUMIFS(tblDaily[Remaining],tblDaily[EntryDate],DATE(2026,7,18),tblDaily[WardCode],"FAE")=0,"",SUMIFS(tblDaily[Remaining],tblDaily[EntryDate],DATE(2026,7,18),tblDaily[WardCode],"FAE")),"")</f>
        <v/>
      </c>
    </row>
    <row r="266" spans="1:15" x14ac:dyDescent="0.25">
      <c r="A266" s="13">
        <v>19</v>
      </c>
      <c r="B266" s="13" t="str">
        <f>IFERROR(IF(SUMIFS(tblDaily[Admissions],tblDaily[EntryDate],DATE(2026,7,19),tblDaily[WardCode],"MAE")=0,"",SUMIFS(tblDaily[Admissions],tblDaily[EntryDate],DATE(2026,7,19),tblDaily[WardCode],"MAE")),"")</f>
        <v/>
      </c>
      <c r="C266" s="13" t="str">
        <f>IFERROR(IF(SUMIFS(tblDaily[Discharges],tblDaily[EntryDate],DATE(2026,7,19),tblDaily[WardCode],"MAE")=0,"",SUMIFS(tblDaily[Discharges],tblDaily[EntryDate],DATE(2026,7,19),tblDaily[WardCode],"MAE")),"")</f>
        <v/>
      </c>
      <c r="D266" s="13" t="str">
        <f>IFERROR(IF(SUMIFS(tblDaily[Deaths],tblDaily[EntryDate],DATE(2026,7,19),tblDaily[WardCode],"MAE")=0,"",SUMIFS(tblDaily[Deaths],tblDaily[EntryDate],DATE(2026,7,19),tblDaily[WardCode],"MAE")),"")</f>
        <v/>
      </c>
      <c r="E266" s="13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3" t="str">
        <f>IFERROR(IF(SUMIFS(tblDaily[TransfersIn],tblDaily[EntryDate],DATE(2026,7,19),tblDaily[WardCode],"MAE")=0,"",SUMIFS(tblDaily[TransfersIn],tblDaily[EntryDate],DATE(2026,7,19),tblDaily[WardCode],"MAE")),"")</f>
        <v/>
      </c>
      <c r="G266" s="13" t="str">
        <f>IFERROR(IF(SUMIFS(tblDaily[TransfersOut],tblDaily[EntryDate],DATE(2026,7,19),tblDaily[WardCode],"MAE")=0,"",SUMIFS(tblDaily[TransfersOut],tblDaily[EntryDate],DATE(2026,7,19),tblDaily[WardCode],"MAE")),"")</f>
        <v/>
      </c>
      <c r="H266" s="13" t="str">
        <f>IFERROR(IF(SUMIFS(tblDaily[Remaining],tblDaily[EntryDate],DATE(2026,7,19),tblDaily[WardCode],"MAE")=0,"",SUMIFS(tblDaily[Remaining],tblDaily[EntryDate],DATE(2026,7,19),tblDaily[WardCode],"MAE")),"")</f>
        <v/>
      </c>
      <c r="I266" s="13" t="str">
        <f>IFERROR(IF(SUMIFS(tblDaily[Admissions],tblDaily[EntryDate],DATE(2026,7,19),tblDaily[WardCode],"FAE")=0,"",SUMIFS(tblDaily[Admissions],tblDaily[EntryDate],DATE(2026,7,19),tblDaily[WardCode],"FAE")),"")</f>
        <v/>
      </c>
      <c r="J266" s="13" t="str">
        <f>IFERROR(IF(SUMIFS(tblDaily[Discharges],tblDaily[EntryDate],DATE(2026,7,19),tblDaily[WardCode],"FAE")=0,"",SUMIFS(tblDaily[Discharges],tblDaily[EntryDate],DATE(2026,7,19),tblDaily[WardCode],"FAE")),"")</f>
        <v/>
      </c>
      <c r="K266" s="13" t="str">
        <f>IFERROR(IF(SUMIFS(tblDaily[Deaths],tblDaily[EntryDate],DATE(2026,7,19),tblDaily[WardCode],"FAE")=0,"",SUMIFS(tblDaily[Deaths],tblDaily[EntryDate],DATE(2026,7,19),tblDaily[WardCode],"FAE")),"")</f>
        <v/>
      </c>
      <c r="L266" s="13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3" t="str">
        <f>IFERROR(IF(SUMIFS(tblDaily[TransfersIn],tblDaily[EntryDate],DATE(2026,7,19),tblDaily[WardCode],"FAE")=0,"",SUMIFS(tblDaily[TransfersIn],tblDaily[EntryDate],DATE(2026,7,19),tblDaily[WardCode],"FAE")),"")</f>
        <v/>
      </c>
      <c r="N266" s="13" t="str">
        <f>IFERROR(IF(SUMIFS(tblDaily[TransfersOut],tblDaily[EntryDate],DATE(2026,7,19),tblDaily[WardCode],"FAE")=0,"",SUMIFS(tblDaily[TransfersOut],tblDaily[EntryDate],DATE(2026,7,19),tblDaily[WardCode],"FAE")),"")</f>
        <v/>
      </c>
      <c r="O266" s="13" t="str">
        <f>IFERROR(IF(SUMIFS(tblDaily[Remaining],tblDaily[EntryDate],DATE(2026,7,19),tblDaily[WardCode],"FAE")=0,"",SUMIFS(tblDaily[Remaining],tblDaily[EntryDate],DATE(2026,7,19),tblDaily[WardCode],"FAE")),"")</f>
        <v/>
      </c>
    </row>
    <row r="267" spans="1:15" x14ac:dyDescent="0.25">
      <c r="A267" s="13">
        <v>20</v>
      </c>
      <c r="B267" s="13" t="str">
        <f>IFERROR(IF(SUMIFS(tblDaily[Admissions],tblDaily[EntryDate],DATE(2026,7,20),tblDaily[WardCode],"MAE")=0,"",SUMIFS(tblDaily[Admissions],tblDaily[EntryDate],DATE(2026,7,20),tblDaily[WardCode],"MAE")),"")</f>
        <v/>
      </c>
      <c r="C267" s="13" t="str">
        <f>IFERROR(IF(SUMIFS(tblDaily[Discharges],tblDaily[EntryDate],DATE(2026,7,20),tblDaily[WardCode],"MAE")=0,"",SUMIFS(tblDaily[Discharges],tblDaily[EntryDate],DATE(2026,7,20),tblDaily[WardCode],"MAE")),"")</f>
        <v/>
      </c>
      <c r="D267" s="13" t="str">
        <f>IFERROR(IF(SUMIFS(tblDaily[Deaths],tblDaily[EntryDate],DATE(2026,7,20),tblDaily[WardCode],"MAE")=0,"",SUMIFS(tblDaily[Deaths],tblDaily[EntryDate],DATE(2026,7,20),tblDaily[WardCode],"MAE")),"")</f>
        <v/>
      </c>
      <c r="E267" s="13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3" t="str">
        <f>IFERROR(IF(SUMIFS(tblDaily[TransfersIn],tblDaily[EntryDate],DATE(2026,7,20),tblDaily[WardCode],"MAE")=0,"",SUMIFS(tblDaily[TransfersIn],tblDaily[EntryDate],DATE(2026,7,20),tblDaily[WardCode],"MAE")),"")</f>
        <v/>
      </c>
      <c r="G267" s="13" t="str">
        <f>IFERROR(IF(SUMIFS(tblDaily[TransfersOut],tblDaily[EntryDate],DATE(2026,7,20),tblDaily[WardCode],"MAE")=0,"",SUMIFS(tblDaily[TransfersOut],tblDaily[EntryDate],DATE(2026,7,20),tblDaily[WardCode],"MAE")),"")</f>
        <v/>
      </c>
      <c r="H267" s="13" t="str">
        <f>IFERROR(IF(SUMIFS(tblDaily[Remaining],tblDaily[EntryDate],DATE(2026,7,20),tblDaily[WardCode],"MAE")=0,"",SUMIFS(tblDaily[Remaining],tblDaily[EntryDate],DATE(2026,7,20),tblDaily[WardCode],"MAE")),"")</f>
        <v/>
      </c>
      <c r="I267" s="13" t="str">
        <f>IFERROR(IF(SUMIFS(tblDaily[Admissions],tblDaily[EntryDate],DATE(2026,7,20),tblDaily[WardCode],"FAE")=0,"",SUMIFS(tblDaily[Admissions],tblDaily[EntryDate],DATE(2026,7,20),tblDaily[WardCode],"FAE")),"")</f>
        <v/>
      </c>
      <c r="J267" s="13" t="str">
        <f>IFERROR(IF(SUMIFS(tblDaily[Discharges],tblDaily[EntryDate],DATE(2026,7,20),tblDaily[WardCode],"FAE")=0,"",SUMIFS(tblDaily[Discharges],tblDaily[EntryDate],DATE(2026,7,20),tblDaily[WardCode],"FAE")),"")</f>
        <v/>
      </c>
      <c r="K267" s="13" t="str">
        <f>IFERROR(IF(SUMIFS(tblDaily[Deaths],tblDaily[EntryDate],DATE(2026,7,20),tblDaily[WardCode],"FAE")=0,"",SUMIFS(tblDaily[Deaths],tblDaily[EntryDate],DATE(2026,7,20),tblDaily[WardCode],"FAE")),"")</f>
        <v/>
      </c>
      <c r="L267" s="13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3" t="str">
        <f>IFERROR(IF(SUMIFS(tblDaily[TransfersIn],tblDaily[EntryDate],DATE(2026,7,20),tblDaily[WardCode],"FAE")=0,"",SUMIFS(tblDaily[TransfersIn],tblDaily[EntryDate],DATE(2026,7,20),tblDaily[WardCode],"FAE")),"")</f>
        <v/>
      </c>
      <c r="N267" s="13" t="str">
        <f>IFERROR(IF(SUMIFS(tblDaily[TransfersOut],tblDaily[EntryDate],DATE(2026,7,20),tblDaily[WardCode],"FAE")=0,"",SUMIFS(tblDaily[TransfersOut],tblDaily[EntryDate],DATE(2026,7,20),tblDaily[WardCode],"FAE")),"")</f>
        <v/>
      </c>
      <c r="O267" s="13" t="str">
        <f>IFERROR(IF(SUMIFS(tblDaily[Remaining],tblDaily[EntryDate],DATE(2026,7,20),tblDaily[WardCode],"FAE")=0,"",SUMIFS(tblDaily[Remaining],tblDaily[EntryDate],DATE(2026,7,20),tblDaily[WardCode],"FAE")),"")</f>
        <v/>
      </c>
    </row>
    <row r="268" spans="1:15" x14ac:dyDescent="0.25">
      <c r="A268" s="13">
        <v>21</v>
      </c>
      <c r="B268" s="13" t="str">
        <f>IFERROR(IF(SUMIFS(tblDaily[Admissions],tblDaily[EntryDate],DATE(2026,7,21),tblDaily[WardCode],"MAE")=0,"",SUMIFS(tblDaily[Admissions],tblDaily[EntryDate],DATE(2026,7,21),tblDaily[WardCode],"MAE")),"")</f>
        <v/>
      </c>
      <c r="C268" s="13" t="str">
        <f>IFERROR(IF(SUMIFS(tblDaily[Discharges],tblDaily[EntryDate],DATE(2026,7,21),tblDaily[WardCode],"MAE")=0,"",SUMIFS(tblDaily[Discharges],tblDaily[EntryDate],DATE(2026,7,21),tblDaily[WardCode],"MAE")),"")</f>
        <v/>
      </c>
      <c r="D268" s="13" t="str">
        <f>IFERROR(IF(SUMIFS(tblDaily[Deaths],tblDaily[EntryDate],DATE(2026,7,21),tblDaily[WardCode],"MAE")=0,"",SUMIFS(tblDaily[Deaths],tblDaily[EntryDate],DATE(2026,7,21),tblDaily[WardCode],"MAE")),"")</f>
        <v/>
      </c>
      <c r="E268" s="13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3" t="str">
        <f>IFERROR(IF(SUMIFS(tblDaily[TransfersIn],tblDaily[EntryDate],DATE(2026,7,21),tblDaily[WardCode],"MAE")=0,"",SUMIFS(tblDaily[TransfersIn],tblDaily[EntryDate],DATE(2026,7,21),tblDaily[WardCode],"MAE")),"")</f>
        <v/>
      </c>
      <c r="G268" s="13" t="str">
        <f>IFERROR(IF(SUMIFS(tblDaily[TransfersOut],tblDaily[EntryDate],DATE(2026,7,21),tblDaily[WardCode],"MAE")=0,"",SUMIFS(tblDaily[TransfersOut],tblDaily[EntryDate],DATE(2026,7,21),tblDaily[WardCode],"MAE")),"")</f>
        <v/>
      </c>
      <c r="H268" s="13" t="str">
        <f>IFERROR(IF(SUMIFS(tblDaily[Remaining],tblDaily[EntryDate],DATE(2026,7,21),tblDaily[WardCode],"MAE")=0,"",SUMIFS(tblDaily[Remaining],tblDaily[EntryDate],DATE(2026,7,21),tblDaily[WardCode],"MAE")),"")</f>
        <v/>
      </c>
      <c r="I268" s="13" t="str">
        <f>IFERROR(IF(SUMIFS(tblDaily[Admissions],tblDaily[EntryDate],DATE(2026,7,21),tblDaily[WardCode],"FAE")=0,"",SUMIFS(tblDaily[Admissions],tblDaily[EntryDate],DATE(2026,7,21),tblDaily[WardCode],"FAE")),"")</f>
        <v/>
      </c>
      <c r="J268" s="13" t="str">
        <f>IFERROR(IF(SUMIFS(tblDaily[Discharges],tblDaily[EntryDate],DATE(2026,7,21),tblDaily[WardCode],"FAE")=0,"",SUMIFS(tblDaily[Discharges],tblDaily[EntryDate],DATE(2026,7,21),tblDaily[WardCode],"FAE")),"")</f>
        <v/>
      </c>
      <c r="K268" s="13" t="str">
        <f>IFERROR(IF(SUMIFS(tblDaily[Deaths],tblDaily[EntryDate],DATE(2026,7,21),tblDaily[WardCode],"FAE")=0,"",SUMIFS(tblDaily[Deaths],tblDaily[EntryDate],DATE(2026,7,21),tblDaily[WardCode],"FAE")),"")</f>
        <v/>
      </c>
      <c r="L268" s="13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3" t="str">
        <f>IFERROR(IF(SUMIFS(tblDaily[TransfersIn],tblDaily[EntryDate],DATE(2026,7,21),tblDaily[WardCode],"FAE")=0,"",SUMIFS(tblDaily[TransfersIn],tblDaily[EntryDate],DATE(2026,7,21),tblDaily[WardCode],"FAE")),"")</f>
        <v/>
      </c>
      <c r="N268" s="13" t="str">
        <f>IFERROR(IF(SUMIFS(tblDaily[TransfersOut],tblDaily[EntryDate],DATE(2026,7,21),tblDaily[WardCode],"FAE")=0,"",SUMIFS(tblDaily[TransfersOut],tblDaily[EntryDate],DATE(2026,7,21),tblDaily[WardCode],"FAE")),"")</f>
        <v/>
      </c>
      <c r="O268" s="13" t="str">
        <f>IFERROR(IF(SUMIFS(tblDaily[Remaining],tblDaily[EntryDate],DATE(2026,7,21),tblDaily[WardCode],"FAE")=0,"",SUMIFS(tblDaily[Remaining],tblDaily[EntryDate],DATE(2026,7,21),tblDaily[WardCode],"FAE")),"")</f>
        <v/>
      </c>
    </row>
    <row r="269" spans="1:15" x14ac:dyDescent="0.25">
      <c r="A269" s="13">
        <v>22</v>
      </c>
      <c r="B269" s="13" t="str">
        <f>IFERROR(IF(SUMIFS(tblDaily[Admissions],tblDaily[EntryDate],DATE(2026,7,22),tblDaily[WardCode],"MAE")=0,"",SUMIFS(tblDaily[Admissions],tblDaily[EntryDate],DATE(2026,7,22),tblDaily[WardCode],"MAE")),"")</f>
        <v/>
      </c>
      <c r="C269" s="13" t="str">
        <f>IFERROR(IF(SUMIFS(tblDaily[Discharges],tblDaily[EntryDate],DATE(2026,7,22),tblDaily[WardCode],"MAE")=0,"",SUMIFS(tblDaily[Discharges],tblDaily[EntryDate],DATE(2026,7,22),tblDaily[WardCode],"MAE")),"")</f>
        <v/>
      </c>
      <c r="D269" s="13" t="str">
        <f>IFERROR(IF(SUMIFS(tblDaily[Deaths],tblDaily[EntryDate],DATE(2026,7,22),tblDaily[WardCode],"MAE")=0,"",SUMIFS(tblDaily[Deaths],tblDaily[EntryDate],DATE(2026,7,22),tblDaily[WardCode],"MAE")),"")</f>
        <v/>
      </c>
      <c r="E269" s="13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3" t="str">
        <f>IFERROR(IF(SUMIFS(tblDaily[TransfersIn],tblDaily[EntryDate],DATE(2026,7,22),tblDaily[WardCode],"MAE")=0,"",SUMIFS(tblDaily[TransfersIn],tblDaily[EntryDate],DATE(2026,7,22),tblDaily[WardCode],"MAE")),"")</f>
        <v/>
      </c>
      <c r="G269" s="13" t="str">
        <f>IFERROR(IF(SUMIFS(tblDaily[TransfersOut],tblDaily[EntryDate],DATE(2026,7,22),tblDaily[WardCode],"MAE")=0,"",SUMIFS(tblDaily[TransfersOut],tblDaily[EntryDate],DATE(2026,7,22),tblDaily[WardCode],"MAE")),"")</f>
        <v/>
      </c>
      <c r="H269" s="13" t="str">
        <f>IFERROR(IF(SUMIFS(tblDaily[Remaining],tblDaily[EntryDate],DATE(2026,7,22),tblDaily[WardCode],"MAE")=0,"",SUMIFS(tblDaily[Remaining],tblDaily[EntryDate],DATE(2026,7,22),tblDaily[WardCode],"MAE")),"")</f>
        <v/>
      </c>
      <c r="I269" s="13" t="str">
        <f>IFERROR(IF(SUMIFS(tblDaily[Admissions],tblDaily[EntryDate],DATE(2026,7,22),tblDaily[WardCode],"FAE")=0,"",SUMIFS(tblDaily[Admissions],tblDaily[EntryDate],DATE(2026,7,22),tblDaily[WardCode],"FAE")),"")</f>
        <v/>
      </c>
      <c r="J269" s="13" t="str">
        <f>IFERROR(IF(SUMIFS(tblDaily[Discharges],tblDaily[EntryDate],DATE(2026,7,22),tblDaily[WardCode],"FAE")=0,"",SUMIFS(tblDaily[Discharges],tblDaily[EntryDate],DATE(2026,7,22),tblDaily[WardCode],"FAE")),"")</f>
        <v/>
      </c>
      <c r="K269" s="13" t="str">
        <f>IFERROR(IF(SUMIFS(tblDaily[Deaths],tblDaily[EntryDate],DATE(2026,7,22),tblDaily[WardCode],"FAE")=0,"",SUMIFS(tblDaily[Deaths],tblDaily[EntryDate],DATE(2026,7,22),tblDaily[WardCode],"FAE")),"")</f>
        <v/>
      </c>
      <c r="L269" s="13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3" t="str">
        <f>IFERROR(IF(SUMIFS(tblDaily[TransfersIn],tblDaily[EntryDate],DATE(2026,7,22),tblDaily[WardCode],"FAE")=0,"",SUMIFS(tblDaily[TransfersIn],tblDaily[EntryDate],DATE(2026,7,22),tblDaily[WardCode],"FAE")),"")</f>
        <v/>
      </c>
      <c r="N269" s="13" t="str">
        <f>IFERROR(IF(SUMIFS(tblDaily[TransfersOut],tblDaily[EntryDate],DATE(2026,7,22),tblDaily[WardCode],"FAE")=0,"",SUMIFS(tblDaily[TransfersOut],tblDaily[EntryDate],DATE(2026,7,22),tblDaily[WardCode],"FAE")),"")</f>
        <v/>
      </c>
      <c r="O269" s="13" t="str">
        <f>IFERROR(IF(SUMIFS(tblDaily[Remaining],tblDaily[EntryDate],DATE(2026,7,22),tblDaily[WardCode],"FAE")=0,"",SUMIFS(tblDaily[Remaining],tblDaily[EntryDate],DATE(2026,7,22),tblDaily[WardCode],"FAE")),"")</f>
        <v/>
      </c>
    </row>
    <row r="270" spans="1:15" x14ac:dyDescent="0.25">
      <c r="A270" s="13">
        <v>23</v>
      </c>
      <c r="B270" s="13" t="str">
        <f>IFERROR(IF(SUMIFS(tblDaily[Admissions],tblDaily[EntryDate],DATE(2026,7,23),tblDaily[WardCode],"MAE")=0,"",SUMIFS(tblDaily[Admissions],tblDaily[EntryDate],DATE(2026,7,23),tblDaily[WardCode],"MAE")),"")</f>
        <v/>
      </c>
      <c r="C270" s="13" t="str">
        <f>IFERROR(IF(SUMIFS(tblDaily[Discharges],tblDaily[EntryDate],DATE(2026,7,23),tblDaily[WardCode],"MAE")=0,"",SUMIFS(tblDaily[Discharges],tblDaily[EntryDate],DATE(2026,7,23),tblDaily[WardCode],"MAE")),"")</f>
        <v/>
      </c>
      <c r="D270" s="13" t="str">
        <f>IFERROR(IF(SUMIFS(tblDaily[Deaths],tblDaily[EntryDate],DATE(2026,7,23),tblDaily[WardCode],"MAE")=0,"",SUMIFS(tblDaily[Deaths],tblDaily[EntryDate],DATE(2026,7,23),tblDaily[WardCode],"MAE")),"")</f>
        <v/>
      </c>
      <c r="E270" s="13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3" t="str">
        <f>IFERROR(IF(SUMIFS(tblDaily[TransfersIn],tblDaily[EntryDate],DATE(2026,7,23),tblDaily[WardCode],"MAE")=0,"",SUMIFS(tblDaily[TransfersIn],tblDaily[EntryDate],DATE(2026,7,23),tblDaily[WardCode],"MAE")),"")</f>
        <v/>
      </c>
      <c r="G270" s="13" t="str">
        <f>IFERROR(IF(SUMIFS(tblDaily[TransfersOut],tblDaily[EntryDate],DATE(2026,7,23),tblDaily[WardCode],"MAE")=0,"",SUMIFS(tblDaily[TransfersOut],tblDaily[EntryDate],DATE(2026,7,23),tblDaily[WardCode],"MAE")),"")</f>
        <v/>
      </c>
      <c r="H270" s="13" t="str">
        <f>IFERROR(IF(SUMIFS(tblDaily[Remaining],tblDaily[EntryDate],DATE(2026,7,23),tblDaily[WardCode],"MAE")=0,"",SUMIFS(tblDaily[Remaining],tblDaily[EntryDate],DATE(2026,7,23),tblDaily[WardCode],"MAE")),"")</f>
        <v/>
      </c>
      <c r="I270" s="13" t="str">
        <f>IFERROR(IF(SUMIFS(tblDaily[Admissions],tblDaily[EntryDate],DATE(2026,7,23),tblDaily[WardCode],"FAE")=0,"",SUMIFS(tblDaily[Admissions],tblDaily[EntryDate],DATE(2026,7,23),tblDaily[WardCode],"FAE")),"")</f>
        <v/>
      </c>
      <c r="J270" s="13" t="str">
        <f>IFERROR(IF(SUMIFS(tblDaily[Discharges],tblDaily[EntryDate],DATE(2026,7,23),tblDaily[WardCode],"FAE")=0,"",SUMIFS(tblDaily[Discharges],tblDaily[EntryDate],DATE(2026,7,23),tblDaily[WardCode],"FAE")),"")</f>
        <v/>
      </c>
      <c r="K270" s="13" t="str">
        <f>IFERROR(IF(SUMIFS(tblDaily[Deaths],tblDaily[EntryDate],DATE(2026,7,23),tblDaily[WardCode],"FAE")=0,"",SUMIFS(tblDaily[Deaths],tblDaily[EntryDate],DATE(2026,7,23),tblDaily[WardCode],"FAE")),"")</f>
        <v/>
      </c>
      <c r="L270" s="13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3" t="str">
        <f>IFERROR(IF(SUMIFS(tblDaily[TransfersIn],tblDaily[EntryDate],DATE(2026,7,23),tblDaily[WardCode],"FAE")=0,"",SUMIFS(tblDaily[TransfersIn],tblDaily[EntryDate],DATE(2026,7,23),tblDaily[WardCode],"FAE")),"")</f>
        <v/>
      </c>
      <c r="N270" s="13" t="str">
        <f>IFERROR(IF(SUMIFS(tblDaily[TransfersOut],tblDaily[EntryDate],DATE(2026,7,23),tblDaily[WardCode],"FAE")=0,"",SUMIFS(tblDaily[TransfersOut],tblDaily[EntryDate],DATE(2026,7,23),tblDaily[WardCode],"FAE")),"")</f>
        <v/>
      </c>
      <c r="O270" s="13" t="str">
        <f>IFERROR(IF(SUMIFS(tblDaily[Remaining],tblDaily[EntryDate],DATE(2026,7,23),tblDaily[WardCode],"FAE")=0,"",SUMIFS(tblDaily[Remaining],tblDaily[EntryDate],DATE(2026,7,23),tblDaily[WardCode],"FAE")),"")</f>
        <v/>
      </c>
    </row>
    <row r="271" spans="1:15" x14ac:dyDescent="0.25">
      <c r="A271" s="13">
        <v>24</v>
      </c>
      <c r="B271" s="13" t="str">
        <f>IFERROR(IF(SUMIFS(tblDaily[Admissions],tblDaily[EntryDate],DATE(2026,7,24),tblDaily[WardCode],"MAE")=0,"",SUMIFS(tblDaily[Admissions],tblDaily[EntryDate],DATE(2026,7,24),tblDaily[WardCode],"MAE")),"")</f>
        <v/>
      </c>
      <c r="C271" s="13" t="str">
        <f>IFERROR(IF(SUMIFS(tblDaily[Discharges],tblDaily[EntryDate],DATE(2026,7,24),tblDaily[WardCode],"MAE")=0,"",SUMIFS(tblDaily[Discharges],tblDaily[EntryDate],DATE(2026,7,24),tblDaily[WardCode],"MAE")),"")</f>
        <v/>
      </c>
      <c r="D271" s="13" t="str">
        <f>IFERROR(IF(SUMIFS(tblDaily[Deaths],tblDaily[EntryDate],DATE(2026,7,24),tblDaily[WardCode],"MAE")=0,"",SUMIFS(tblDaily[Deaths],tblDaily[EntryDate],DATE(2026,7,24),tblDaily[WardCode],"MAE")),"")</f>
        <v/>
      </c>
      <c r="E271" s="13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3" t="str">
        <f>IFERROR(IF(SUMIFS(tblDaily[TransfersIn],tblDaily[EntryDate],DATE(2026,7,24),tblDaily[WardCode],"MAE")=0,"",SUMIFS(tblDaily[TransfersIn],tblDaily[EntryDate],DATE(2026,7,24),tblDaily[WardCode],"MAE")),"")</f>
        <v/>
      </c>
      <c r="G271" s="13" t="str">
        <f>IFERROR(IF(SUMIFS(tblDaily[TransfersOut],tblDaily[EntryDate],DATE(2026,7,24),tblDaily[WardCode],"MAE")=0,"",SUMIFS(tblDaily[TransfersOut],tblDaily[EntryDate],DATE(2026,7,24),tblDaily[WardCode],"MAE")),"")</f>
        <v/>
      </c>
      <c r="H271" s="13" t="str">
        <f>IFERROR(IF(SUMIFS(tblDaily[Remaining],tblDaily[EntryDate],DATE(2026,7,24),tblDaily[WardCode],"MAE")=0,"",SUMIFS(tblDaily[Remaining],tblDaily[EntryDate],DATE(2026,7,24),tblDaily[WardCode],"MAE")),"")</f>
        <v/>
      </c>
      <c r="I271" s="13" t="str">
        <f>IFERROR(IF(SUMIFS(tblDaily[Admissions],tblDaily[EntryDate],DATE(2026,7,24),tblDaily[WardCode],"FAE")=0,"",SUMIFS(tblDaily[Admissions],tblDaily[EntryDate],DATE(2026,7,24),tblDaily[WardCode],"FAE")),"")</f>
        <v/>
      </c>
      <c r="J271" s="13" t="str">
        <f>IFERROR(IF(SUMIFS(tblDaily[Discharges],tblDaily[EntryDate],DATE(2026,7,24),tblDaily[WardCode],"FAE")=0,"",SUMIFS(tblDaily[Discharges],tblDaily[EntryDate],DATE(2026,7,24),tblDaily[WardCode],"FAE")),"")</f>
        <v/>
      </c>
      <c r="K271" s="13" t="str">
        <f>IFERROR(IF(SUMIFS(tblDaily[Deaths],tblDaily[EntryDate],DATE(2026,7,24),tblDaily[WardCode],"FAE")=0,"",SUMIFS(tblDaily[Deaths],tblDaily[EntryDate],DATE(2026,7,24),tblDaily[WardCode],"FAE")),"")</f>
        <v/>
      </c>
      <c r="L271" s="13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3" t="str">
        <f>IFERROR(IF(SUMIFS(tblDaily[TransfersIn],tblDaily[EntryDate],DATE(2026,7,24),tblDaily[WardCode],"FAE")=0,"",SUMIFS(tblDaily[TransfersIn],tblDaily[EntryDate],DATE(2026,7,24),tblDaily[WardCode],"FAE")),"")</f>
        <v/>
      </c>
      <c r="N271" s="13" t="str">
        <f>IFERROR(IF(SUMIFS(tblDaily[TransfersOut],tblDaily[EntryDate],DATE(2026,7,24),tblDaily[WardCode],"FAE")=0,"",SUMIFS(tblDaily[TransfersOut],tblDaily[EntryDate],DATE(2026,7,24),tblDaily[WardCode],"FAE")),"")</f>
        <v/>
      </c>
      <c r="O271" s="13" t="str">
        <f>IFERROR(IF(SUMIFS(tblDaily[Remaining],tblDaily[EntryDate],DATE(2026,7,24),tblDaily[WardCode],"FAE")=0,"",SUMIFS(tblDaily[Remaining],tblDaily[EntryDate],DATE(2026,7,24),tblDaily[WardCode],"FAE")),"")</f>
        <v/>
      </c>
    </row>
    <row r="272" spans="1:15" x14ac:dyDescent="0.25">
      <c r="A272" s="13">
        <v>25</v>
      </c>
      <c r="B272" s="13" t="str">
        <f>IFERROR(IF(SUMIFS(tblDaily[Admissions],tblDaily[EntryDate],DATE(2026,7,25),tblDaily[WardCode],"MAE")=0,"",SUMIFS(tblDaily[Admissions],tblDaily[EntryDate],DATE(2026,7,25),tblDaily[WardCode],"MAE")),"")</f>
        <v/>
      </c>
      <c r="C272" s="13" t="str">
        <f>IFERROR(IF(SUMIFS(tblDaily[Discharges],tblDaily[EntryDate],DATE(2026,7,25),tblDaily[WardCode],"MAE")=0,"",SUMIFS(tblDaily[Discharges],tblDaily[EntryDate],DATE(2026,7,25),tblDaily[WardCode],"MAE")),"")</f>
        <v/>
      </c>
      <c r="D272" s="13" t="str">
        <f>IFERROR(IF(SUMIFS(tblDaily[Deaths],tblDaily[EntryDate],DATE(2026,7,25),tblDaily[WardCode],"MAE")=0,"",SUMIFS(tblDaily[Deaths],tblDaily[EntryDate],DATE(2026,7,25),tblDaily[WardCode],"MAE")),"")</f>
        <v/>
      </c>
      <c r="E272" s="13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3" t="str">
        <f>IFERROR(IF(SUMIFS(tblDaily[TransfersIn],tblDaily[EntryDate],DATE(2026,7,25),tblDaily[WardCode],"MAE")=0,"",SUMIFS(tblDaily[TransfersIn],tblDaily[EntryDate],DATE(2026,7,25),tblDaily[WardCode],"MAE")),"")</f>
        <v/>
      </c>
      <c r="G272" s="13" t="str">
        <f>IFERROR(IF(SUMIFS(tblDaily[TransfersOut],tblDaily[EntryDate],DATE(2026,7,25),tblDaily[WardCode],"MAE")=0,"",SUMIFS(tblDaily[TransfersOut],tblDaily[EntryDate],DATE(2026,7,25),tblDaily[WardCode],"MAE")),"")</f>
        <v/>
      </c>
      <c r="H272" s="13" t="str">
        <f>IFERROR(IF(SUMIFS(tblDaily[Remaining],tblDaily[EntryDate],DATE(2026,7,25),tblDaily[WardCode],"MAE")=0,"",SUMIFS(tblDaily[Remaining],tblDaily[EntryDate],DATE(2026,7,25),tblDaily[WardCode],"MAE")),"")</f>
        <v/>
      </c>
      <c r="I272" s="13" t="str">
        <f>IFERROR(IF(SUMIFS(tblDaily[Admissions],tblDaily[EntryDate],DATE(2026,7,25),tblDaily[WardCode],"FAE")=0,"",SUMIFS(tblDaily[Admissions],tblDaily[EntryDate],DATE(2026,7,25),tblDaily[WardCode],"FAE")),"")</f>
        <v/>
      </c>
      <c r="J272" s="13" t="str">
        <f>IFERROR(IF(SUMIFS(tblDaily[Discharges],tblDaily[EntryDate],DATE(2026,7,25),tblDaily[WardCode],"FAE")=0,"",SUMIFS(tblDaily[Discharges],tblDaily[EntryDate],DATE(2026,7,25),tblDaily[WardCode],"FAE")),"")</f>
        <v/>
      </c>
      <c r="K272" s="13" t="str">
        <f>IFERROR(IF(SUMIFS(tblDaily[Deaths],tblDaily[EntryDate],DATE(2026,7,25),tblDaily[WardCode],"FAE")=0,"",SUMIFS(tblDaily[Deaths],tblDaily[EntryDate],DATE(2026,7,25),tblDaily[WardCode],"FAE")),"")</f>
        <v/>
      </c>
      <c r="L272" s="13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3" t="str">
        <f>IFERROR(IF(SUMIFS(tblDaily[TransfersIn],tblDaily[EntryDate],DATE(2026,7,25),tblDaily[WardCode],"FAE")=0,"",SUMIFS(tblDaily[TransfersIn],tblDaily[EntryDate],DATE(2026,7,25),tblDaily[WardCode],"FAE")),"")</f>
        <v/>
      </c>
      <c r="N272" s="13" t="str">
        <f>IFERROR(IF(SUMIFS(tblDaily[TransfersOut],tblDaily[EntryDate],DATE(2026,7,25),tblDaily[WardCode],"FAE")=0,"",SUMIFS(tblDaily[TransfersOut],tblDaily[EntryDate],DATE(2026,7,25),tblDaily[WardCode],"FAE")),"")</f>
        <v/>
      </c>
      <c r="O272" s="13" t="str">
        <f>IFERROR(IF(SUMIFS(tblDaily[Remaining],tblDaily[EntryDate],DATE(2026,7,25),tblDaily[WardCode],"FAE")=0,"",SUMIFS(tblDaily[Remaining],tblDaily[EntryDate],DATE(2026,7,25),tblDaily[WardCode],"FAE")),"")</f>
        <v/>
      </c>
    </row>
    <row r="273" spans="1:15" x14ac:dyDescent="0.25">
      <c r="A273" s="13">
        <v>26</v>
      </c>
      <c r="B273" s="13" t="str">
        <f>IFERROR(IF(SUMIFS(tblDaily[Admissions],tblDaily[EntryDate],DATE(2026,7,26),tblDaily[WardCode],"MAE")=0,"",SUMIFS(tblDaily[Admissions],tblDaily[EntryDate],DATE(2026,7,26),tblDaily[WardCode],"MAE")),"")</f>
        <v/>
      </c>
      <c r="C273" s="13" t="str">
        <f>IFERROR(IF(SUMIFS(tblDaily[Discharges],tblDaily[EntryDate],DATE(2026,7,26),tblDaily[WardCode],"MAE")=0,"",SUMIFS(tblDaily[Discharges],tblDaily[EntryDate],DATE(2026,7,26),tblDaily[WardCode],"MAE")),"")</f>
        <v/>
      </c>
      <c r="D273" s="13" t="str">
        <f>IFERROR(IF(SUMIFS(tblDaily[Deaths],tblDaily[EntryDate],DATE(2026,7,26),tblDaily[WardCode],"MAE")=0,"",SUMIFS(tblDaily[Deaths],tblDaily[EntryDate],DATE(2026,7,26),tblDaily[WardCode],"MAE")),"")</f>
        <v/>
      </c>
      <c r="E273" s="13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3" t="str">
        <f>IFERROR(IF(SUMIFS(tblDaily[TransfersIn],tblDaily[EntryDate],DATE(2026,7,26),tblDaily[WardCode],"MAE")=0,"",SUMIFS(tblDaily[TransfersIn],tblDaily[EntryDate],DATE(2026,7,26),tblDaily[WardCode],"MAE")),"")</f>
        <v/>
      </c>
      <c r="G273" s="13" t="str">
        <f>IFERROR(IF(SUMIFS(tblDaily[TransfersOut],tblDaily[EntryDate],DATE(2026,7,26),tblDaily[WardCode],"MAE")=0,"",SUMIFS(tblDaily[TransfersOut],tblDaily[EntryDate],DATE(2026,7,26),tblDaily[WardCode],"MAE")),"")</f>
        <v/>
      </c>
      <c r="H273" s="13" t="str">
        <f>IFERROR(IF(SUMIFS(tblDaily[Remaining],tblDaily[EntryDate],DATE(2026,7,26),tblDaily[WardCode],"MAE")=0,"",SUMIFS(tblDaily[Remaining],tblDaily[EntryDate],DATE(2026,7,26),tblDaily[WardCode],"MAE")),"")</f>
        <v/>
      </c>
      <c r="I273" s="13" t="str">
        <f>IFERROR(IF(SUMIFS(tblDaily[Admissions],tblDaily[EntryDate],DATE(2026,7,26),tblDaily[WardCode],"FAE")=0,"",SUMIFS(tblDaily[Admissions],tblDaily[EntryDate],DATE(2026,7,26),tblDaily[WardCode],"FAE")),"")</f>
        <v/>
      </c>
      <c r="J273" s="13" t="str">
        <f>IFERROR(IF(SUMIFS(tblDaily[Discharges],tblDaily[EntryDate],DATE(2026,7,26),tblDaily[WardCode],"FAE")=0,"",SUMIFS(tblDaily[Discharges],tblDaily[EntryDate],DATE(2026,7,26),tblDaily[WardCode],"FAE")),"")</f>
        <v/>
      </c>
      <c r="K273" s="13" t="str">
        <f>IFERROR(IF(SUMIFS(tblDaily[Deaths],tblDaily[EntryDate],DATE(2026,7,26),tblDaily[WardCode],"FAE")=0,"",SUMIFS(tblDaily[Deaths],tblDaily[EntryDate],DATE(2026,7,26),tblDaily[WardCode],"FAE")),"")</f>
        <v/>
      </c>
      <c r="L273" s="13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3" t="str">
        <f>IFERROR(IF(SUMIFS(tblDaily[TransfersIn],tblDaily[EntryDate],DATE(2026,7,26),tblDaily[WardCode],"FAE")=0,"",SUMIFS(tblDaily[TransfersIn],tblDaily[EntryDate],DATE(2026,7,26),tblDaily[WardCode],"FAE")),"")</f>
        <v/>
      </c>
      <c r="N273" s="13" t="str">
        <f>IFERROR(IF(SUMIFS(tblDaily[TransfersOut],tblDaily[EntryDate],DATE(2026,7,26),tblDaily[WardCode],"FAE")=0,"",SUMIFS(tblDaily[TransfersOut],tblDaily[EntryDate],DATE(2026,7,26),tblDaily[WardCode],"FAE")),"")</f>
        <v/>
      </c>
      <c r="O273" s="13" t="str">
        <f>IFERROR(IF(SUMIFS(tblDaily[Remaining],tblDaily[EntryDate],DATE(2026,7,26),tblDaily[WardCode],"FAE")=0,"",SUMIFS(tblDaily[Remaining],tblDaily[EntryDate],DATE(2026,7,26),tblDaily[WardCode],"FAE")),"")</f>
        <v/>
      </c>
    </row>
    <row r="274" spans="1:15" x14ac:dyDescent="0.25">
      <c r="A274" s="13">
        <v>27</v>
      </c>
      <c r="B274" s="13" t="str">
        <f>IFERROR(IF(SUMIFS(tblDaily[Admissions],tblDaily[EntryDate],DATE(2026,7,27),tblDaily[WardCode],"MAE")=0,"",SUMIFS(tblDaily[Admissions],tblDaily[EntryDate],DATE(2026,7,27),tblDaily[WardCode],"MAE")),"")</f>
        <v/>
      </c>
      <c r="C274" s="13" t="str">
        <f>IFERROR(IF(SUMIFS(tblDaily[Discharges],tblDaily[EntryDate],DATE(2026,7,27),tblDaily[WardCode],"MAE")=0,"",SUMIFS(tblDaily[Discharges],tblDaily[EntryDate],DATE(2026,7,27),tblDaily[WardCode],"MAE")),"")</f>
        <v/>
      </c>
      <c r="D274" s="13" t="str">
        <f>IFERROR(IF(SUMIFS(tblDaily[Deaths],tblDaily[EntryDate],DATE(2026,7,27),tblDaily[WardCode],"MAE")=0,"",SUMIFS(tblDaily[Deaths],tblDaily[EntryDate],DATE(2026,7,27),tblDaily[WardCode],"MAE")),"")</f>
        <v/>
      </c>
      <c r="E274" s="13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3" t="str">
        <f>IFERROR(IF(SUMIFS(tblDaily[TransfersIn],tblDaily[EntryDate],DATE(2026,7,27),tblDaily[WardCode],"MAE")=0,"",SUMIFS(tblDaily[TransfersIn],tblDaily[EntryDate],DATE(2026,7,27),tblDaily[WardCode],"MAE")),"")</f>
        <v/>
      </c>
      <c r="G274" s="13" t="str">
        <f>IFERROR(IF(SUMIFS(tblDaily[TransfersOut],tblDaily[EntryDate],DATE(2026,7,27),tblDaily[WardCode],"MAE")=0,"",SUMIFS(tblDaily[TransfersOut],tblDaily[EntryDate],DATE(2026,7,27),tblDaily[WardCode],"MAE")),"")</f>
        <v/>
      </c>
      <c r="H274" s="13" t="str">
        <f>IFERROR(IF(SUMIFS(tblDaily[Remaining],tblDaily[EntryDate],DATE(2026,7,27),tblDaily[WardCode],"MAE")=0,"",SUMIFS(tblDaily[Remaining],tblDaily[EntryDate],DATE(2026,7,27),tblDaily[WardCode],"MAE")),"")</f>
        <v/>
      </c>
      <c r="I274" s="13" t="str">
        <f>IFERROR(IF(SUMIFS(tblDaily[Admissions],tblDaily[EntryDate],DATE(2026,7,27),tblDaily[WardCode],"FAE")=0,"",SUMIFS(tblDaily[Admissions],tblDaily[EntryDate],DATE(2026,7,27),tblDaily[WardCode],"FAE")),"")</f>
        <v/>
      </c>
      <c r="J274" s="13" t="str">
        <f>IFERROR(IF(SUMIFS(tblDaily[Discharges],tblDaily[EntryDate],DATE(2026,7,27),tblDaily[WardCode],"FAE")=0,"",SUMIFS(tblDaily[Discharges],tblDaily[EntryDate],DATE(2026,7,27),tblDaily[WardCode],"FAE")),"")</f>
        <v/>
      </c>
      <c r="K274" s="13" t="str">
        <f>IFERROR(IF(SUMIFS(tblDaily[Deaths],tblDaily[EntryDate],DATE(2026,7,27),tblDaily[WardCode],"FAE")=0,"",SUMIFS(tblDaily[Deaths],tblDaily[EntryDate],DATE(2026,7,27),tblDaily[WardCode],"FAE")),"")</f>
        <v/>
      </c>
      <c r="L274" s="13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3" t="str">
        <f>IFERROR(IF(SUMIFS(tblDaily[TransfersIn],tblDaily[EntryDate],DATE(2026,7,27),tblDaily[WardCode],"FAE")=0,"",SUMIFS(tblDaily[TransfersIn],tblDaily[EntryDate],DATE(2026,7,27),tblDaily[WardCode],"FAE")),"")</f>
        <v/>
      </c>
      <c r="N274" s="13" t="str">
        <f>IFERROR(IF(SUMIFS(tblDaily[TransfersOut],tblDaily[EntryDate],DATE(2026,7,27),tblDaily[WardCode],"FAE")=0,"",SUMIFS(tblDaily[TransfersOut],tblDaily[EntryDate],DATE(2026,7,27),tblDaily[WardCode],"FAE")),"")</f>
        <v/>
      </c>
      <c r="O274" s="13" t="str">
        <f>IFERROR(IF(SUMIFS(tblDaily[Remaining],tblDaily[EntryDate],DATE(2026,7,27),tblDaily[WardCode],"FAE")=0,"",SUMIFS(tblDaily[Remaining],tblDaily[EntryDate],DATE(2026,7,27),tblDaily[WardCode],"FAE")),"")</f>
        <v/>
      </c>
    </row>
    <row r="275" spans="1:15" x14ac:dyDescent="0.25">
      <c r="A275" s="13">
        <v>28</v>
      </c>
      <c r="B275" s="13" t="str">
        <f>IFERROR(IF(SUMIFS(tblDaily[Admissions],tblDaily[EntryDate],DATE(2026,7,28),tblDaily[WardCode],"MAE")=0,"",SUMIFS(tblDaily[Admissions],tblDaily[EntryDate],DATE(2026,7,28),tblDaily[WardCode],"MAE")),"")</f>
        <v/>
      </c>
      <c r="C275" s="13" t="str">
        <f>IFERROR(IF(SUMIFS(tblDaily[Discharges],tblDaily[EntryDate],DATE(2026,7,28),tblDaily[WardCode],"MAE")=0,"",SUMIFS(tblDaily[Discharges],tblDaily[EntryDate],DATE(2026,7,28),tblDaily[WardCode],"MAE")),"")</f>
        <v/>
      </c>
      <c r="D275" s="13" t="str">
        <f>IFERROR(IF(SUMIFS(tblDaily[Deaths],tblDaily[EntryDate],DATE(2026,7,28),tblDaily[WardCode],"MAE")=0,"",SUMIFS(tblDaily[Deaths],tblDaily[EntryDate],DATE(2026,7,28),tblDaily[WardCode],"MAE")),"")</f>
        <v/>
      </c>
      <c r="E275" s="13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3" t="str">
        <f>IFERROR(IF(SUMIFS(tblDaily[TransfersIn],tblDaily[EntryDate],DATE(2026,7,28),tblDaily[WardCode],"MAE")=0,"",SUMIFS(tblDaily[TransfersIn],tblDaily[EntryDate],DATE(2026,7,28),tblDaily[WardCode],"MAE")),"")</f>
        <v/>
      </c>
      <c r="G275" s="13" t="str">
        <f>IFERROR(IF(SUMIFS(tblDaily[TransfersOut],tblDaily[EntryDate],DATE(2026,7,28),tblDaily[WardCode],"MAE")=0,"",SUMIFS(tblDaily[TransfersOut],tblDaily[EntryDate],DATE(2026,7,28),tblDaily[WardCode],"MAE")),"")</f>
        <v/>
      </c>
      <c r="H275" s="13" t="str">
        <f>IFERROR(IF(SUMIFS(tblDaily[Remaining],tblDaily[EntryDate],DATE(2026,7,28),tblDaily[WardCode],"MAE")=0,"",SUMIFS(tblDaily[Remaining],tblDaily[EntryDate],DATE(2026,7,28),tblDaily[WardCode],"MAE")),"")</f>
        <v/>
      </c>
      <c r="I275" s="13" t="str">
        <f>IFERROR(IF(SUMIFS(tblDaily[Admissions],tblDaily[EntryDate],DATE(2026,7,28),tblDaily[WardCode],"FAE")=0,"",SUMIFS(tblDaily[Admissions],tblDaily[EntryDate],DATE(2026,7,28),tblDaily[WardCode],"FAE")),"")</f>
        <v/>
      </c>
      <c r="J275" s="13" t="str">
        <f>IFERROR(IF(SUMIFS(tblDaily[Discharges],tblDaily[EntryDate],DATE(2026,7,28),tblDaily[WardCode],"FAE")=0,"",SUMIFS(tblDaily[Discharges],tblDaily[EntryDate],DATE(2026,7,28),tblDaily[WardCode],"FAE")),"")</f>
        <v/>
      </c>
      <c r="K275" s="13" t="str">
        <f>IFERROR(IF(SUMIFS(tblDaily[Deaths],tblDaily[EntryDate],DATE(2026,7,28),tblDaily[WardCode],"FAE")=0,"",SUMIFS(tblDaily[Deaths],tblDaily[EntryDate],DATE(2026,7,28),tblDaily[WardCode],"FAE")),"")</f>
        <v/>
      </c>
      <c r="L275" s="13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3" t="str">
        <f>IFERROR(IF(SUMIFS(tblDaily[TransfersIn],tblDaily[EntryDate],DATE(2026,7,28),tblDaily[WardCode],"FAE")=0,"",SUMIFS(tblDaily[TransfersIn],tblDaily[EntryDate],DATE(2026,7,28),tblDaily[WardCode],"FAE")),"")</f>
        <v/>
      </c>
      <c r="N275" s="13" t="str">
        <f>IFERROR(IF(SUMIFS(tblDaily[TransfersOut],tblDaily[EntryDate],DATE(2026,7,28),tblDaily[WardCode],"FAE")=0,"",SUMIFS(tblDaily[TransfersOut],tblDaily[EntryDate],DATE(2026,7,28),tblDaily[WardCode],"FAE")),"")</f>
        <v/>
      </c>
      <c r="O275" s="13" t="str">
        <f>IFERROR(IF(SUMIFS(tblDaily[Remaining],tblDaily[EntryDate],DATE(2026,7,28),tblDaily[WardCode],"FAE")=0,"",SUMIFS(tblDaily[Remaining],tblDaily[EntryDate],DATE(2026,7,28),tblDaily[WardCode],"FAE")),"")</f>
        <v/>
      </c>
    </row>
    <row r="276" spans="1:15" x14ac:dyDescent="0.25">
      <c r="A276" s="13">
        <v>29</v>
      </c>
      <c r="B276" s="13" t="str">
        <f>IFERROR(IF(SUMIFS(tblDaily[Admissions],tblDaily[EntryDate],DATE(2026,7,29),tblDaily[WardCode],"MAE")=0,"",SUMIFS(tblDaily[Admissions],tblDaily[EntryDate],DATE(2026,7,29),tblDaily[WardCode],"MAE")),"")</f>
        <v/>
      </c>
      <c r="C276" s="13" t="str">
        <f>IFERROR(IF(SUMIFS(tblDaily[Discharges],tblDaily[EntryDate],DATE(2026,7,29),tblDaily[WardCode],"MAE")=0,"",SUMIFS(tblDaily[Discharges],tblDaily[EntryDate],DATE(2026,7,29),tblDaily[WardCode],"MAE")),"")</f>
        <v/>
      </c>
      <c r="D276" s="13" t="str">
        <f>IFERROR(IF(SUMIFS(tblDaily[Deaths],tblDaily[EntryDate],DATE(2026,7,29),tblDaily[WardCode],"MAE")=0,"",SUMIFS(tblDaily[Deaths],tblDaily[EntryDate],DATE(2026,7,29),tblDaily[WardCode],"MAE")),"")</f>
        <v/>
      </c>
      <c r="E276" s="13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3" t="str">
        <f>IFERROR(IF(SUMIFS(tblDaily[TransfersIn],tblDaily[EntryDate],DATE(2026,7,29),tblDaily[WardCode],"MAE")=0,"",SUMIFS(tblDaily[TransfersIn],tblDaily[EntryDate],DATE(2026,7,29),tblDaily[WardCode],"MAE")),"")</f>
        <v/>
      </c>
      <c r="G276" s="13" t="str">
        <f>IFERROR(IF(SUMIFS(tblDaily[TransfersOut],tblDaily[EntryDate],DATE(2026,7,29),tblDaily[WardCode],"MAE")=0,"",SUMIFS(tblDaily[TransfersOut],tblDaily[EntryDate],DATE(2026,7,29),tblDaily[WardCode],"MAE")),"")</f>
        <v/>
      </c>
      <c r="H276" s="13" t="str">
        <f>IFERROR(IF(SUMIFS(tblDaily[Remaining],tblDaily[EntryDate],DATE(2026,7,29),tblDaily[WardCode],"MAE")=0,"",SUMIFS(tblDaily[Remaining],tblDaily[EntryDate],DATE(2026,7,29),tblDaily[WardCode],"MAE")),"")</f>
        <v/>
      </c>
      <c r="I276" s="13" t="str">
        <f>IFERROR(IF(SUMIFS(tblDaily[Admissions],tblDaily[EntryDate],DATE(2026,7,29),tblDaily[WardCode],"FAE")=0,"",SUMIFS(tblDaily[Admissions],tblDaily[EntryDate],DATE(2026,7,29),tblDaily[WardCode],"FAE")),"")</f>
        <v/>
      </c>
      <c r="J276" s="13" t="str">
        <f>IFERROR(IF(SUMIFS(tblDaily[Discharges],tblDaily[EntryDate],DATE(2026,7,29),tblDaily[WardCode],"FAE")=0,"",SUMIFS(tblDaily[Discharges],tblDaily[EntryDate],DATE(2026,7,29),tblDaily[WardCode],"FAE")),"")</f>
        <v/>
      </c>
      <c r="K276" s="13" t="str">
        <f>IFERROR(IF(SUMIFS(tblDaily[Deaths],tblDaily[EntryDate],DATE(2026,7,29),tblDaily[WardCode],"FAE")=0,"",SUMIFS(tblDaily[Deaths],tblDaily[EntryDate],DATE(2026,7,29),tblDaily[WardCode],"FAE")),"")</f>
        <v/>
      </c>
      <c r="L276" s="13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3" t="str">
        <f>IFERROR(IF(SUMIFS(tblDaily[TransfersIn],tblDaily[EntryDate],DATE(2026,7,29),tblDaily[WardCode],"FAE")=0,"",SUMIFS(tblDaily[TransfersIn],tblDaily[EntryDate],DATE(2026,7,29),tblDaily[WardCode],"FAE")),"")</f>
        <v/>
      </c>
      <c r="N276" s="13" t="str">
        <f>IFERROR(IF(SUMIFS(tblDaily[TransfersOut],tblDaily[EntryDate],DATE(2026,7,29),tblDaily[WardCode],"FAE")=0,"",SUMIFS(tblDaily[TransfersOut],tblDaily[EntryDate],DATE(2026,7,29),tblDaily[WardCode],"FAE")),"")</f>
        <v/>
      </c>
      <c r="O276" s="13" t="str">
        <f>IFERROR(IF(SUMIFS(tblDaily[Remaining],tblDaily[EntryDate],DATE(2026,7,29),tblDaily[WardCode],"FAE")=0,"",SUMIFS(tblDaily[Remaining],tblDaily[EntryDate],DATE(2026,7,29),tblDaily[WardCode],"FAE")),"")</f>
        <v/>
      </c>
    </row>
    <row r="277" spans="1:15" x14ac:dyDescent="0.25">
      <c r="A277" s="13">
        <v>30</v>
      </c>
      <c r="B277" s="13" t="str">
        <f>IFERROR(IF(SUMIFS(tblDaily[Admissions],tblDaily[EntryDate],DATE(2026,7,30),tblDaily[WardCode],"MAE")=0,"",SUMIFS(tblDaily[Admissions],tblDaily[EntryDate],DATE(2026,7,30),tblDaily[WardCode],"MAE")),"")</f>
        <v/>
      </c>
      <c r="C277" s="13" t="str">
        <f>IFERROR(IF(SUMIFS(tblDaily[Discharges],tblDaily[EntryDate],DATE(2026,7,30),tblDaily[WardCode],"MAE")=0,"",SUMIFS(tblDaily[Discharges],tblDaily[EntryDate],DATE(2026,7,30),tblDaily[WardCode],"MAE")),"")</f>
        <v/>
      </c>
      <c r="D277" s="13" t="str">
        <f>IFERROR(IF(SUMIFS(tblDaily[Deaths],tblDaily[EntryDate],DATE(2026,7,30),tblDaily[WardCode],"MAE")=0,"",SUMIFS(tblDaily[Deaths],tblDaily[EntryDate],DATE(2026,7,30),tblDaily[WardCode],"MAE")),"")</f>
        <v/>
      </c>
      <c r="E277" s="13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3" t="str">
        <f>IFERROR(IF(SUMIFS(tblDaily[TransfersIn],tblDaily[EntryDate],DATE(2026,7,30),tblDaily[WardCode],"MAE")=0,"",SUMIFS(tblDaily[TransfersIn],tblDaily[EntryDate],DATE(2026,7,30),tblDaily[WardCode],"MAE")),"")</f>
        <v/>
      </c>
      <c r="G277" s="13" t="str">
        <f>IFERROR(IF(SUMIFS(tblDaily[TransfersOut],tblDaily[EntryDate],DATE(2026,7,30),tblDaily[WardCode],"MAE")=0,"",SUMIFS(tblDaily[TransfersOut],tblDaily[EntryDate],DATE(2026,7,30),tblDaily[WardCode],"MAE")),"")</f>
        <v/>
      </c>
      <c r="H277" s="13" t="str">
        <f>IFERROR(IF(SUMIFS(tblDaily[Remaining],tblDaily[EntryDate],DATE(2026,7,30),tblDaily[WardCode],"MAE")=0,"",SUMIFS(tblDaily[Remaining],tblDaily[EntryDate],DATE(2026,7,30),tblDaily[WardCode],"MAE")),"")</f>
        <v/>
      </c>
      <c r="I277" s="13" t="str">
        <f>IFERROR(IF(SUMIFS(tblDaily[Admissions],tblDaily[EntryDate],DATE(2026,7,30),tblDaily[WardCode],"FAE")=0,"",SUMIFS(tblDaily[Admissions],tblDaily[EntryDate],DATE(2026,7,30),tblDaily[WardCode],"FAE")),"")</f>
        <v/>
      </c>
      <c r="J277" s="13" t="str">
        <f>IFERROR(IF(SUMIFS(tblDaily[Discharges],tblDaily[EntryDate],DATE(2026,7,30),tblDaily[WardCode],"FAE")=0,"",SUMIFS(tblDaily[Discharges],tblDaily[EntryDate],DATE(2026,7,30),tblDaily[WardCode],"FAE")),"")</f>
        <v/>
      </c>
      <c r="K277" s="13" t="str">
        <f>IFERROR(IF(SUMIFS(tblDaily[Deaths],tblDaily[EntryDate],DATE(2026,7,30),tblDaily[WardCode],"FAE")=0,"",SUMIFS(tblDaily[Deaths],tblDaily[EntryDate],DATE(2026,7,30),tblDaily[WardCode],"FAE")),"")</f>
        <v/>
      </c>
      <c r="L277" s="13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3" t="str">
        <f>IFERROR(IF(SUMIFS(tblDaily[TransfersIn],tblDaily[EntryDate],DATE(2026,7,30),tblDaily[WardCode],"FAE")=0,"",SUMIFS(tblDaily[TransfersIn],tblDaily[EntryDate],DATE(2026,7,30),tblDaily[WardCode],"FAE")),"")</f>
        <v/>
      </c>
      <c r="N277" s="13" t="str">
        <f>IFERROR(IF(SUMIFS(tblDaily[TransfersOut],tblDaily[EntryDate],DATE(2026,7,30),tblDaily[WardCode],"FAE")=0,"",SUMIFS(tblDaily[TransfersOut],tblDaily[EntryDate],DATE(2026,7,30),tblDaily[WardCode],"FAE")),"")</f>
        <v/>
      </c>
      <c r="O277" s="13" t="str">
        <f>IFERROR(IF(SUMIFS(tblDaily[Remaining],tblDaily[EntryDate],DATE(2026,7,30),tblDaily[WardCode],"FAE")=0,"",SUMIFS(tblDaily[Remaining],tblDaily[EntryDate],DATE(2026,7,30),tblDaily[WardCode],"FAE")),"")</f>
        <v/>
      </c>
    </row>
    <row r="278" spans="1:15" x14ac:dyDescent="0.25">
      <c r="A278" s="13">
        <v>31</v>
      </c>
      <c r="B278" s="13" t="str">
        <f>IFERROR(IF(SUMIFS(tblDaily[Admissions],tblDaily[EntryDate],DATE(2026,7,31),tblDaily[WardCode],"MAE")=0,"",SUMIFS(tblDaily[Admissions],tblDaily[EntryDate],DATE(2026,7,31),tblDaily[WardCode],"MAE")),"")</f>
        <v/>
      </c>
      <c r="C278" s="13" t="str">
        <f>IFERROR(IF(SUMIFS(tblDaily[Discharges],tblDaily[EntryDate],DATE(2026,7,31),tblDaily[WardCode],"MAE")=0,"",SUMIFS(tblDaily[Discharges],tblDaily[EntryDate],DATE(2026,7,31),tblDaily[WardCode],"MAE")),"")</f>
        <v/>
      </c>
      <c r="D278" s="13" t="str">
        <f>IFERROR(IF(SUMIFS(tblDaily[Deaths],tblDaily[EntryDate],DATE(2026,7,31),tblDaily[WardCode],"MAE")=0,"",SUMIFS(tblDaily[Deaths],tblDaily[EntryDate],DATE(2026,7,31),tblDaily[WardCode],"MAE")),"")</f>
        <v/>
      </c>
      <c r="E278" s="13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3" t="str">
        <f>IFERROR(IF(SUMIFS(tblDaily[TransfersIn],tblDaily[EntryDate],DATE(2026,7,31),tblDaily[WardCode],"MAE")=0,"",SUMIFS(tblDaily[TransfersIn],tblDaily[EntryDate],DATE(2026,7,31),tblDaily[WardCode],"MAE")),"")</f>
        <v/>
      </c>
      <c r="G278" s="13" t="str">
        <f>IFERROR(IF(SUMIFS(tblDaily[TransfersOut],tblDaily[EntryDate],DATE(2026,7,31),tblDaily[WardCode],"MAE")=0,"",SUMIFS(tblDaily[TransfersOut],tblDaily[EntryDate],DATE(2026,7,31),tblDaily[WardCode],"MAE")),"")</f>
        <v/>
      </c>
      <c r="H278" s="13" t="str">
        <f>IFERROR(IF(SUMIFS(tblDaily[Remaining],tblDaily[EntryDate],DATE(2026,7,31),tblDaily[WardCode],"MAE")=0,"",SUMIFS(tblDaily[Remaining],tblDaily[EntryDate],DATE(2026,7,31),tblDaily[WardCode],"MAE")),"")</f>
        <v/>
      </c>
      <c r="I278" s="13" t="str">
        <f>IFERROR(IF(SUMIFS(tblDaily[Admissions],tblDaily[EntryDate],DATE(2026,7,31),tblDaily[WardCode],"FAE")=0,"",SUMIFS(tblDaily[Admissions],tblDaily[EntryDate],DATE(2026,7,31),tblDaily[WardCode],"FAE")),"")</f>
        <v/>
      </c>
      <c r="J278" s="13" t="str">
        <f>IFERROR(IF(SUMIFS(tblDaily[Discharges],tblDaily[EntryDate],DATE(2026,7,31),tblDaily[WardCode],"FAE")=0,"",SUMIFS(tblDaily[Discharges],tblDaily[EntryDate],DATE(2026,7,31),tblDaily[WardCode],"FAE")),"")</f>
        <v/>
      </c>
      <c r="K278" s="13" t="str">
        <f>IFERROR(IF(SUMIFS(tblDaily[Deaths],tblDaily[EntryDate],DATE(2026,7,31),tblDaily[WardCode],"FAE")=0,"",SUMIFS(tblDaily[Deaths],tblDaily[EntryDate],DATE(2026,7,31),tblDaily[WardCode],"FAE")),"")</f>
        <v/>
      </c>
      <c r="L278" s="13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3" t="str">
        <f>IFERROR(IF(SUMIFS(tblDaily[TransfersIn],tblDaily[EntryDate],DATE(2026,7,31),tblDaily[WardCode],"FAE")=0,"",SUMIFS(tblDaily[TransfersIn],tblDaily[EntryDate],DATE(2026,7,31),tblDaily[WardCode],"FAE")),"")</f>
        <v/>
      </c>
      <c r="N278" s="13" t="str">
        <f>IFERROR(IF(SUMIFS(tblDaily[TransfersOut],tblDaily[EntryDate],DATE(2026,7,31),tblDaily[WardCode],"FAE")=0,"",SUMIFS(tblDaily[TransfersOut],tblDaily[EntryDate],DATE(2026,7,31),tblDaily[WardCode],"FAE")),"")</f>
        <v/>
      </c>
      <c r="O278" s="13" t="str">
        <f>IFERROR(IF(SUMIFS(tblDaily[Remaining],tblDaily[EntryDate],DATE(2026,7,31),tblDaily[WardCode],"FAE")=0,"",SUMIFS(tblDaily[Remaining],tblDaily[EntryDate],DATE(2026,7,31),tblDaily[WardCode],"FAE")),"")</f>
        <v/>
      </c>
    </row>
    <row r="279" spans="1:15" x14ac:dyDescent="0.25">
      <c r="A279" s="9" t="s">
        <v>110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</row>
    <row r="281" spans="1:15" ht="18.75" x14ac:dyDescent="0.25">
      <c r="A281" s="36" t="s">
        <v>0</v>
      </c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</row>
    <row r="282" spans="1:15" ht="15.75" x14ac:dyDescent="0.25">
      <c r="A282" s="34" t="s">
        <v>99</v>
      </c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</row>
    <row r="283" spans="1:15" x14ac:dyDescent="0.25">
      <c r="A283" s="1" t="s">
        <v>4</v>
      </c>
      <c r="B283" s="2" t="s">
        <v>2</v>
      </c>
      <c r="E283" s="1" t="s">
        <v>100</v>
      </c>
      <c r="F283" s="1" t="s">
        <v>119</v>
      </c>
      <c r="M283" s="1" t="s">
        <v>102</v>
      </c>
      <c r="N283" s="1" t="s">
        <v>65</v>
      </c>
    </row>
    <row r="284" spans="1:15" x14ac:dyDescent="0.25">
      <c r="A284" s="1" t="s">
        <v>103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5" x14ac:dyDescent="0.25">
      <c r="A285" s="1" t="s">
        <v>104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5" x14ac:dyDescent="0.25">
      <c r="A286" s="3" t="s">
        <v>120</v>
      </c>
      <c r="B286" s="35" t="s">
        <v>117</v>
      </c>
      <c r="C286" s="26"/>
      <c r="D286" s="26"/>
      <c r="E286" s="26"/>
      <c r="F286" s="26"/>
      <c r="G286" s="26"/>
      <c r="H286" s="26"/>
      <c r="I286" s="37" t="s">
        <v>118</v>
      </c>
      <c r="J286" s="26"/>
      <c r="K286" s="26"/>
      <c r="L286" s="26"/>
      <c r="M286" s="26"/>
      <c r="N286" s="26"/>
      <c r="O286" s="26"/>
    </row>
    <row r="287" spans="1:15" x14ac:dyDescent="0.25">
      <c r="A287" s="3" t="s">
        <v>120</v>
      </c>
      <c r="B287" s="3" t="s">
        <v>121</v>
      </c>
      <c r="C287" s="3" t="s">
        <v>122</v>
      </c>
      <c r="D287" s="3" t="s">
        <v>123</v>
      </c>
      <c r="E287" s="3" t="s">
        <v>124</v>
      </c>
      <c r="F287" s="3" t="s">
        <v>125</v>
      </c>
      <c r="G287" s="3" t="s">
        <v>126</v>
      </c>
      <c r="H287" s="3" t="s">
        <v>127</v>
      </c>
      <c r="I287" s="3" t="s">
        <v>121</v>
      </c>
      <c r="J287" s="3" t="s">
        <v>122</v>
      </c>
      <c r="K287" s="3" t="s">
        <v>123</v>
      </c>
      <c r="L287" s="3" t="s">
        <v>124</v>
      </c>
      <c r="M287" s="3" t="s">
        <v>125</v>
      </c>
      <c r="N287" s="3" t="s">
        <v>126</v>
      </c>
      <c r="O287" s="3" t="s">
        <v>127</v>
      </c>
    </row>
    <row r="288" spans="1:15" x14ac:dyDescent="0.25">
      <c r="A288" s="13">
        <v>1</v>
      </c>
      <c r="B288" s="13" t="str">
        <f>IFERROR(IF(SUMIFS(tblDaily[Admissions],tblDaily[EntryDate],DATE(2026,8,1),tblDaily[WardCode],"MAE")=0,"",SUMIFS(tblDaily[Admissions],tblDaily[EntryDate],DATE(2026,8,1),tblDaily[WardCode],"MAE")),"")</f>
        <v/>
      </c>
      <c r="C288" s="13" t="str">
        <f>IFERROR(IF(SUMIFS(tblDaily[Discharges],tblDaily[EntryDate],DATE(2026,8,1),tblDaily[WardCode],"MAE")=0,"",SUMIFS(tblDaily[Discharges],tblDaily[EntryDate],DATE(2026,8,1),tblDaily[WardCode],"MAE")),"")</f>
        <v/>
      </c>
      <c r="D288" s="13" t="str">
        <f>IFERROR(IF(SUMIFS(tblDaily[Deaths],tblDaily[EntryDate],DATE(2026,8,1),tblDaily[WardCode],"MAE")=0,"",SUMIFS(tblDaily[Deaths],tblDaily[EntryDate],DATE(2026,8,1),tblDaily[WardCode],"MAE")),"")</f>
        <v/>
      </c>
      <c r="E288" s="13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3" t="str">
        <f>IFERROR(IF(SUMIFS(tblDaily[TransfersIn],tblDaily[EntryDate],DATE(2026,8,1),tblDaily[WardCode],"MAE")=0,"",SUMIFS(tblDaily[TransfersIn],tblDaily[EntryDate],DATE(2026,8,1),tblDaily[WardCode],"MAE")),"")</f>
        <v/>
      </c>
      <c r="G288" s="13" t="str">
        <f>IFERROR(IF(SUMIFS(tblDaily[TransfersOut],tblDaily[EntryDate],DATE(2026,8,1),tblDaily[WardCode],"MAE")=0,"",SUMIFS(tblDaily[TransfersOut],tblDaily[EntryDate],DATE(2026,8,1),tblDaily[WardCode],"MAE")),"")</f>
        <v/>
      </c>
      <c r="H288" s="13" t="str">
        <f>IFERROR(IF(SUMIFS(tblDaily[Remaining],tblDaily[EntryDate],DATE(2026,8,1),tblDaily[WardCode],"MAE")=0,"",SUMIFS(tblDaily[Remaining],tblDaily[EntryDate],DATE(2026,8,1),tblDaily[WardCode],"MAE")),"")</f>
        <v/>
      </c>
      <c r="I288" s="13" t="str">
        <f>IFERROR(IF(SUMIFS(tblDaily[Admissions],tblDaily[EntryDate],DATE(2026,8,1),tblDaily[WardCode],"FAE")=0,"",SUMIFS(tblDaily[Admissions],tblDaily[EntryDate],DATE(2026,8,1),tblDaily[WardCode],"FAE")),"")</f>
        <v/>
      </c>
      <c r="J288" s="13" t="str">
        <f>IFERROR(IF(SUMIFS(tblDaily[Discharges],tblDaily[EntryDate],DATE(2026,8,1),tblDaily[WardCode],"FAE")=0,"",SUMIFS(tblDaily[Discharges],tblDaily[EntryDate],DATE(2026,8,1),tblDaily[WardCode],"FAE")),"")</f>
        <v/>
      </c>
      <c r="K288" s="13" t="str">
        <f>IFERROR(IF(SUMIFS(tblDaily[Deaths],tblDaily[EntryDate],DATE(2026,8,1),tblDaily[WardCode],"FAE")=0,"",SUMIFS(tblDaily[Deaths],tblDaily[EntryDate],DATE(2026,8,1),tblDaily[WardCode],"FAE")),"")</f>
        <v/>
      </c>
      <c r="L288" s="13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3" t="str">
        <f>IFERROR(IF(SUMIFS(tblDaily[TransfersIn],tblDaily[EntryDate],DATE(2026,8,1),tblDaily[WardCode],"FAE")=0,"",SUMIFS(tblDaily[TransfersIn],tblDaily[EntryDate],DATE(2026,8,1),tblDaily[WardCode],"FAE")),"")</f>
        <v/>
      </c>
      <c r="N288" s="13" t="str">
        <f>IFERROR(IF(SUMIFS(tblDaily[TransfersOut],tblDaily[EntryDate],DATE(2026,8,1),tblDaily[WardCode],"FAE")=0,"",SUMIFS(tblDaily[TransfersOut],tblDaily[EntryDate],DATE(2026,8,1),tblDaily[WardCode],"FAE")),"")</f>
        <v/>
      </c>
      <c r="O288" s="13" t="str">
        <f>IFERROR(IF(SUMIFS(tblDaily[Remaining],tblDaily[EntryDate],DATE(2026,8,1),tblDaily[WardCode],"FAE")=0,"",SUMIFS(tblDaily[Remaining],tblDaily[EntryDate],DATE(2026,8,1),tblDaily[WardCode],"FAE")),"")</f>
        <v/>
      </c>
    </row>
    <row r="289" spans="1:15" x14ac:dyDescent="0.25">
      <c r="A289" s="13">
        <v>2</v>
      </c>
      <c r="B289" s="13" t="str">
        <f>IFERROR(IF(SUMIFS(tblDaily[Admissions],tblDaily[EntryDate],DATE(2026,8,2),tblDaily[WardCode],"MAE")=0,"",SUMIFS(tblDaily[Admissions],tblDaily[EntryDate],DATE(2026,8,2),tblDaily[WardCode],"MAE")),"")</f>
        <v/>
      </c>
      <c r="C289" s="13" t="str">
        <f>IFERROR(IF(SUMIFS(tblDaily[Discharges],tblDaily[EntryDate],DATE(2026,8,2),tblDaily[WardCode],"MAE")=0,"",SUMIFS(tblDaily[Discharges],tblDaily[EntryDate],DATE(2026,8,2),tblDaily[WardCode],"MAE")),"")</f>
        <v/>
      </c>
      <c r="D289" s="13" t="str">
        <f>IFERROR(IF(SUMIFS(tblDaily[Deaths],tblDaily[EntryDate],DATE(2026,8,2),tblDaily[WardCode],"MAE")=0,"",SUMIFS(tblDaily[Deaths],tblDaily[EntryDate],DATE(2026,8,2),tblDaily[WardCode],"MAE")),"")</f>
        <v/>
      </c>
      <c r="E289" s="13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3" t="str">
        <f>IFERROR(IF(SUMIFS(tblDaily[TransfersIn],tblDaily[EntryDate],DATE(2026,8,2),tblDaily[WardCode],"MAE")=0,"",SUMIFS(tblDaily[TransfersIn],tblDaily[EntryDate],DATE(2026,8,2),tblDaily[WardCode],"MAE")),"")</f>
        <v/>
      </c>
      <c r="G289" s="13" t="str">
        <f>IFERROR(IF(SUMIFS(tblDaily[TransfersOut],tblDaily[EntryDate],DATE(2026,8,2),tblDaily[WardCode],"MAE")=0,"",SUMIFS(tblDaily[TransfersOut],tblDaily[EntryDate],DATE(2026,8,2),tblDaily[WardCode],"MAE")),"")</f>
        <v/>
      </c>
      <c r="H289" s="13" t="str">
        <f>IFERROR(IF(SUMIFS(tblDaily[Remaining],tblDaily[EntryDate],DATE(2026,8,2),tblDaily[WardCode],"MAE")=0,"",SUMIFS(tblDaily[Remaining],tblDaily[EntryDate],DATE(2026,8,2),tblDaily[WardCode],"MAE")),"")</f>
        <v/>
      </c>
      <c r="I289" s="13" t="str">
        <f>IFERROR(IF(SUMIFS(tblDaily[Admissions],tblDaily[EntryDate],DATE(2026,8,2),tblDaily[WardCode],"FAE")=0,"",SUMIFS(tblDaily[Admissions],tblDaily[EntryDate],DATE(2026,8,2),tblDaily[WardCode],"FAE")),"")</f>
        <v/>
      </c>
      <c r="J289" s="13" t="str">
        <f>IFERROR(IF(SUMIFS(tblDaily[Discharges],tblDaily[EntryDate],DATE(2026,8,2),tblDaily[WardCode],"FAE")=0,"",SUMIFS(tblDaily[Discharges],tblDaily[EntryDate],DATE(2026,8,2),tblDaily[WardCode],"FAE")),"")</f>
        <v/>
      </c>
      <c r="K289" s="13" t="str">
        <f>IFERROR(IF(SUMIFS(tblDaily[Deaths],tblDaily[EntryDate],DATE(2026,8,2),tblDaily[WardCode],"FAE")=0,"",SUMIFS(tblDaily[Deaths],tblDaily[EntryDate],DATE(2026,8,2),tblDaily[WardCode],"FAE")),"")</f>
        <v/>
      </c>
      <c r="L289" s="13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3" t="str">
        <f>IFERROR(IF(SUMIFS(tblDaily[TransfersIn],tblDaily[EntryDate],DATE(2026,8,2),tblDaily[WardCode],"FAE")=0,"",SUMIFS(tblDaily[TransfersIn],tblDaily[EntryDate],DATE(2026,8,2),tblDaily[WardCode],"FAE")),"")</f>
        <v/>
      </c>
      <c r="N289" s="13" t="str">
        <f>IFERROR(IF(SUMIFS(tblDaily[TransfersOut],tblDaily[EntryDate],DATE(2026,8,2),tblDaily[WardCode],"FAE")=0,"",SUMIFS(tblDaily[TransfersOut],tblDaily[EntryDate],DATE(2026,8,2),tblDaily[WardCode],"FAE")),"")</f>
        <v/>
      </c>
      <c r="O289" s="13" t="str">
        <f>IFERROR(IF(SUMIFS(tblDaily[Remaining],tblDaily[EntryDate],DATE(2026,8,2),tblDaily[WardCode],"FAE")=0,"",SUMIFS(tblDaily[Remaining],tblDaily[EntryDate],DATE(2026,8,2),tblDaily[WardCode],"FAE")),"")</f>
        <v/>
      </c>
    </row>
    <row r="290" spans="1:15" x14ac:dyDescent="0.25">
      <c r="A290" s="13">
        <v>3</v>
      </c>
      <c r="B290" s="13" t="str">
        <f>IFERROR(IF(SUMIFS(tblDaily[Admissions],tblDaily[EntryDate],DATE(2026,8,3),tblDaily[WardCode],"MAE")=0,"",SUMIFS(tblDaily[Admissions],tblDaily[EntryDate],DATE(2026,8,3),tblDaily[WardCode],"MAE")),"")</f>
        <v/>
      </c>
      <c r="C290" s="13" t="str">
        <f>IFERROR(IF(SUMIFS(tblDaily[Discharges],tblDaily[EntryDate],DATE(2026,8,3),tblDaily[WardCode],"MAE")=0,"",SUMIFS(tblDaily[Discharges],tblDaily[EntryDate],DATE(2026,8,3),tblDaily[WardCode],"MAE")),"")</f>
        <v/>
      </c>
      <c r="D290" s="13" t="str">
        <f>IFERROR(IF(SUMIFS(tblDaily[Deaths],tblDaily[EntryDate],DATE(2026,8,3),tblDaily[WardCode],"MAE")=0,"",SUMIFS(tblDaily[Deaths],tblDaily[EntryDate],DATE(2026,8,3),tblDaily[WardCode],"MAE")),"")</f>
        <v/>
      </c>
      <c r="E290" s="13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3" t="str">
        <f>IFERROR(IF(SUMIFS(tblDaily[TransfersIn],tblDaily[EntryDate],DATE(2026,8,3),tblDaily[WardCode],"MAE")=0,"",SUMIFS(tblDaily[TransfersIn],tblDaily[EntryDate],DATE(2026,8,3),tblDaily[WardCode],"MAE")),"")</f>
        <v/>
      </c>
      <c r="G290" s="13" t="str">
        <f>IFERROR(IF(SUMIFS(tblDaily[TransfersOut],tblDaily[EntryDate],DATE(2026,8,3),tblDaily[WardCode],"MAE")=0,"",SUMIFS(tblDaily[TransfersOut],tblDaily[EntryDate],DATE(2026,8,3),tblDaily[WardCode],"MAE")),"")</f>
        <v/>
      </c>
      <c r="H290" s="13" t="str">
        <f>IFERROR(IF(SUMIFS(tblDaily[Remaining],tblDaily[EntryDate],DATE(2026,8,3),tblDaily[WardCode],"MAE")=0,"",SUMIFS(tblDaily[Remaining],tblDaily[EntryDate],DATE(2026,8,3),tblDaily[WardCode],"MAE")),"")</f>
        <v/>
      </c>
      <c r="I290" s="13" t="str">
        <f>IFERROR(IF(SUMIFS(tblDaily[Admissions],tblDaily[EntryDate],DATE(2026,8,3),tblDaily[WardCode],"FAE")=0,"",SUMIFS(tblDaily[Admissions],tblDaily[EntryDate],DATE(2026,8,3),tblDaily[WardCode],"FAE")),"")</f>
        <v/>
      </c>
      <c r="J290" s="13" t="str">
        <f>IFERROR(IF(SUMIFS(tblDaily[Discharges],tblDaily[EntryDate],DATE(2026,8,3),tblDaily[WardCode],"FAE")=0,"",SUMIFS(tblDaily[Discharges],tblDaily[EntryDate],DATE(2026,8,3),tblDaily[WardCode],"FAE")),"")</f>
        <v/>
      </c>
      <c r="K290" s="13" t="str">
        <f>IFERROR(IF(SUMIFS(tblDaily[Deaths],tblDaily[EntryDate],DATE(2026,8,3),tblDaily[WardCode],"FAE")=0,"",SUMIFS(tblDaily[Deaths],tblDaily[EntryDate],DATE(2026,8,3),tblDaily[WardCode],"FAE")),"")</f>
        <v/>
      </c>
      <c r="L290" s="13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3" t="str">
        <f>IFERROR(IF(SUMIFS(tblDaily[TransfersIn],tblDaily[EntryDate],DATE(2026,8,3),tblDaily[WardCode],"FAE")=0,"",SUMIFS(tblDaily[TransfersIn],tblDaily[EntryDate],DATE(2026,8,3),tblDaily[WardCode],"FAE")),"")</f>
        <v/>
      </c>
      <c r="N290" s="13" t="str">
        <f>IFERROR(IF(SUMIFS(tblDaily[TransfersOut],tblDaily[EntryDate],DATE(2026,8,3),tblDaily[WardCode],"FAE")=0,"",SUMIFS(tblDaily[TransfersOut],tblDaily[EntryDate],DATE(2026,8,3),tblDaily[WardCode],"FAE")),"")</f>
        <v/>
      </c>
      <c r="O290" s="13" t="str">
        <f>IFERROR(IF(SUMIFS(tblDaily[Remaining],tblDaily[EntryDate],DATE(2026,8,3),tblDaily[WardCode],"FAE")=0,"",SUMIFS(tblDaily[Remaining],tblDaily[EntryDate],DATE(2026,8,3),tblDaily[WardCode],"FAE")),"")</f>
        <v/>
      </c>
    </row>
    <row r="291" spans="1:15" x14ac:dyDescent="0.25">
      <c r="A291" s="13">
        <v>4</v>
      </c>
      <c r="B291" s="13" t="str">
        <f>IFERROR(IF(SUMIFS(tblDaily[Admissions],tblDaily[EntryDate],DATE(2026,8,4),tblDaily[WardCode],"MAE")=0,"",SUMIFS(tblDaily[Admissions],tblDaily[EntryDate],DATE(2026,8,4),tblDaily[WardCode],"MAE")),"")</f>
        <v/>
      </c>
      <c r="C291" s="13" t="str">
        <f>IFERROR(IF(SUMIFS(tblDaily[Discharges],tblDaily[EntryDate],DATE(2026,8,4),tblDaily[WardCode],"MAE")=0,"",SUMIFS(tblDaily[Discharges],tblDaily[EntryDate],DATE(2026,8,4),tblDaily[WardCode],"MAE")),"")</f>
        <v/>
      </c>
      <c r="D291" s="13" t="str">
        <f>IFERROR(IF(SUMIFS(tblDaily[Deaths],tblDaily[EntryDate],DATE(2026,8,4),tblDaily[WardCode],"MAE")=0,"",SUMIFS(tblDaily[Deaths],tblDaily[EntryDate],DATE(2026,8,4),tblDaily[WardCode],"MAE")),"")</f>
        <v/>
      </c>
      <c r="E291" s="13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3" t="str">
        <f>IFERROR(IF(SUMIFS(tblDaily[TransfersIn],tblDaily[EntryDate],DATE(2026,8,4),tblDaily[WardCode],"MAE")=0,"",SUMIFS(tblDaily[TransfersIn],tblDaily[EntryDate],DATE(2026,8,4),tblDaily[WardCode],"MAE")),"")</f>
        <v/>
      </c>
      <c r="G291" s="13" t="str">
        <f>IFERROR(IF(SUMIFS(tblDaily[TransfersOut],tblDaily[EntryDate],DATE(2026,8,4),tblDaily[WardCode],"MAE")=0,"",SUMIFS(tblDaily[TransfersOut],tblDaily[EntryDate],DATE(2026,8,4),tblDaily[WardCode],"MAE")),"")</f>
        <v/>
      </c>
      <c r="H291" s="13" t="str">
        <f>IFERROR(IF(SUMIFS(tblDaily[Remaining],tblDaily[EntryDate],DATE(2026,8,4),tblDaily[WardCode],"MAE")=0,"",SUMIFS(tblDaily[Remaining],tblDaily[EntryDate],DATE(2026,8,4),tblDaily[WardCode],"MAE")),"")</f>
        <v/>
      </c>
      <c r="I291" s="13" t="str">
        <f>IFERROR(IF(SUMIFS(tblDaily[Admissions],tblDaily[EntryDate],DATE(2026,8,4),tblDaily[WardCode],"FAE")=0,"",SUMIFS(tblDaily[Admissions],tblDaily[EntryDate],DATE(2026,8,4),tblDaily[WardCode],"FAE")),"")</f>
        <v/>
      </c>
      <c r="J291" s="13" t="str">
        <f>IFERROR(IF(SUMIFS(tblDaily[Discharges],tblDaily[EntryDate],DATE(2026,8,4),tblDaily[WardCode],"FAE")=0,"",SUMIFS(tblDaily[Discharges],tblDaily[EntryDate],DATE(2026,8,4),tblDaily[WardCode],"FAE")),"")</f>
        <v/>
      </c>
      <c r="K291" s="13" t="str">
        <f>IFERROR(IF(SUMIFS(tblDaily[Deaths],tblDaily[EntryDate],DATE(2026,8,4),tblDaily[WardCode],"FAE")=0,"",SUMIFS(tblDaily[Deaths],tblDaily[EntryDate],DATE(2026,8,4),tblDaily[WardCode],"FAE")),"")</f>
        <v/>
      </c>
      <c r="L291" s="13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3" t="str">
        <f>IFERROR(IF(SUMIFS(tblDaily[TransfersIn],tblDaily[EntryDate],DATE(2026,8,4),tblDaily[WardCode],"FAE")=0,"",SUMIFS(tblDaily[TransfersIn],tblDaily[EntryDate],DATE(2026,8,4),tblDaily[WardCode],"FAE")),"")</f>
        <v/>
      </c>
      <c r="N291" s="13" t="str">
        <f>IFERROR(IF(SUMIFS(tblDaily[TransfersOut],tblDaily[EntryDate],DATE(2026,8,4),tblDaily[WardCode],"FAE")=0,"",SUMIFS(tblDaily[TransfersOut],tblDaily[EntryDate],DATE(2026,8,4),tblDaily[WardCode],"FAE")),"")</f>
        <v/>
      </c>
      <c r="O291" s="13" t="str">
        <f>IFERROR(IF(SUMIFS(tblDaily[Remaining],tblDaily[EntryDate],DATE(2026,8,4),tblDaily[WardCode],"FAE")=0,"",SUMIFS(tblDaily[Remaining],tblDaily[EntryDate],DATE(2026,8,4),tblDaily[WardCode],"FAE")),"")</f>
        <v/>
      </c>
    </row>
    <row r="292" spans="1:15" x14ac:dyDescent="0.25">
      <c r="A292" s="13">
        <v>5</v>
      </c>
      <c r="B292" s="13" t="str">
        <f>IFERROR(IF(SUMIFS(tblDaily[Admissions],tblDaily[EntryDate],DATE(2026,8,5),tblDaily[WardCode],"MAE")=0,"",SUMIFS(tblDaily[Admissions],tblDaily[EntryDate],DATE(2026,8,5),tblDaily[WardCode],"MAE")),"")</f>
        <v/>
      </c>
      <c r="C292" s="13" t="str">
        <f>IFERROR(IF(SUMIFS(tblDaily[Discharges],tblDaily[EntryDate],DATE(2026,8,5),tblDaily[WardCode],"MAE")=0,"",SUMIFS(tblDaily[Discharges],tblDaily[EntryDate],DATE(2026,8,5),tblDaily[WardCode],"MAE")),"")</f>
        <v/>
      </c>
      <c r="D292" s="13" t="str">
        <f>IFERROR(IF(SUMIFS(tblDaily[Deaths],tblDaily[EntryDate],DATE(2026,8,5),tblDaily[WardCode],"MAE")=0,"",SUMIFS(tblDaily[Deaths],tblDaily[EntryDate],DATE(2026,8,5),tblDaily[WardCode],"MAE")),"")</f>
        <v/>
      </c>
      <c r="E292" s="13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3" t="str">
        <f>IFERROR(IF(SUMIFS(tblDaily[TransfersIn],tblDaily[EntryDate],DATE(2026,8,5),tblDaily[WardCode],"MAE")=0,"",SUMIFS(tblDaily[TransfersIn],tblDaily[EntryDate],DATE(2026,8,5),tblDaily[WardCode],"MAE")),"")</f>
        <v/>
      </c>
      <c r="G292" s="13" t="str">
        <f>IFERROR(IF(SUMIFS(tblDaily[TransfersOut],tblDaily[EntryDate],DATE(2026,8,5),tblDaily[WardCode],"MAE")=0,"",SUMIFS(tblDaily[TransfersOut],tblDaily[EntryDate],DATE(2026,8,5),tblDaily[WardCode],"MAE")),"")</f>
        <v/>
      </c>
      <c r="H292" s="13" t="str">
        <f>IFERROR(IF(SUMIFS(tblDaily[Remaining],tblDaily[EntryDate],DATE(2026,8,5),tblDaily[WardCode],"MAE")=0,"",SUMIFS(tblDaily[Remaining],tblDaily[EntryDate],DATE(2026,8,5),tblDaily[WardCode],"MAE")),"")</f>
        <v/>
      </c>
      <c r="I292" s="13" t="str">
        <f>IFERROR(IF(SUMIFS(tblDaily[Admissions],tblDaily[EntryDate],DATE(2026,8,5),tblDaily[WardCode],"FAE")=0,"",SUMIFS(tblDaily[Admissions],tblDaily[EntryDate],DATE(2026,8,5),tblDaily[WardCode],"FAE")),"")</f>
        <v/>
      </c>
      <c r="J292" s="13" t="str">
        <f>IFERROR(IF(SUMIFS(tblDaily[Discharges],tblDaily[EntryDate],DATE(2026,8,5),tblDaily[WardCode],"FAE")=0,"",SUMIFS(tblDaily[Discharges],tblDaily[EntryDate],DATE(2026,8,5),tblDaily[WardCode],"FAE")),"")</f>
        <v/>
      </c>
      <c r="K292" s="13" t="str">
        <f>IFERROR(IF(SUMIFS(tblDaily[Deaths],tblDaily[EntryDate],DATE(2026,8,5),tblDaily[WardCode],"FAE")=0,"",SUMIFS(tblDaily[Deaths],tblDaily[EntryDate],DATE(2026,8,5),tblDaily[WardCode],"FAE")),"")</f>
        <v/>
      </c>
      <c r="L292" s="13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3" t="str">
        <f>IFERROR(IF(SUMIFS(tblDaily[TransfersIn],tblDaily[EntryDate],DATE(2026,8,5),tblDaily[WardCode],"FAE")=0,"",SUMIFS(tblDaily[TransfersIn],tblDaily[EntryDate],DATE(2026,8,5),tblDaily[WardCode],"FAE")),"")</f>
        <v/>
      </c>
      <c r="N292" s="13" t="str">
        <f>IFERROR(IF(SUMIFS(tblDaily[TransfersOut],tblDaily[EntryDate],DATE(2026,8,5),tblDaily[WardCode],"FAE")=0,"",SUMIFS(tblDaily[TransfersOut],tblDaily[EntryDate],DATE(2026,8,5),tblDaily[WardCode],"FAE")),"")</f>
        <v/>
      </c>
      <c r="O292" s="13" t="str">
        <f>IFERROR(IF(SUMIFS(tblDaily[Remaining],tblDaily[EntryDate],DATE(2026,8,5),tblDaily[WardCode],"FAE")=0,"",SUMIFS(tblDaily[Remaining],tblDaily[EntryDate],DATE(2026,8,5),tblDaily[WardCode],"FAE")),"")</f>
        <v/>
      </c>
    </row>
    <row r="293" spans="1:15" x14ac:dyDescent="0.25">
      <c r="A293" s="13">
        <v>6</v>
      </c>
      <c r="B293" s="13" t="str">
        <f>IFERROR(IF(SUMIFS(tblDaily[Admissions],tblDaily[EntryDate],DATE(2026,8,6),tblDaily[WardCode],"MAE")=0,"",SUMIFS(tblDaily[Admissions],tblDaily[EntryDate],DATE(2026,8,6),tblDaily[WardCode],"MAE")),"")</f>
        <v/>
      </c>
      <c r="C293" s="13" t="str">
        <f>IFERROR(IF(SUMIFS(tblDaily[Discharges],tblDaily[EntryDate],DATE(2026,8,6),tblDaily[WardCode],"MAE")=0,"",SUMIFS(tblDaily[Discharges],tblDaily[EntryDate],DATE(2026,8,6),tblDaily[WardCode],"MAE")),"")</f>
        <v/>
      </c>
      <c r="D293" s="13" t="str">
        <f>IFERROR(IF(SUMIFS(tblDaily[Deaths],tblDaily[EntryDate],DATE(2026,8,6),tblDaily[WardCode],"MAE")=0,"",SUMIFS(tblDaily[Deaths],tblDaily[EntryDate],DATE(2026,8,6),tblDaily[WardCode],"MAE")),"")</f>
        <v/>
      </c>
      <c r="E293" s="13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3" t="str">
        <f>IFERROR(IF(SUMIFS(tblDaily[TransfersIn],tblDaily[EntryDate],DATE(2026,8,6),tblDaily[WardCode],"MAE")=0,"",SUMIFS(tblDaily[TransfersIn],tblDaily[EntryDate],DATE(2026,8,6),tblDaily[WardCode],"MAE")),"")</f>
        <v/>
      </c>
      <c r="G293" s="13" t="str">
        <f>IFERROR(IF(SUMIFS(tblDaily[TransfersOut],tblDaily[EntryDate],DATE(2026,8,6),tblDaily[WardCode],"MAE")=0,"",SUMIFS(tblDaily[TransfersOut],tblDaily[EntryDate],DATE(2026,8,6),tblDaily[WardCode],"MAE")),"")</f>
        <v/>
      </c>
      <c r="H293" s="13" t="str">
        <f>IFERROR(IF(SUMIFS(tblDaily[Remaining],tblDaily[EntryDate],DATE(2026,8,6),tblDaily[WardCode],"MAE")=0,"",SUMIFS(tblDaily[Remaining],tblDaily[EntryDate],DATE(2026,8,6),tblDaily[WardCode],"MAE")),"")</f>
        <v/>
      </c>
      <c r="I293" s="13" t="str">
        <f>IFERROR(IF(SUMIFS(tblDaily[Admissions],tblDaily[EntryDate],DATE(2026,8,6),tblDaily[WardCode],"FAE")=0,"",SUMIFS(tblDaily[Admissions],tblDaily[EntryDate],DATE(2026,8,6),tblDaily[WardCode],"FAE")),"")</f>
        <v/>
      </c>
      <c r="J293" s="13" t="str">
        <f>IFERROR(IF(SUMIFS(tblDaily[Discharges],tblDaily[EntryDate],DATE(2026,8,6),tblDaily[WardCode],"FAE")=0,"",SUMIFS(tblDaily[Discharges],tblDaily[EntryDate],DATE(2026,8,6),tblDaily[WardCode],"FAE")),"")</f>
        <v/>
      </c>
      <c r="K293" s="13" t="str">
        <f>IFERROR(IF(SUMIFS(tblDaily[Deaths],tblDaily[EntryDate],DATE(2026,8,6),tblDaily[WardCode],"FAE")=0,"",SUMIFS(tblDaily[Deaths],tblDaily[EntryDate],DATE(2026,8,6),tblDaily[WardCode],"FAE")),"")</f>
        <v/>
      </c>
      <c r="L293" s="13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3" t="str">
        <f>IFERROR(IF(SUMIFS(tblDaily[TransfersIn],tblDaily[EntryDate],DATE(2026,8,6),tblDaily[WardCode],"FAE")=0,"",SUMIFS(tblDaily[TransfersIn],tblDaily[EntryDate],DATE(2026,8,6),tblDaily[WardCode],"FAE")),"")</f>
        <v/>
      </c>
      <c r="N293" s="13" t="str">
        <f>IFERROR(IF(SUMIFS(tblDaily[TransfersOut],tblDaily[EntryDate],DATE(2026,8,6),tblDaily[WardCode],"FAE")=0,"",SUMIFS(tblDaily[TransfersOut],tblDaily[EntryDate],DATE(2026,8,6),tblDaily[WardCode],"FAE")),"")</f>
        <v/>
      </c>
      <c r="O293" s="13" t="str">
        <f>IFERROR(IF(SUMIFS(tblDaily[Remaining],tblDaily[EntryDate],DATE(2026,8,6),tblDaily[WardCode],"FAE")=0,"",SUMIFS(tblDaily[Remaining],tblDaily[EntryDate],DATE(2026,8,6),tblDaily[WardCode],"FAE")),"")</f>
        <v/>
      </c>
    </row>
    <row r="294" spans="1:15" x14ac:dyDescent="0.25">
      <c r="A294" s="13">
        <v>7</v>
      </c>
      <c r="B294" s="13" t="str">
        <f>IFERROR(IF(SUMIFS(tblDaily[Admissions],tblDaily[EntryDate],DATE(2026,8,7),tblDaily[WardCode],"MAE")=0,"",SUMIFS(tblDaily[Admissions],tblDaily[EntryDate],DATE(2026,8,7),tblDaily[WardCode],"MAE")),"")</f>
        <v/>
      </c>
      <c r="C294" s="13" t="str">
        <f>IFERROR(IF(SUMIFS(tblDaily[Discharges],tblDaily[EntryDate],DATE(2026,8,7),tblDaily[WardCode],"MAE")=0,"",SUMIFS(tblDaily[Discharges],tblDaily[EntryDate],DATE(2026,8,7),tblDaily[WardCode],"MAE")),"")</f>
        <v/>
      </c>
      <c r="D294" s="13" t="str">
        <f>IFERROR(IF(SUMIFS(tblDaily[Deaths],tblDaily[EntryDate],DATE(2026,8,7),tblDaily[WardCode],"MAE")=0,"",SUMIFS(tblDaily[Deaths],tblDaily[EntryDate],DATE(2026,8,7),tblDaily[WardCode],"MAE")),"")</f>
        <v/>
      </c>
      <c r="E294" s="13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3" t="str">
        <f>IFERROR(IF(SUMIFS(tblDaily[TransfersIn],tblDaily[EntryDate],DATE(2026,8,7),tblDaily[WardCode],"MAE")=0,"",SUMIFS(tblDaily[TransfersIn],tblDaily[EntryDate],DATE(2026,8,7),tblDaily[WardCode],"MAE")),"")</f>
        <v/>
      </c>
      <c r="G294" s="13" t="str">
        <f>IFERROR(IF(SUMIFS(tblDaily[TransfersOut],tblDaily[EntryDate],DATE(2026,8,7),tblDaily[WardCode],"MAE")=0,"",SUMIFS(tblDaily[TransfersOut],tblDaily[EntryDate],DATE(2026,8,7),tblDaily[WardCode],"MAE")),"")</f>
        <v/>
      </c>
      <c r="H294" s="13" t="str">
        <f>IFERROR(IF(SUMIFS(tblDaily[Remaining],tblDaily[EntryDate],DATE(2026,8,7),tblDaily[WardCode],"MAE")=0,"",SUMIFS(tblDaily[Remaining],tblDaily[EntryDate],DATE(2026,8,7),tblDaily[WardCode],"MAE")),"")</f>
        <v/>
      </c>
      <c r="I294" s="13" t="str">
        <f>IFERROR(IF(SUMIFS(tblDaily[Admissions],tblDaily[EntryDate],DATE(2026,8,7),tblDaily[WardCode],"FAE")=0,"",SUMIFS(tblDaily[Admissions],tblDaily[EntryDate],DATE(2026,8,7),tblDaily[WardCode],"FAE")),"")</f>
        <v/>
      </c>
      <c r="J294" s="13" t="str">
        <f>IFERROR(IF(SUMIFS(tblDaily[Discharges],tblDaily[EntryDate],DATE(2026,8,7),tblDaily[WardCode],"FAE")=0,"",SUMIFS(tblDaily[Discharges],tblDaily[EntryDate],DATE(2026,8,7),tblDaily[WardCode],"FAE")),"")</f>
        <v/>
      </c>
      <c r="K294" s="13" t="str">
        <f>IFERROR(IF(SUMIFS(tblDaily[Deaths],tblDaily[EntryDate],DATE(2026,8,7),tblDaily[WardCode],"FAE")=0,"",SUMIFS(tblDaily[Deaths],tblDaily[EntryDate],DATE(2026,8,7),tblDaily[WardCode],"FAE")),"")</f>
        <v/>
      </c>
      <c r="L294" s="13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3" t="str">
        <f>IFERROR(IF(SUMIFS(tblDaily[TransfersIn],tblDaily[EntryDate],DATE(2026,8,7),tblDaily[WardCode],"FAE")=0,"",SUMIFS(tblDaily[TransfersIn],tblDaily[EntryDate],DATE(2026,8,7),tblDaily[WardCode],"FAE")),"")</f>
        <v/>
      </c>
      <c r="N294" s="13" t="str">
        <f>IFERROR(IF(SUMIFS(tblDaily[TransfersOut],tblDaily[EntryDate],DATE(2026,8,7),tblDaily[WardCode],"FAE")=0,"",SUMIFS(tblDaily[TransfersOut],tblDaily[EntryDate],DATE(2026,8,7),tblDaily[WardCode],"FAE")),"")</f>
        <v/>
      </c>
      <c r="O294" s="13" t="str">
        <f>IFERROR(IF(SUMIFS(tblDaily[Remaining],tblDaily[EntryDate],DATE(2026,8,7),tblDaily[WardCode],"FAE")=0,"",SUMIFS(tblDaily[Remaining],tblDaily[EntryDate],DATE(2026,8,7),tblDaily[WardCode],"FAE")),"")</f>
        <v/>
      </c>
    </row>
    <row r="295" spans="1:15" x14ac:dyDescent="0.25">
      <c r="A295" s="13">
        <v>8</v>
      </c>
      <c r="B295" s="13" t="str">
        <f>IFERROR(IF(SUMIFS(tblDaily[Admissions],tblDaily[EntryDate],DATE(2026,8,8),tblDaily[WardCode],"MAE")=0,"",SUMIFS(tblDaily[Admissions],tblDaily[EntryDate],DATE(2026,8,8),tblDaily[WardCode],"MAE")),"")</f>
        <v/>
      </c>
      <c r="C295" s="13" t="str">
        <f>IFERROR(IF(SUMIFS(tblDaily[Discharges],tblDaily[EntryDate],DATE(2026,8,8),tblDaily[WardCode],"MAE")=0,"",SUMIFS(tblDaily[Discharges],tblDaily[EntryDate],DATE(2026,8,8),tblDaily[WardCode],"MAE")),"")</f>
        <v/>
      </c>
      <c r="D295" s="13" t="str">
        <f>IFERROR(IF(SUMIFS(tblDaily[Deaths],tblDaily[EntryDate],DATE(2026,8,8),tblDaily[WardCode],"MAE")=0,"",SUMIFS(tblDaily[Deaths],tblDaily[EntryDate],DATE(2026,8,8),tblDaily[WardCode],"MAE")),"")</f>
        <v/>
      </c>
      <c r="E295" s="13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3" t="str">
        <f>IFERROR(IF(SUMIFS(tblDaily[TransfersIn],tblDaily[EntryDate],DATE(2026,8,8),tblDaily[WardCode],"MAE")=0,"",SUMIFS(tblDaily[TransfersIn],tblDaily[EntryDate],DATE(2026,8,8),tblDaily[WardCode],"MAE")),"")</f>
        <v/>
      </c>
      <c r="G295" s="13" t="str">
        <f>IFERROR(IF(SUMIFS(tblDaily[TransfersOut],tblDaily[EntryDate],DATE(2026,8,8),tblDaily[WardCode],"MAE")=0,"",SUMIFS(tblDaily[TransfersOut],tblDaily[EntryDate],DATE(2026,8,8),tblDaily[WardCode],"MAE")),"")</f>
        <v/>
      </c>
      <c r="H295" s="13" t="str">
        <f>IFERROR(IF(SUMIFS(tblDaily[Remaining],tblDaily[EntryDate],DATE(2026,8,8),tblDaily[WardCode],"MAE")=0,"",SUMIFS(tblDaily[Remaining],tblDaily[EntryDate],DATE(2026,8,8),tblDaily[WardCode],"MAE")),"")</f>
        <v/>
      </c>
      <c r="I295" s="13" t="str">
        <f>IFERROR(IF(SUMIFS(tblDaily[Admissions],tblDaily[EntryDate],DATE(2026,8,8),tblDaily[WardCode],"FAE")=0,"",SUMIFS(tblDaily[Admissions],tblDaily[EntryDate],DATE(2026,8,8),tblDaily[WardCode],"FAE")),"")</f>
        <v/>
      </c>
      <c r="J295" s="13" t="str">
        <f>IFERROR(IF(SUMIFS(tblDaily[Discharges],tblDaily[EntryDate],DATE(2026,8,8),tblDaily[WardCode],"FAE")=0,"",SUMIFS(tblDaily[Discharges],tblDaily[EntryDate],DATE(2026,8,8),tblDaily[WardCode],"FAE")),"")</f>
        <v/>
      </c>
      <c r="K295" s="13" t="str">
        <f>IFERROR(IF(SUMIFS(tblDaily[Deaths],tblDaily[EntryDate],DATE(2026,8,8),tblDaily[WardCode],"FAE")=0,"",SUMIFS(tblDaily[Deaths],tblDaily[EntryDate],DATE(2026,8,8),tblDaily[WardCode],"FAE")),"")</f>
        <v/>
      </c>
      <c r="L295" s="13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3" t="str">
        <f>IFERROR(IF(SUMIFS(tblDaily[TransfersIn],tblDaily[EntryDate],DATE(2026,8,8),tblDaily[WardCode],"FAE")=0,"",SUMIFS(tblDaily[TransfersIn],tblDaily[EntryDate],DATE(2026,8,8),tblDaily[WardCode],"FAE")),"")</f>
        <v/>
      </c>
      <c r="N295" s="13" t="str">
        <f>IFERROR(IF(SUMIFS(tblDaily[TransfersOut],tblDaily[EntryDate],DATE(2026,8,8),tblDaily[WardCode],"FAE")=0,"",SUMIFS(tblDaily[TransfersOut],tblDaily[EntryDate],DATE(2026,8,8),tblDaily[WardCode],"FAE")),"")</f>
        <v/>
      </c>
      <c r="O295" s="13" t="str">
        <f>IFERROR(IF(SUMIFS(tblDaily[Remaining],tblDaily[EntryDate],DATE(2026,8,8),tblDaily[WardCode],"FAE")=0,"",SUMIFS(tblDaily[Remaining],tblDaily[EntryDate],DATE(2026,8,8),tblDaily[WardCode],"FAE")),"")</f>
        <v/>
      </c>
    </row>
    <row r="296" spans="1:15" x14ac:dyDescent="0.25">
      <c r="A296" s="13">
        <v>9</v>
      </c>
      <c r="B296" s="13" t="str">
        <f>IFERROR(IF(SUMIFS(tblDaily[Admissions],tblDaily[EntryDate],DATE(2026,8,9),tblDaily[WardCode],"MAE")=0,"",SUMIFS(tblDaily[Admissions],tblDaily[EntryDate],DATE(2026,8,9),tblDaily[WardCode],"MAE")),"")</f>
        <v/>
      </c>
      <c r="C296" s="13" t="str">
        <f>IFERROR(IF(SUMIFS(tblDaily[Discharges],tblDaily[EntryDate],DATE(2026,8,9),tblDaily[WardCode],"MAE")=0,"",SUMIFS(tblDaily[Discharges],tblDaily[EntryDate],DATE(2026,8,9),tblDaily[WardCode],"MAE")),"")</f>
        <v/>
      </c>
      <c r="D296" s="13" t="str">
        <f>IFERROR(IF(SUMIFS(tblDaily[Deaths],tblDaily[EntryDate],DATE(2026,8,9),tblDaily[WardCode],"MAE")=0,"",SUMIFS(tblDaily[Deaths],tblDaily[EntryDate],DATE(2026,8,9),tblDaily[WardCode],"MAE")),"")</f>
        <v/>
      </c>
      <c r="E296" s="13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3" t="str">
        <f>IFERROR(IF(SUMIFS(tblDaily[TransfersIn],tblDaily[EntryDate],DATE(2026,8,9),tblDaily[WardCode],"MAE")=0,"",SUMIFS(tblDaily[TransfersIn],tblDaily[EntryDate],DATE(2026,8,9),tblDaily[WardCode],"MAE")),"")</f>
        <v/>
      </c>
      <c r="G296" s="13" t="str">
        <f>IFERROR(IF(SUMIFS(tblDaily[TransfersOut],tblDaily[EntryDate],DATE(2026,8,9),tblDaily[WardCode],"MAE")=0,"",SUMIFS(tblDaily[TransfersOut],tblDaily[EntryDate],DATE(2026,8,9),tblDaily[WardCode],"MAE")),"")</f>
        <v/>
      </c>
      <c r="H296" s="13" t="str">
        <f>IFERROR(IF(SUMIFS(tblDaily[Remaining],tblDaily[EntryDate],DATE(2026,8,9),tblDaily[WardCode],"MAE")=0,"",SUMIFS(tblDaily[Remaining],tblDaily[EntryDate],DATE(2026,8,9),tblDaily[WardCode],"MAE")),"")</f>
        <v/>
      </c>
      <c r="I296" s="13" t="str">
        <f>IFERROR(IF(SUMIFS(tblDaily[Admissions],tblDaily[EntryDate],DATE(2026,8,9),tblDaily[WardCode],"FAE")=0,"",SUMIFS(tblDaily[Admissions],tblDaily[EntryDate],DATE(2026,8,9),tblDaily[WardCode],"FAE")),"")</f>
        <v/>
      </c>
      <c r="J296" s="13" t="str">
        <f>IFERROR(IF(SUMIFS(tblDaily[Discharges],tblDaily[EntryDate],DATE(2026,8,9),tblDaily[WardCode],"FAE")=0,"",SUMIFS(tblDaily[Discharges],tblDaily[EntryDate],DATE(2026,8,9),tblDaily[WardCode],"FAE")),"")</f>
        <v/>
      </c>
      <c r="K296" s="13" t="str">
        <f>IFERROR(IF(SUMIFS(tblDaily[Deaths],tblDaily[EntryDate],DATE(2026,8,9),tblDaily[WardCode],"FAE")=0,"",SUMIFS(tblDaily[Deaths],tblDaily[EntryDate],DATE(2026,8,9),tblDaily[WardCode],"FAE")),"")</f>
        <v/>
      </c>
      <c r="L296" s="13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3" t="str">
        <f>IFERROR(IF(SUMIFS(tblDaily[TransfersIn],tblDaily[EntryDate],DATE(2026,8,9),tblDaily[WardCode],"FAE")=0,"",SUMIFS(tblDaily[TransfersIn],tblDaily[EntryDate],DATE(2026,8,9),tblDaily[WardCode],"FAE")),"")</f>
        <v/>
      </c>
      <c r="N296" s="13" t="str">
        <f>IFERROR(IF(SUMIFS(tblDaily[TransfersOut],tblDaily[EntryDate],DATE(2026,8,9),tblDaily[WardCode],"FAE")=0,"",SUMIFS(tblDaily[TransfersOut],tblDaily[EntryDate],DATE(2026,8,9),tblDaily[WardCode],"FAE")),"")</f>
        <v/>
      </c>
      <c r="O296" s="13" t="str">
        <f>IFERROR(IF(SUMIFS(tblDaily[Remaining],tblDaily[EntryDate],DATE(2026,8,9),tblDaily[WardCode],"FAE")=0,"",SUMIFS(tblDaily[Remaining],tblDaily[EntryDate],DATE(2026,8,9),tblDaily[WardCode],"FAE")),"")</f>
        <v/>
      </c>
    </row>
    <row r="297" spans="1:15" x14ac:dyDescent="0.25">
      <c r="A297" s="13">
        <v>10</v>
      </c>
      <c r="B297" s="13" t="str">
        <f>IFERROR(IF(SUMIFS(tblDaily[Admissions],tblDaily[EntryDate],DATE(2026,8,10),tblDaily[WardCode],"MAE")=0,"",SUMIFS(tblDaily[Admissions],tblDaily[EntryDate],DATE(2026,8,10),tblDaily[WardCode],"MAE")),"")</f>
        <v/>
      </c>
      <c r="C297" s="13" t="str">
        <f>IFERROR(IF(SUMIFS(tblDaily[Discharges],tblDaily[EntryDate],DATE(2026,8,10),tblDaily[WardCode],"MAE")=0,"",SUMIFS(tblDaily[Discharges],tblDaily[EntryDate],DATE(2026,8,10),tblDaily[WardCode],"MAE")),"")</f>
        <v/>
      </c>
      <c r="D297" s="13" t="str">
        <f>IFERROR(IF(SUMIFS(tblDaily[Deaths],tblDaily[EntryDate],DATE(2026,8,10),tblDaily[WardCode],"MAE")=0,"",SUMIFS(tblDaily[Deaths],tblDaily[EntryDate],DATE(2026,8,10),tblDaily[WardCode],"MAE")),"")</f>
        <v/>
      </c>
      <c r="E297" s="13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3" t="str">
        <f>IFERROR(IF(SUMIFS(tblDaily[TransfersIn],tblDaily[EntryDate],DATE(2026,8,10),tblDaily[WardCode],"MAE")=0,"",SUMIFS(tblDaily[TransfersIn],tblDaily[EntryDate],DATE(2026,8,10),tblDaily[WardCode],"MAE")),"")</f>
        <v/>
      </c>
      <c r="G297" s="13" t="str">
        <f>IFERROR(IF(SUMIFS(tblDaily[TransfersOut],tblDaily[EntryDate],DATE(2026,8,10),tblDaily[WardCode],"MAE")=0,"",SUMIFS(tblDaily[TransfersOut],tblDaily[EntryDate],DATE(2026,8,10),tblDaily[WardCode],"MAE")),"")</f>
        <v/>
      </c>
      <c r="H297" s="13" t="str">
        <f>IFERROR(IF(SUMIFS(tblDaily[Remaining],tblDaily[EntryDate],DATE(2026,8,10),tblDaily[WardCode],"MAE")=0,"",SUMIFS(tblDaily[Remaining],tblDaily[EntryDate],DATE(2026,8,10),tblDaily[WardCode],"MAE")),"")</f>
        <v/>
      </c>
      <c r="I297" s="13" t="str">
        <f>IFERROR(IF(SUMIFS(tblDaily[Admissions],tblDaily[EntryDate],DATE(2026,8,10),tblDaily[WardCode],"FAE")=0,"",SUMIFS(tblDaily[Admissions],tblDaily[EntryDate],DATE(2026,8,10),tblDaily[WardCode],"FAE")),"")</f>
        <v/>
      </c>
      <c r="J297" s="13" t="str">
        <f>IFERROR(IF(SUMIFS(tblDaily[Discharges],tblDaily[EntryDate],DATE(2026,8,10),tblDaily[WardCode],"FAE")=0,"",SUMIFS(tblDaily[Discharges],tblDaily[EntryDate],DATE(2026,8,10),tblDaily[WardCode],"FAE")),"")</f>
        <v/>
      </c>
      <c r="K297" s="13" t="str">
        <f>IFERROR(IF(SUMIFS(tblDaily[Deaths],tblDaily[EntryDate],DATE(2026,8,10),tblDaily[WardCode],"FAE")=0,"",SUMIFS(tblDaily[Deaths],tblDaily[EntryDate],DATE(2026,8,10),tblDaily[WardCode],"FAE")),"")</f>
        <v/>
      </c>
      <c r="L297" s="13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3" t="str">
        <f>IFERROR(IF(SUMIFS(tblDaily[TransfersIn],tblDaily[EntryDate],DATE(2026,8,10),tblDaily[WardCode],"FAE")=0,"",SUMIFS(tblDaily[TransfersIn],tblDaily[EntryDate],DATE(2026,8,10),tblDaily[WardCode],"FAE")),"")</f>
        <v/>
      </c>
      <c r="N297" s="13" t="str">
        <f>IFERROR(IF(SUMIFS(tblDaily[TransfersOut],tblDaily[EntryDate],DATE(2026,8,10),tblDaily[WardCode],"FAE")=0,"",SUMIFS(tblDaily[TransfersOut],tblDaily[EntryDate],DATE(2026,8,10),tblDaily[WardCode],"FAE")),"")</f>
        <v/>
      </c>
      <c r="O297" s="13" t="str">
        <f>IFERROR(IF(SUMIFS(tblDaily[Remaining],tblDaily[EntryDate],DATE(2026,8,10),tblDaily[WardCode],"FAE")=0,"",SUMIFS(tblDaily[Remaining],tblDaily[EntryDate],DATE(2026,8,10),tblDaily[WardCode],"FAE")),"")</f>
        <v/>
      </c>
    </row>
    <row r="298" spans="1:15" x14ac:dyDescent="0.25">
      <c r="A298" s="13">
        <v>11</v>
      </c>
      <c r="B298" s="13" t="str">
        <f>IFERROR(IF(SUMIFS(tblDaily[Admissions],tblDaily[EntryDate],DATE(2026,8,11),tblDaily[WardCode],"MAE")=0,"",SUMIFS(tblDaily[Admissions],tblDaily[EntryDate],DATE(2026,8,11),tblDaily[WardCode],"MAE")),"")</f>
        <v/>
      </c>
      <c r="C298" s="13" t="str">
        <f>IFERROR(IF(SUMIFS(tblDaily[Discharges],tblDaily[EntryDate],DATE(2026,8,11),tblDaily[WardCode],"MAE")=0,"",SUMIFS(tblDaily[Discharges],tblDaily[EntryDate],DATE(2026,8,11),tblDaily[WardCode],"MAE")),"")</f>
        <v/>
      </c>
      <c r="D298" s="13" t="str">
        <f>IFERROR(IF(SUMIFS(tblDaily[Deaths],tblDaily[EntryDate],DATE(2026,8,11),tblDaily[WardCode],"MAE")=0,"",SUMIFS(tblDaily[Deaths],tblDaily[EntryDate],DATE(2026,8,11),tblDaily[WardCode],"MAE")),"")</f>
        <v/>
      </c>
      <c r="E298" s="13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3" t="str">
        <f>IFERROR(IF(SUMIFS(tblDaily[TransfersIn],tblDaily[EntryDate],DATE(2026,8,11),tblDaily[WardCode],"MAE")=0,"",SUMIFS(tblDaily[TransfersIn],tblDaily[EntryDate],DATE(2026,8,11),tblDaily[WardCode],"MAE")),"")</f>
        <v/>
      </c>
      <c r="G298" s="13" t="str">
        <f>IFERROR(IF(SUMIFS(tblDaily[TransfersOut],tblDaily[EntryDate],DATE(2026,8,11),tblDaily[WardCode],"MAE")=0,"",SUMIFS(tblDaily[TransfersOut],tblDaily[EntryDate],DATE(2026,8,11),tblDaily[WardCode],"MAE")),"")</f>
        <v/>
      </c>
      <c r="H298" s="13" t="str">
        <f>IFERROR(IF(SUMIFS(tblDaily[Remaining],tblDaily[EntryDate],DATE(2026,8,11),tblDaily[WardCode],"MAE")=0,"",SUMIFS(tblDaily[Remaining],tblDaily[EntryDate],DATE(2026,8,11),tblDaily[WardCode],"MAE")),"")</f>
        <v/>
      </c>
      <c r="I298" s="13" t="str">
        <f>IFERROR(IF(SUMIFS(tblDaily[Admissions],tblDaily[EntryDate],DATE(2026,8,11),tblDaily[WardCode],"FAE")=0,"",SUMIFS(tblDaily[Admissions],tblDaily[EntryDate],DATE(2026,8,11),tblDaily[WardCode],"FAE")),"")</f>
        <v/>
      </c>
      <c r="J298" s="13" t="str">
        <f>IFERROR(IF(SUMIFS(tblDaily[Discharges],tblDaily[EntryDate],DATE(2026,8,11),tblDaily[WardCode],"FAE")=0,"",SUMIFS(tblDaily[Discharges],tblDaily[EntryDate],DATE(2026,8,11),tblDaily[WardCode],"FAE")),"")</f>
        <v/>
      </c>
      <c r="K298" s="13" t="str">
        <f>IFERROR(IF(SUMIFS(tblDaily[Deaths],tblDaily[EntryDate],DATE(2026,8,11),tblDaily[WardCode],"FAE")=0,"",SUMIFS(tblDaily[Deaths],tblDaily[EntryDate],DATE(2026,8,11),tblDaily[WardCode],"FAE")),"")</f>
        <v/>
      </c>
      <c r="L298" s="13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3" t="str">
        <f>IFERROR(IF(SUMIFS(tblDaily[TransfersIn],tblDaily[EntryDate],DATE(2026,8,11),tblDaily[WardCode],"FAE")=0,"",SUMIFS(tblDaily[TransfersIn],tblDaily[EntryDate],DATE(2026,8,11),tblDaily[WardCode],"FAE")),"")</f>
        <v/>
      </c>
      <c r="N298" s="13" t="str">
        <f>IFERROR(IF(SUMIFS(tblDaily[TransfersOut],tblDaily[EntryDate],DATE(2026,8,11),tblDaily[WardCode],"FAE")=0,"",SUMIFS(tblDaily[TransfersOut],tblDaily[EntryDate],DATE(2026,8,11),tblDaily[WardCode],"FAE")),"")</f>
        <v/>
      </c>
      <c r="O298" s="13" t="str">
        <f>IFERROR(IF(SUMIFS(tblDaily[Remaining],tblDaily[EntryDate],DATE(2026,8,11),tblDaily[WardCode],"FAE")=0,"",SUMIFS(tblDaily[Remaining],tblDaily[EntryDate],DATE(2026,8,11),tblDaily[WardCode],"FAE")),"")</f>
        <v/>
      </c>
    </row>
    <row r="299" spans="1:15" x14ac:dyDescent="0.25">
      <c r="A299" s="13">
        <v>12</v>
      </c>
      <c r="B299" s="13" t="str">
        <f>IFERROR(IF(SUMIFS(tblDaily[Admissions],tblDaily[EntryDate],DATE(2026,8,12),tblDaily[WardCode],"MAE")=0,"",SUMIFS(tblDaily[Admissions],tblDaily[EntryDate],DATE(2026,8,12),tblDaily[WardCode],"MAE")),"")</f>
        <v/>
      </c>
      <c r="C299" s="13" t="str">
        <f>IFERROR(IF(SUMIFS(tblDaily[Discharges],tblDaily[EntryDate],DATE(2026,8,12),tblDaily[WardCode],"MAE")=0,"",SUMIFS(tblDaily[Discharges],tblDaily[EntryDate],DATE(2026,8,12),tblDaily[WardCode],"MAE")),"")</f>
        <v/>
      </c>
      <c r="D299" s="13" t="str">
        <f>IFERROR(IF(SUMIFS(tblDaily[Deaths],tblDaily[EntryDate],DATE(2026,8,12),tblDaily[WardCode],"MAE")=0,"",SUMIFS(tblDaily[Deaths],tblDaily[EntryDate],DATE(2026,8,12),tblDaily[WardCode],"MAE")),"")</f>
        <v/>
      </c>
      <c r="E299" s="13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3" t="str">
        <f>IFERROR(IF(SUMIFS(tblDaily[TransfersIn],tblDaily[EntryDate],DATE(2026,8,12),tblDaily[WardCode],"MAE")=0,"",SUMIFS(tblDaily[TransfersIn],tblDaily[EntryDate],DATE(2026,8,12),tblDaily[WardCode],"MAE")),"")</f>
        <v/>
      </c>
      <c r="G299" s="13" t="str">
        <f>IFERROR(IF(SUMIFS(tblDaily[TransfersOut],tblDaily[EntryDate],DATE(2026,8,12),tblDaily[WardCode],"MAE")=0,"",SUMIFS(tblDaily[TransfersOut],tblDaily[EntryDate],DATE(2026,8,12),tblDaily[WardCode],"MAE")),"")</f>
        <v/>
      </c>
      <c r="H299" s="13" t="str">
        <f>IFERROR(IF(SUMIFS(tblDaily[Remaining],tblDaily[EntryDate],DATE(2026,8,12),tblDaily[WardCode],"MAE")=0,"",SUMIFS(tblDaily[Remaining],tblDaily[EntryDate],DATE(2026,8,12),tblDaily[WardCode],"MAE")),"")</f>
        <v/>
      </c>
      <c r="I299" s="13" t="str">
        <f>IFERROR(IF(SUMIFS(tblDaily[Admissions],tblDaily[EntryDate],DATE(2026,8,12),tblDaily[WardCode],"FAE")=0,"",SUMIFS(tblDaily[Admissions],tblDaily[EntryDate],DATE(2026,8,12),tblDaily[WardCode],"FAE")),"")</f>
        <v/>
      </c>
      <c r="J299" s="13" t="str">
        <f>IFERROR(IF(SUMIFS(tblDaily[Discharges],tblDaily[EntryDate],DATE(2026,8,12),tblDaily[WardCode],"FAE")=0,"",SUMIFS(tblDaily[Discharges],tblDaily[EntryDate],DATE(2026,8,12),tblDaily[WardCode],"FAE")),"")</f>
        <v/>
      </c>
      <c r="K299" s="13" t="str">
        <f>IFERROR(IF(SUMIFS(tblDaily[Deaths],tblDaily[EntryDate],DATE(2026,8,12),tblDaily[WardCode],"FAE")=0,"",SUMIFS(tblDaily[Deaths],tblDaily[EntryDate],DATE(2026,8,12),tblDaily[WardCode],"FAE")),"")</f>
        <v/>
      </c>
      <c r="L299" s="13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3" t="str">
        <f>IFERROR(IF(SUMIFS(tblDaily[TransfersIn],tblDaily[EntryDate],DATE(2026,8,12),tblDaily[WardCode],"FAE")=0,"",SUMIFS(tblDaily[TransfersIn],tblDaily[EntryDate],DATE(2026,8,12),tblDaily[WardCode],"FAE")),"")</f>
        <v/>
      </c>
      <c r="N299" s="13" t="str">
        <f>IFERROR(IF(SUMIFS(tblDaily[TransfersOut],tblDaily[EntryDate],DATE(2026,8,12),tblDaily[WardCode],"FAE")=0,"",SUMIFS(tblDaily[TransfersOut],tblDaily[EntryDate],DATE(2026,8,12),tblDaily[WardCode],"FAE")),"")</f>
        <v/>
      </c>
      <c r="O299" s="13" t="str">
        <f>IFERROR(IF(SUMIFS(tblDaily[Remaining],tblDaily[EntryDate],DATE(2026,8,12),tblDaily[WardCode],"FAE")=0,"",SUMIFS(tblDaily[Remaining],tblDaily[EntryDate],DATE(2026,8,12),tblDaily[WardCode],"FAE")),"")</f>
        <v/>
      </c>
    </row>
    <row r="300" spans="1:15" x14ac:dyDescent="0.25">
      <c r="A300" s="13">
        <v>13</v>
      </c>
      <c r="B300" s="13" t="str">
        <f>IFERROR(IF(SUMIFS(tblDaily[Admissions],tblDaily[EntryDate],DATE(2026,8,13),tblDaily[WardCode],"MAE")=0,"",SUMIFS(tblDaily[Admissions],tblDaily[EntryDate],DATE(2026,8,13),tblDaily[WardCode],"MAE")),"")</f>
        <v/>
      </c>
      <c r="C300" s="13" t="str">
        <f>IFERROR(IF(SUMIFS(tblDaily[Discharges],tblDaily[EntryDate],DATE(2026,8,13),tblDaily[WardCode],"MAE")=0,"",SUMIFS(tblDaily[Discharges],tblDaily[EntryDate],DATE(2026,8,13),tblDaily[WardCode],"MAE")),"")</f>
        <v/>
      </c>
      <c r="D300" s="13" t="str">
        <f>IFERROR(IF(SUMIFS(tblDaily[Deaths],tblDaily[EntryDate],DATE(2026,8,13),tblDaily[WardCode],"MAE")=0,"",SUMIFS(tblDaily[Deaths],tblDaily[EntryDate],DATE(2026,8,13),tblDaily[WardCode],"MAE")),"")</f>
        <v/>
      </c>
      <c r="E300" s="13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3" t="str">
        <f>IFERROR(IF(SUMIFS(tblDaily[TransfersIn],tblDaily[EntryDate],DATE(2026,8,13),tblDaily[WardCode],"MAE")=0,"",SUMIFS(tblDaily[TransfersIn],tblDaily[EntryDate],DATE(2026,8,13),tblDaily[WardCode],"MAE")),"")</f>
        <v/>
      </c>
      <c r="G300" s="13" t="str">
        <f>IFERROR(IF(SUMIFS(tblDaily[TransfersOut],tblDaily[EntryDate],DATE(2026,8,13),tblDaily[WardCode],"MAE")=0,"",SUMIFS(tblDaily[TransfersOut],tblDaily[EntryDate],DATE(2026,8,13),tblDaily[WardCode],"MAE")),"")</f>
        <v/>
      </c>
      <c r="H300" s="13" t="str">
        <f>IFERROR(IF(SUMIFS(tblDaily[Remaining],tblDaily[EntryDate],DATE(2026,8,13),tblDaily[WardCode],"MAE")=0,"",SUMIFS(tblDaily[Remaining],tblDaily[EntryDate],DATE(2026,8,13),tblDaily[WardCode],"MAE")),"")</f>
        <v/>
      </c>
      <c r="I300" s="13" t="str">
        <f>IFERROR(IF(SUMIFS(tblDaily[Admissions],tblDaily[EntryDate],DATE(2026,8,13),tblDaily[WardCode],"FAE")=0,"",SUMIFS(tblDaily[Admissions],tblDaily[EntryDate],DATE(2026,8,13),tblDaily[WardCode],"FAE")),"")</f>
        <v/>
      </c>
      <c r="J300" s="13" t="str">
        <f>IFERROR(IF(SUMIFS(tblDaily[Discharges],tblDaily[EntryDate],DATE(2026,8,13),tblDaily[WardCode],"FAE")=0,"",SUMIFS(tblDaily[Discharges],tblDaily[EntryDate],DATE(2026,8,13),tblDaily[WardCode],"FAE")),"")</f>
        <v/>
      </c>
      <c r="K300" s="13" t="str">
        <f>IFERROR(IF(SUMIFS(tblDaily[Deaths],tblDaily[EntryDate],DATE(2026,8,13),tblDaily[WardCode],"FAE")=0,"",SUMIFS(tblDaily[Deaths],tblDaily[EntryDate],DATE(2026,8,13),tblDaily[WardCode],"FAE")),"")</f>
        <v/>
      </c>
      <c r="L300" s="13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3" t="str">
        <f>IFERROR(IF(SUMIFS(tblDaily[TransfersIn],tblDaily[EntryDate],DATE(2026,8,13),tblDaily[WardCode],"FAE")=0,"",SUMIFS(tblDaily[TransfersIn],tblDaily[EntryDate],DATE(2026,8,13),tblDaily[WardCode],"FAE")),"")</f>
        <v/>
      </c>
      <c r="N300" s="13" t="str">
        <f>IFERROR(IF(SUMIFS(tblDaily[TransfersOut],tblDaily[EntryDate],DATE(2026,8,13),tblDaily[WardCode],"FAE")=0,"",SUMIFS(tblDaily[TransfersOut],tblDaily[EntryDate],DATE(2026,8,13),tblDaily[WardCode],"FAE")),"")</f>
        <v/>
      </c>
      <c r="O300" s="13" t="str">
        <f>IFERROR(IF(SUMIFS(tblDaily[Remaining],tblDaily[EntryDate],DATE(2026,8,13),tblDaily[WardCode],"FAE")=0,"",SUMIFS(tblDaily[Remaining],tblDaily[EntryDate],DATE(2026,8,13),tblDaily[WardCode],"FAE")),"")</f>
        <v/>
      </c>
    </row>
    <row r="301" spans="1:15" x14ac:dyDescent="0.25">
      <c r="A301" s="13">
        <v>14</v>
      </c>
      <c r="B301" s="13" t="str">
        <f>IFERROR(IF(SUMIFS(tblDaily[Admissions],tblDaily[EntryDate],DATE(2026,8,14),tblDaily[WardCode],"MAE")=0,"",SUMIFS(tblDaily[Admissions],tblDaily[EntryDate],DATE(2026,8,14),tblDaily[WardCode],"MAE")),"")</f>
        <v/>
      </c>
      <c r="C301" s="13" t="str">
        <f>IFERROR(IF(SUMIFS(tblDaily[Discharges],tblDaily[EntryDate],DATE(2026,8,14),tblDaily[WardCode],"MAE")=0,"",SUMIFS(tblDaily[Discharges],tblDaily[EntryDate],DATE(2026,8,14),tblDaily[WardCode],"MAE")),"")</f>
        <v/>
      </c>
      <c r="D301" s="13" t="str">
        <f>IFERROR(IF(SUMIFS(tblDaily[Deaths],tblDaily[EntryDate],DATE(2026,8,14),tblDaily[WardCode],"MAE")=0,"",SUMIFS(tblDaily[Deaths],tblDaily[EntryDate],DATE(2026,8,14),tblDaily[WardCode],"MAE")),"")</f>
        <v/>
      </c>
      <c r="E301" s="13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3" t="str">
        <f>IFERROR(IF(SUMIFS(tblDaily[TransfersIn],tblDaily[EntryDate],DATE(2026,8,14),tblDaily[WardCode],"MAE")=0,"",SUMIFS(tblDaily[TransfersIn],tblDaily[EntryDate],DATE(2026,8,14),tblDaily[WardCode],"MAE")),"")</f>
        <v/>
      </c>
      <c r="G301" s="13" t="str">
        <f>IFERROR(IF(SUMIFS(tblDaily[TransfersOut],tblDaily[EntryDate],DATE(2026,8,14),tblDaily[WardCode],"MAE")=0,"",SUMIFS(tblDaily[TransfersOut],tblDaily[EntryDate],DATE(2026,8,14),tblDaily[WardCode],"MAE")),"")</f>
        <v/>
      </c>
      <c r="H301" s="13" t="str">
        <f>IFERROR(IF(SUMIFS(tblDaily[Remaining],tblDaily[EntryDate],DATE(2026,8,14),tblDaily[WardCode],"MAE")=0,"",SUMIFS(tblDaily[Remaining],tblDaily[EntryDate],DATE(2026,8,14),tblDaily[WardCode],"MAE")),"")</f>
        <v/>
      </c>
      <c r="I301" s="13" t="str">
        <f>IFERROR(IF(SUMIFS(tblDaily[Admissions],tblDaily[EntryDate],DATE(2026,8,14),tblDaily[WardCode],"FAE")=0,"",SUMIFS(tblDaily[Admissions],tblDaily[EntryDate],DATE(2026,8,14),tblDaily[WardCode],"FAE")),"")</f>
        <v/>
      </c>
      <c r="J301" s="13" t="str">
        <f>IFERROR(IF(SUMIFS(tblDaily[Discharges],tblDaily[EntryDate],DATE(2026,8,14),tblDaily[WardCode],"FAE")=0,"",SUMIFS(tblDaily[Discharges],tblDaily[EntryDate],DATE(2026,8,14),tblDaily[WardCode],"FAE")),"")</f>
        <v/>
      </c>
      <c r="K301" s="13" t="str">
        <f>IFERROR(IF(SUMIFS(tblDaily[Deaths],tblDaily[EntryDate],DATE(2026,8,14),tblDaily[WardCode],"FAE")=0,"",SUMIFS(tblDaily[Deaths],tblDaily[EntryDate],DATE(2026,8,14),tblDaily[WardCode],"FAE")),"")</f>
        <v/>
      </c>
      <c r="L301" s="13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3" t="str">
        <f>IFERROR(IF(SUMIFS(tblDaily[TransfersIn],tblDaily[EntryDate],DATE(2026,8,14),tblDaily[WardCode],"FAE")=0,"",SUMIFS(tblDaily[TransfersIn],tblDaily[EntryDate],DATE(2026,8,14),tblDaily[WardCode],"FAE")),"")</f>
        <v/>
      </c>
      <c r="N301" s="13" t="str">
        <f>IFERROR(IF(SUMIFS(tblDaily[TransfersOut],tblDaily[EntryDate],DATE(2026,8,14),tblDaily[WardCode],"FAE")=0,"",SUMIFS(tblDaily[TransfersOut],tblDaily[EntryDate],DATE(2026,8,14),tblDaily[WardCode],"FAE")),"")</f>
        <v/>
      </c>
      <c r="O301" s="13" t="str">
        <f>IFERROR(IF(SUMIFS(tblDaily[Remaining],tblDaily[EntryDate],DATE(2026,8,14),tblDaily[WardCode],"FAE")=0,"",SUMIFS(tblDaily[Remaining],tblDaily[EntryDate],DATE(2026,8,14),tblDaily[WardCode],"FAE")),"")</f>
        <v/>
      </c>
    </row>
    <row r="302" spans="1:15" x14ac:dyDescent="0.25">
      <c r="A302" s="13">
        <v>15</v>
      </c>
      <c r="B302" s="13" t="str">
        <f>IFERROR(IF(SUMIFS(tblDaily[Admissions],tblDaily[EntryDate],DATE(2026,8,15),tblDaily[WardCode],"MAE")=0,"",SUMIFS(tblDaily[Admissions],tblDaily[EntryDate],DATE(2026,8,15),tblDaily[WardCode],"MAE")),"")</f>
        <v/>
      </c>
      <c r="C302" s="13" t="str">
        <f>IFERROR(IF(SUMIFS(tblDaily[Discharges],tblDaily[EntryDate],DATE(2026,8,15),tblDaily[WardCode],"MAE")=0,"",SUMIFS(tblDaily[Discharges],tblDaily[EntryDate],DATE(2026,8,15),tblDaily[WardCode],"MAE")),"")</f>
        <v/>
      </c>
      <c r="D302" s="13" t="str">
        <f>IFERROR(IF(SUMIFS(tblDaily[Deaths],tblDaily[EntryDate],DATE(2026,8,15),tblDaily[WardCode],"MAE")=0,"",SUMIFS(tblDaily[Deaths],tblDaily[EntryDate],DATE(2026,8,15),tblDaily[WardCode],"MAE")),"")</f>
        <v/>
      </c>
      <c r="E302" s="13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3" t="str">
        <f>IFERROR(IF(SUMIFS(tblDaily[TransfersIn],tblDaily[EntryDate],DATE(2026,8,15),tblDaily[WardCode],"MAE")=0,"",SUMIFS(tblDaily[TransfersIn],tblDaily[EntryDate],DATE(2026,8,15),tblDaily[WardCode],"MAE")),"")</f>
        <v/>
      </c>
      <c r="G302" s="13" t="str">
        <f>IFERROR(IF(SUMIFS(tblDaily[TransfersOut],tblDaily[EntryDate],DATE(2026,8,15),tblDaily[WardCode],"MAE")=0,"",SUMIFS(tblDaily[TransfersOut],tblDaily[EntryDate],DATE(2026,8,15),tblDaily[WardCode],"MAE")),"")</f>
        <v/>
      </c>
      <c r="H302" s="13" t="str">
        <f>IFERROR(IF(SUMIFS(tblDaily[Remaining],tblDaily[EntryDate],DATE(2026,8,15),tblDaily[WardCode],"MAE")=0,"",SUMIFS(tblDaily[Remaining],tblDaily[EntryDate],DATE(2026,8,15),tblDaily[WardCode],"MAE")),"")</f>
        <v/>
      </c>
      <c r="I302" s="13" t="str">
        <f>IFERROR(IF(SUMIFS(tblDaily[Admissions],tblDaily[EntryDate],DATE(2026,8,15),tblDaily[WardCode],"FAE")=0,"",SUMIFS(tblDaily[Admissions],tblDaily[EntryDate],DATE(2026,8,15),tblDaily[WardCode],"FAE")),"")</f>
        <v/>
      </c>
      <c r="J302" s="13" t="str">
        <f>IFERROR(IF(SUMIFS(tblDaily[Discharges],tblDaily[EntryDate],DATE(2026,8,15),tblDaily[WardCode],"FAE")=0,"",SUMIFS(tblDaily[Discharges],tblDaily[EntryDate],DATE(2026,8,15),tblDaily[WardCode],"FAE")),"")</f>
        <v/>
      </c>
      <c r="K302" s="13" t="str">
        <f>IFERROR(IF(SUMIFS(tblDaily[Deaths],tblDaily[EntryDate],DATE(2026,8,15),tblDaily[WardCode],"FAE")=0,"",SUMIFS(tblDaily[Deaths],tblDaily[EntryDate],DATE(2026,8,15),tblDaily[WardCode],"FAE")),"")</f>
        <v/>
      </c>
      <c r="L302" s="13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3" t="str">
        <f>IFERROR(IF(SUMIFS(tblDaily[TransfersIn],tblDaily[EntryDate],DATE(2026,8,15),tblDaily[WardCode],"FAE")=0,"",SUMIFS(tblDaily[TransfersIn],tblDaily[EntryDate],DATE(2026,8,15),tblDaily[WardCode],"FAE")),"")</f>
        <v/>
      </c>
      <c r="N302" s="13" t="str">
        <f>IFERROR(IF(SUMIFS(tblDaily[TransfersOut],tblDaily[EntryDate],DATE(2026,8,15),tblDaily[WardCode],"FAE")=0,"",SUMIFS(tblDaily[TransfersOut],tblDaily[EntryDate],DATE(2026,8,15),tblDaily[WardCode],"FAE")),"")</f>
        <v/>
      </c>
      <c r="O302" s="13" t="str">
        <f>IFERROR(IF(SUMIFS(tblDaily[Remaining],tblDaily[EntryDate],DATE(2026,8,15),tblDaily[WardCode],"FAE")=0,"",SUMIFS(tblDaily[Remaining],tblDaily[EntryDate],DATE(2026,8,15),tblDaily[WardCode],"FAE")),"")</f>
        <v/>
      </c>
    </row>
    <row r="303" spans="1:15" x14ac:dyDescent="0.25">
      <c r="A303" s="13">
        <v>16</v>
      </c>
      <c r="B303" s="13" t="str">
        <f>IFERROR(IF(SUMIFS(tblDaily[Admissions],tblDaily[EntryDate],DATE(2026,8,16),tblDaily[WardCode],"MAE")=0,"",SUMIFS(tblDaily[Admissions],tblDaily[EntryDate],DATE(2026,8,16),tblDaily[WardCode],"MAE")),"")</f>
        <v/>
      </c>
      <c r="C303" s="13" t="str">
        <f>IFERROR(IF(SUMIFS(tblDaily[Discharges],tblDaily[EntryDate],DATE(2026,8,16),tblDaily[WardCode],"MAE")=0,"",SUMIFS(tblDaily[Discharges],tblDaily[EntryDate],DATE(2026,8,16),tblDaily[WardCode],"MAE")),"")</f>
        <v/>
      </c>
      <c r="D303" s="13" t="str">
        <f>IFERROR(IF(SUMIFS(tblDaily[Deaths],tblDaily[EntryDate],DATE(2026,8,16),tblDaily[WardCode],"MAE")=0,"",SUMIFS(tblDaily[Deaths],tblDaily[EntryDate],DATE(2026,8,16),tblDaily[WardCode],"MAE")),"")</f>
        <v/>
      </c>
      <c r="E303" s="13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3" t="str">
        <f>IFERROR(IF(SUMIFS(tblDaily[TransfersIn],tblDaily[EntryDate],DATE(2026,8,16),tblDaily[WardCode],"MAE")=0,"",SUMIFS(tblDaily[TransfersIn],tblDaily[EntryDate],DATE(2026,8,16),tblDaily[WardCode],"MAE")),"")</f>
        <v/>
      </c>
      <c r="G303" s="13" t="str">
        <f>IFERROR(IF(SUMIFS(tblDaily[TransfersOut],tblDaily[EntryDate],DATE(2026,8,16),tblDaily[WardCode],"MAE")=0,"",SUMIFS(tblDaily[TransfersOut],tblDaily[EntryDate],DATE(2026,8,16),tblDaily[WardCode],"MAE")),"")</f>
        <v/>
      </c>
      <c r="H303" s="13" t="str">
        <f>IFERROR(IF(SUMIFS(tblDaily[Remaining],tblDaily[EntryDate],DATE(2026,8,16),tblDaily[WardCode],"MAE")=0,"",SUMIFS(tblDaily[Remaining],tblDaily[EntryDate],DATE(2026,8,16),tblDaily[WardCode],"MAE")),"")</f>
        <v/>
      </c>
      <c r="I303" s="13" t="str">
        <f>IFERROR(IF(SUMIFS(tblDaily[Admissions],tblDaily[EntryDate],DATE(2026,8,16),tblDaily[WardCode],"FAE")=0,"",SUMIFS(tblDaily[Admissions],tblDaily[EntryDate],DATE(2026,8,16),tblDaily[WardCode],"FAE")),"")</f>
        <v/>
      </c>
      <c r="J303" s="13" t="str">
        <f>IFERROR(IF(SUMIFS(tblDaily[Discharges],tblDaily[EntryDate],DATE(2026,8,16),tblDaily[WardCode],"FAE")=0,"",SUMIFS(tblDaily[Discharges],tblDaily[EntryDate],DATE(2026,8,16),tblDaily[WardCode],"FAE")),"")</f>
        <v/>
      </c>
      <c r="K303" s="13" t="str">
        <f>IFERROR(IF(SUMIFS(tblDaily[Deaths],tblDaily[EntryDate],DATE(2026,8,16),tblDaily[WardCode],"FAE")=0,"",SUMIFS(tblDaily[Deaths],tblDaily[EntryDate],DATE(2026,8,16),tblDaily[WardCode],"FAE")),"")</f>
        <v/>
      </c>
      <c r="L303" s="13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3" t="str">
        <f>IFERROR(IF(SUMIFS(tblDaily[TransfersIn],tblDaily[EntryDate],DATE(2026,8,16),tblDaily[WardCode],"FAE")=0,"",SUMIFS(tblDaily[TransfersIn],tblDaily[EntryDate],DATE(2026,8,16),tblDaily[WardCode],"FAE")),"")</f>
        <v/>
      </c>
      <c r="N303" s="13" t="str">
        <f>IFERROR(IF(SUMIFS(tblDaily[TransfersOut],tblDaily[EntryDate],DATE(2026,8,16),tblDaily[WardCode],"FAE")=0,"",SUMIFS(tblDaily[TransfersOut],tblDaily[EntryDate],DATE(2026,8,16),tblDaily[WardCode],"FAE")),"")</f>
        <v/>
      </c>
      <c r="O303" s="13" t="str">
        <f>IFERROR(IF(SUMIFS(tblDaily[Remaining],tblDaily[EntryDate],DATE(2026,8,16),tblDaily[WardCode],"FAE")=0,"",SUMIFS(tblDaily[Remaining],tblDaily[EntryDate],DATE(2026,8,16),tblDaily[WardCode],"FAE")),"")</f>
        <v/>
      </c>
    </row>
    <row r="304" spans="1:15" x14ac:dyDescent="0.25">
      <c r="A304" s="13">
        <v>17</v>
      </c>
      <c r="B304" s="13" t="str">
        <f>IFERROR(IF(SUMIFS(tblDaily[Admissions],tblDaily[EntryDate],DATE(2026,8,17),tblDaily[WardCode],"MAE")=0,"",SUMIFS(tblDaily[Admissions],tblDaily[EntryDate],DATE(2026,8,17),tblDaily[WardCode],"MAE")),"")</f>
        <v/>
      </c>
      <c r="C304" s="13" t="str">
        <f>IFERROR(IF(SUMIFS(tblDaily[Discharges],tblDaily[EntryDate],DATE(2026,8,17),tblDaily[WardCode],"MAE")=0,"",SUMIFS(tblDaily[Discharges],tblDaily[EntryDate],DATE(2026,8,17),tblDaily[WardCode],"MAE")),"")</f>
        <v/>
      </c>
      <c r="D304" s="13" t="str">
        <f>IFERROR(IF(SUMIFS(tblDaily[Deaths],tblDaily[EntryDate],DATE(2026,8,17),tblDaily[WardCode],"MAE")=0,"",SUMIFS(tblDaily[Deaths],tblDaily[EntryDate],DATE(2026,8,17),tblDaily[WardCode],"MAE")),"")</f>
        <v/>
      </c>
      <c r="E304" s="13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3" t="str">
        <f>IFERROR(IF(SUMIFS(tblDaily[TransfersIn],tblDaily[EntryDate],DATE(2026,8,17),tblDaily[WardCode],"MAE")=0,"",SUMIFS(tblDaily[TransfersIn],tblDaily[EntryDate],DATE(2026,8,17),tblDaily[WardCode],"MAE")),"")</f>
        <v/>
      </c>
      <c r="G304" s="13" t="str">
        <f>IFERROR(IF(SUMIFS(tblDaily[TransfersOut],tblDaily[EntryDate],DATE(2026,8,17),tblDaily[WardCode],"MAE")=0,"",SUMIFS(tblDaily[TransfersOut],tblDaily[EntryDate],DATE(2026,8,17),tblDaily[WardCode],"MAE")),"")</f>
        <v/>
      </c>
      <c r="H304" s="13" t="str">
        <f>IFERROR(IF(SUMIFS(tblDaily[Remaining],tblDaily[EntryDate],DATE(2026,8,17),tblDaily[WardCode],"MAE")=0,"",SUMIFS(tblDaily[Remaining],tblDaily[EntryDate],DATE(2026,8,17),tblDaily[WardCode],"MAE")),"")</f>
        <v/>
      </c>
      <c r="I304" s="13" t="str">
        <f>IFERROR(IF(SUMIFS(tblDaily[Admissions],tblDaily[EntryDate],DATE(2026,8,17),tblDaily[WardCode],"FAE")=0,"",SUMIFS(tblDaily[Admissions],tblDaily[EntryDate],DATE(2026,8,17),tblDaily[WardCode],"FAE")),"")</f>
        <v/>
      </c>
      <c r="J304" s="13" t="str">
        <f>IFERROR(IF(SUMIFS(tblDaily[Discharges],tblDaily[EntryDate],DATE(2026,8,17),tblDaily[WardCode],"FAE")=0,"",SUMIFS(tblDaily[Discharges],tblDaily[EntryDate],DATE(2026,8,17),tblDaily[WardCode],"FAE")),"")</f>
        <v/>
      </c>
      <c r="K304" s="13" t="str">
        <f>IFERROR(IF(SUMIFS(tblDaily[Deaths],tblDaily[EntryDate],DATE(2026,8,17),tblDaily[WardCode],"FAE")=0,"",SUMIFS(tblDaily[Deaths],tblDaily[EntryDate],DATE(2026,8,17),tblDaily[WardCode],"FAE")),"")</f>
        <v/>
      </c>
      <c r="L304" s="13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3" t="str">
        <f>IFERROR(IF(SUMIFS(tblDaily[TransfersIn],tblDaily[EntryDate],DATE(2026,8,17),tblDaily[WardCode],"FAE")=0,"",SUMIFS(tblDaily[TransfersIn],tblDaily[EntryDate],DATE(2026,8,17),tblDaily[WardCode],"FAE")),"")</f>
        <v/>
      </c>
      <c r="N304" s="13" t="str">
        <f>IFERROR(IF(SUMIFS(tblDaily[TransfersOut],tblDaily[EntryDate],DATE(2026,8,17),tblDaily[WardCode],"FAE")=0,"",SUMIFS(tblDaily[TransfersOut],tblDaily[EntryDate],DATE(2026,8,17),tblDaily[WardCode],"FAE")),"")</f>
        <v/>
      </c>
      <c r="O304" s="13" t="str">
        <f>IFERROR(IF(SUMIFS(tblDaily[Remaining],tblDaily[EntryDate],DATE(2026,8,17),tblDaily[WardCode],"FAE")=0,"",SUMIFS(tblDaily[Remaining],tblDaily[EntryDate],DATE(2026,8,17),tblDaily[WardCode],"FAE")),"")</f>
        <v/>
      </c>
    </row>
    <row r="305" spans="1:15" x14ac:dyDescent="0.25">
      <c r="A305" s="13">
        <v>18</v>
      </c>
      <c r="B305" s="13" t="str">
        <f>IFERROR(IF(SUMIFS(tblDaily[Admissions],tblDaily[EntryDate],DATE(2026,8,18),tblDaily[WardCode],"MAE")=0,"",SUMIFS(tblDaily[Admissions],tblDaily[EntryDate],DATE(2026,8,18),tblDaily[WardCode],"MAE")),"")</f>
        <v/>
      </c>
      <c r="C305" s="13" t="str">
        <f>IFERROR(IF(SUMIFS(tblDaily[Discharges],tblDaily[EntryDate],DATE(2026,8,18),tblDaily[WardCode],"MAE")=0,"",SUMIFS(tblDaily[Discharges],tblDaily[EntryDate],DATE(2026,8,18),tblDaily[WardCode],"MAE")),"")</f>
        <v/>
      </c>
      <c r="D305" s="13" t="str">
        <f>IFERROR(IF(SUMIFS(tblDaily[Deaths],tblDaily[EntryDate],DATE(2026,8,18),tblDaily[WardCode],"MAE")=0,"",SUMIFS(tblDaily[Deaths],tblDaily[EntryDate],DATE(2026,8,18),tblDaily[WardCode],"MAE")),"")</f>
        <v/>
      </c>
      <c r="E305" s="13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3" t="str">
        <f>IFERROR(IF(SUMIFS(tblDaily[TransfersIn],tblDaily[EntryDate],DATE(2026,8,18),tblDaily[WardCode],"MAE")=0,"",SUMIFS(tblDaily[TransfersIn],tblDaily[EntryDate],DATE(2026,8,18),tblDaily[WardCode],"MAE")),"")</f>
        <v/>
      </c>
      <c r="G305" s="13" t="str">
        <f>IFERROR(IF(SUMIFS(tblDaily[TransfersOut],tblDaily[EntryDate],DATE(2026,8,18),tblDaily[WardCode],"MAE")=0,"",SUMIFS(tblDaily[TransfersOut],tblDaily[EntryDate],DATE(2026,8,18),tblDaily[WardCode],"MAE")),"")</f>
        <v/>
      </c>
      <c r="H305" s="13" t="str">
        <f>IFERROR(IF(SUMIFS(tblDaily[Remaining],tblDaily[EntryDate],DATE(2026,8,18),tblDaily[WardCode],"MAE")=0,"",SUMIFS(tblDaily[Remaining],tblDaily[EntryDate],DATE(2026,8,18),tblDaily[WardCode],"MAE")),"")</f>
        <v/>
      </c>
      <c r="I305" s="13" t="str">
        <f>IFERROR(IF(SUMIFS(tblDaily[Admissions],tblDaily[EntryDate],DATE(2026,8,18),tblDaily[WardCode],"FAE")=0,"",SUMIFS(tblDaily[Admissions],tblDaily[EntryDate],DATE(2026,8,18),tblDaily[WardCode],"FAE")),"")</f>
        <v/>
      </c>
      <c r="J305" s="13" t="str">
        <f>IFERROR(IF(SUMIFS(tblDaily[Discharges],tblDaily[EntryDate],DATE(2026,8,18),tblDaily[WardCode],"FAE")=0,"",SUMIFS(tblDaily[Discharges],tblDaily[EntryDate],DATE(2026,8,18),tblDaily[WardCode],"FAE")),"")</f>
        <v/>
      </c>
      <c r="K305" s="13" t="str">
        <f>IFERROR(IF(SUMIFS(tblDaily[Deaths],tblDaily[EntryDate],DATE(2026,8,18),tblDaily[WardCode],"FAE")=0,"",SUMIFS(tblDaily[Deaths],tblDaily[EntryDate],DATE(2026,8,18),tblDaily[WardCode],"FAE")),"")</f>
        <v/>
      </c>
      <c r="L305" s="13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3" t="str">
        <f>IFERROR(IF(SUMIFS(tblDaily[TransfersIn],tblDaily[EntryDate],DATE(2026,8,18),tblDaily[WardCode],"FAE")=0,"",SUMIFS(tblDaily[TransfersIn],tblDaily[EntryDate],DATE(2026,8,18),tblDaily[WardCode],"FAE")),"")</f>
        <v/>
      </c>
      <c r="N305" s="13" t="str">
        <f>IFERROR(IF(SUMIFS(tblDaily[TransfersOut],tblDaily[EntryDate],DATE(2026,8,18),tblDaily[WardCode],"FAE")=0,"",SUMIFS(tblDaily[TransfersOut],tblDaily[EntryDate],DATE(2026,8,18),tblDaily[WardCode],"FAE")),"")</f>
        <v/>
      </c>
      <c r="O305" s="13" t="str">
        <f>IFERROR(IF(SUMIFS(tblDaily[Remaining],tblDaily[EntryDate],DATE(2026,8,18),tblDaily[WardCode],"FAE")=0,"",SUMIFS(tblDaily[Remaining],tblDaily[EntryDate],DATE(2026,8,18),tblDaily[WardCode],"FAE")),"")</f>
        <v/>
      </c>
    </row>
    <row r="306" spans="1:15" x14ac:dyDescent="0.25">
      <c r="A306" s="13">
        <v>19</v>
      </c>
      <c r="B306" s="13" t="str">
        <f>IFERROR(IF(SUMIFS(tblDaily[Admissions],tblDaily[EntryDate],DATE(2026,8,19),tblDaily[WardCode],"MAE")=0,"",SUMIFS(tblDaily[Admissions],tblDaily[EntryDate],DATE(2026,8,19),tblDaily[WardCode],"MAE")),"")</f>
        <v/>
      </c>
      <c r="C306" s="13" t="str">
        <f>IFERROR(IF(SUMIFS(tblDaily[Discharges],tblDaily[EntryDate],DATE(2026,8,19),tblDaily[WardCode],"MAE")=0,"",SUMIFS(tblDaily[Discharges],tblDaily[EntryDate],DATE(2026,8,19),tblDaily[WardCode],"MAE")),"")</f>
        <v/>
      </c>
      <c r="D306" s="13" t="str">
        <f>IFERROR(IF(SUMIFS(tblDaily[Deaths],tblDaily[EntryDate],DATE(2026,8,19),tblDaily[WardCode],"MAE")=0,"",SUMIFS(tblDaily[Deaths],tblDaily[EntryDate],DATE(2026,8,19),tblDaily[WardCode],"MAE")),"")</f>
        <v/>
      </c>
      <c r="E306" s="13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3" t="str">
        <f>IFERROR(IF(SUMIFS(tblDaily[TransfersIn],tblDaily[EntryDate],DATE(2026,8,19),tblDaily[WardCode],"MAE")=0,"",SUMIFS(tblDaily[TransfersIn],tblDaily[EntryDate],DATE(2026,8,19),tblDaily[WardCode],"MAE")),"")</f>
        <v/>
      </c>
      <c r="G306" s="13" t="str">
        <f>IFERROR(IF(SUMIFS(tblDaily[TransfersOut],tblDaily[EntryDate],DATE(2026,8,19),tblDaily[WardCode],"MAE")=0,"",SUMIFS(tblDaily[TransfersOut],tblDaily[EntryDate],DATE(2026,8,19),tblDaily[WardCode],"MAE")),"")</f>
        <v/>
      </c>
      <c r="H306" s="13" t="str">
        <f>IFERROR(IF(SUMIFS(tblDaily[Remaining],tblDaily[EntryDate],DATE(2026,8,19),tblDaily[WardCode],"MAE")=0,"",SUMIFS(tblDaily[Remaining],tblDaily[EntryDate],DATE(2026,8,19),tblDaily[WardCode],"MAE")),"")</f>
        <v/>
      </c>
      <c r="I306" s="13" t="str">
        <f>IFERROR(IF(SUMIFS(tblDaily[Admissions],tblDaily[EntryDate],DATE(2026,8,19),tblDaily[WardCode],"FAE")=0,"",SUMIFS(tblDaily[Admissions],tblDaily[EntryDate],DATE(2026,8,19),tblDaily[WardCode],"FAE")),"")</f>
        <v/>
      </c>
      <c r="J306" s="13" t="str">
        <f>IFERROR(IF(SUMIFS(tblDaily[Discharges],tblDaily[EntryDate],DATE(2026,8,19),tblDaily[WardCode],"FAE")=0,"",SUMIFS(tblDaily[Discharges],tblDaily[EntryDate],DATE(2026,8,19),tblDaily[WardCode],"FAE")),"")</f>
        <v/>
      </c>
      <c r="K306" s="13" t="str">
        <f>IFERROR(IF(SUMIFS(tblDaily[Deaths],tblDaily[EntryDate],DATE(2026,8,19),tblDaily[WardCode],"FAE")=0,"",SUMIFS(tblDaily[Deaths],tblDaily[EntryDate],DATE(2026,8,19),tblDaily[WardCode],"FAE")),"")</f>
        <v/>
      </c>
      <c r="L306" s="13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3" t="str">
        <f>IFERROR(IF(SUMIFS(tblDaily[TransfersIn],tblDaily[EntryDate],DATE(2026,8,19),tblDaily[WardCode],"FAE")=0,"",SUMIFS(tblDaily[TransfersIn],tblDaily[EntryDate],DATE(2026,8,19),tblDaily[WardCode],"FAE")),"")</f>
        <v/>
      </c>
      <c r="N306" s="13" t="str">
        <f>IFERROR(IF(SUMIFS(tblDaily[TransfersOut],tblDaily[EntryDate],DATE(2026,8,19),tblDaily[WardCode],"FAE")=0,"",SUMIFS(tblDaily[TransfersOut],tblDaily[EntryDate],DATE(2026,8,19),tblDaily[WardCode],"FAE")),"")</f>
        <v/>
      </c>
      <c r="O306" s="13" t="str">
        <f>IFERROR(IF(SUMIFS(tblDaily[Remaining],tblDaily[EntryDate],DATE(2026,8,19),tblDaily[WardCode],"FAE")=0,"",SUMIFS(tblDaily[Remaining],tblDaily[EntryDate],DATE(2026,8,19),tblDaily[WardCode],"FAE")),"")</f>
        <v/>
      </c>
    </row>
    <row r="307" spans="1:15" x14ac:dyDescent="0.25">
      <c r="A307" s="13">
        <v>20</v>
      </c>
      <c r="B307" s="13" t="str">
        <f>IFERROR(IF(SUMIFS(tblDaily[Admissions],tblDaily[EntryDate],DATE(2026,8,20),tblDaily[WardCode],"MAE")=0,"",SUMIFS(tblDaily[Admissions],tblDaily[EntryDate],DATE(2026,8,20),tblDaily[WardCode],"MAE")),"")</f>
        <v/>
      </c>
      <c r="C307" s="13" t="str">
        <f>IFERROR(IF(SUMIFS(tblDaily[Discharges],tblDaily[EntryDate],DATE(2026,8,20),tblDaily[WardCode],"MAE")=0,"",SUMIFS(tblDaily[Discharges],tblDaily[EntryDate],DATE(2026,8,20),tblDaily[WardCode],"MAE")),"")</f>
        <v/>
      </c>
      <c r="D307" s="13" t="str">
        <f>IFERROR(IF(SUMIFS(tblDaily[Deaths],tblDaily[EntryDate],DATE(2026,8,20),tblDaily[WardCode],"MAE")=0,"",SUMIFS(tblDaily[Deaths],tblDaily[EntryDate],DATE(2026,8,20),tblDaily[WardCode],"MAE")),"")</f>
        <v/>
      </c>
      <c r="E307" s="13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3" t="str">
        <f>IFERROR(IF(SUMIFS(tblDaily[TransfersIn],tblDaily[EntryDate],DATE(2026,8,20),tblDaily[WardCode],"MAE")=0,"",SUMIFS(tblDaily[TransfersIn],tblDaily[EntryDate],DATE(2026,8,20),tblDaily[WardCode],"MAE")),"")</f>
        <v/>
      </c>
      <c r="G307" s="13" t="str">
        <f>IFERROR(IF(SUMIFS(tblDaily[TransfersOut],tblDaily[EntryDate],DATE(2026,8,20),tblDaily[WardCode],"MAE")=0,"",SUMIFS(tblDaily[TransfersOut],tblDaily[EntryDate],DATE(2026,8,20),tblDaily[WardCode],"MAE")),"")</f>
        <v/>
      </c>
      <c r="H307" s="13" t="str">
        <f>IFERROR(IF(SUMIFS(tblDaily[Remaining],tblDaily[EntryDate],DATE(2026,8,20),tblDaily[WardCode],"MAE")=0,"",SUMIFS(tblDaily[Remaining],tblDaily[EntryDate],DATE(2026,8,20),tblDaily[WardCode],"MAE")),"")</f>
        <v/>
      </c>
      <c r="I307" s="13" t="str">
        <f>IFERROR(IF(SUMIFS(tblDaily[Admissions],tblDaily[EntryDate],DATE(2026,8,20),tblDaily[WardCode],"FAE")=0,"",SUMIFS(tblDaily[Admissions],tblDaily[EntryDate],DATE(2026,8,20),tblDaily[WardCode],"FAE")),"")</f>
        <v/>
      </c>
      <c r="J307" s="13" t="str">
        <f>IFERROR(IF(SUMIFS(tblDaily[Discharges],tblDaily[EntryDate],DATE(2026,8,20),tblDaily[WardCode],"FAE")=0,"",SUMIFS(tblDaily[Discharges],tblDaily[EntryDate],DATE(2026,8,20),tblDaily[WardCode],"FAE")),"")</f>
        <v/>
      </c>
      <c r="K307" s="13" t="str">
        <f>IFERROR(IF(SUMIFS(tblDaily[Deaths],tblDaily[EntryDate],DATE(2026,8,20),tblDaily[WardCode],"FAE")=0,"",SUMIFS(tblDaily[Deaths],tblDaily[EntryDate],DATE(2026,8,20),tblDaily[WardCode],"FAE")),"")</f>
        <v/>
      </c>
      <c r="L307" s="13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3" t="str">
        <f>IFERROR(IF(SUMIFS(tblDaily[TransfersIn],tblDaily[EntryDate],DATE(2026,8,20),tblDaily[WardCode],"FAE")=0,"",SUMIFS(tblDaily[TransfersIn],tblDaily[EntryDate],DATE(2026,8,20),tblDaily[WardCode],"FAE")),"")</f>
        <v/>
      </c>
      <c r="N307" s="13" t="str">
        <f>IFERROR(IF(SUMIFS(tblDaily[TransfersOut],tblDaily[EntryDate],DATE(2026,8,20),tblDaily[WardCode],"FAE")=0,"",SUMIFS(tblDaily[TransfersOut],tblDaily[EntryDate],DATE(2026,8,20),tblDaily[WardCode],"FAE")),"")</f>
        <v/>
      </c>
      <c r="O307" s="13" t="str">
        <f>IFERROR(IF(SUMIFS(tblDaily[Remaining],tblDaily[EntryDate],DATE(2026,8,20),tblDaily[WardCode],"FAE")=0,"",SUMIFS(tblDaily[Remaining],tblDaily[EntryDate],DATE(2026,8,20),tblDaily[WardCode],"FAE")),"")</f>
        <v/>
      </c>
    </row>
    <row r="308" spans="1:15" x14ac:dyDescent="0.25">
      <c r="A308" s="13">
        <v>21</v>
      </c>
      <c r="B308" s="13" t="str">
        <f>IFERROR(IF(SUMIFS(tblDaily[Admissions],tblDaily[EntryDate],DATE(2026,8,21),tblDaily[WardCode],"MAE")=0,"",SUMIFS(tblDaily[Admissions],tblDaily[EntryDate],DATE(2026,8,21),tblDaily[WardCode],"MAE")),"")</f>
        <v/>
      </c>
      <c r="C308" s="13" t="str">
        <f>IFERROR(IF(SUMIFS(tblDaily[Discharges],tblDaily[EntryDate],DATE(2026,8,21),tblDaily[WardCode],"MAE")=0,"",SUMIFS(tblDaily[Discharges],tblDaily[EntryDate],DATE(2026,8,21),tblDaily[WardCode],"MAE")),"")</f>
        <v/>
      </c>
      <c r="D308" s="13" t="str">
        <f>IFERROR(IF(SUMIFS(tblDaily[Deaths],tblDaily[EntryDate],DATE(2026,8,21),tblDaily[WardCode],"MAE")=0,"",SUMIFS(tblDaily[Deaths],tblDaily[EntryDate],DATE(2026,8,21),tblDaily[WardCode],"MAE")),"")</f>
        <v/>
      </c>
      <c r="E308" s="13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3" t="str">
        <f>IFERROR(IF(SUMIFS(tblDaily[TransfersIn],tblDaily[EntryDate],DATE(2026,8,21),tblDaily[WardCode],"MAE")=0,"",SUMIFS(tblDaily[TransfersIn],tblDaily[EntryDate],DATE(2026,8,21),tblDaily[WardCode],"MAE")),"")</f>
        <v/>
      </c>
      <c r="G308" s="13" t="str">
        <f>IFERROR(IF(SUMIFS(tblDaily[TransfersOut],tblDaily[EntryDate],DATE(2026,8,21),tblDaily[WardCode],"MAE")=0,"",SUMIFS(tblDaily[TransfersOut],tblDaily[EntryDate],DATE(2026,8,21),tblDaily[WardCode],"MAE")),"")</f>
        <v/>
      </c>
      <c r="H308" s="13" t="str">
        <f>IFERROR(IF(SUMIFS(tblDaily[Remaining],tblDaily[EntryDate],DATE(2026,8,21),tblDaily[WardCode],"MAE")=0,"",SUMIFS(tblDaily[Remaining],tblDaily[EntryDate],DATE(2026,8,21),tblDaily[WardCode],"MAE")),"")</f>
        <v/>
      </c>
      <c r="I308" s="13" t="str">
        <f>IFERROR(IF(SUMIFS(tblDaily[Admissions],tblDaily[EntryDate],DATE(2026,8,21),tblDaily[WardCode],"FAE")=0,"",SUMIFS(tblDaily[Admissions],tblDaily[EntryDate],DATE(2026,8,21),tblDaily[WardCode],"FAE")),"")</f>
        <v/>
      </c>
      <c r="J308" s="13" t="str">
        <f>IFERROR(IF(SUMIFS(tblDaily[Discharges],tblDaily[EntryDate],DATE(2026,8,21),tblDaily[WardCode],"FAE")=0,"",SUMIFS(tblDaily[Discharges],tblDaily[EntryDate],DATE(2026,8,21),tblDaily[WardCode],"FAE")),"")</f>
        <v/>
      </c>
      <c r="K308" s="13" t="str">
        <f>IFERROR(IF(SUMIFS(tblDaily[Deaths],tblDaily[EntryDate],DATE(2026,8,21),tblDaily[WardCode],"FAE")=0,"",SUMIFS(tblDaily[Deaths],tblDaily[EntryDate],DATE(2026,8,21),tblDaily[WardCode],"FAE")),"")</f>
        <v/>
      </c>
      <c r="L308" s="13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3" t="str">
        <f>IFERROR(IF(SUMIFS(tblDaily[TransfersIn],tblDaily[EntryDate],DATE(2026,8,21),tblDaily[WardCode],"FAE")=0,"",SUMIFS(tblDaily[TransfersIn],tblDaily[EntryDate],DATE(2026,8,21),tblDaily[WardCode],"FAE")),"")</f>
        <v/>
      </c>
      <c r="N308" s="13" t="str">
        <f>IFERROR(IF(SUMIFS(tblDaily[TransfersOut],tblDaily[EntryDate],DATE(2026,8,21),tblDaily[WardCode],"FAE")=0,"",SUMIFS(tblDaily[TransfersOut],tblDaily[EntryDate],DATE(2026,8,21),tblDaily[WardCode],"FAE")),"")</f>
        <v/>
      </c>
      <c r="O308" s="13" t="str">
        <f>IFERROR(IF(SUMIFS(tblDaily[Remaining],tblDaily[EntryDate],DATE(2026,8,21),tblDaily[WardCode],"FAE")=0,"",SUMIFS(tblDaily[Remaining],tblDaily[EntryDate],DATE(2026,8,21),tblDaily[WardCode],"FAE")),"")</f>
        <v/>
      </c>
    </row>
    <row r="309" spans="1:15" x14ac:dyDescent="0.25">
      <c r="A309" s="13">
        <v>22</v>
      </c>
      <c r="B309" s="13" t="str">
        <f>IFERROR(IF(SUMIFS(tblDaily[Admissions],tblDaily[EntryDate],DATE(2026,8,22),tblDaily[WardCode],"MAE")=0,"",SUMIFS(tblDaily[Admissions],tblDaily[EntryDate],DATE(2026,8,22),tblDaily[WardCode],"MAE")),"")</f>
        <v/>
      </c>
      <c r="C309" s="13" t="str">
        <f>IFERROR(IF(SUMIFS(tblDaily[Discharges],tblDaily[EntryDate],DATE(2026,8,22),tblDaily[WardCode],"MAE")=0,"",SUMIFS(tblDaily[Discharges],tblDaily[EntryDate],DATE(2026,8,22),tblDaily[WardCode],"MAE")),"")</f>
        <v/>
      </c>
      <c r="D309" s="13" t="str">
        <f>IFERROR(IF(SUMIFS(tblDaily[Deaths],tblDaily[EntryDate],DATE(2026,8,22),tblDaily[WardCode],"MAE")=0,"",SUMIFS(tblDaily[Deaths],tblDaily[EntryDate],DATE(2026,8,22),tblDaily[WardCode],"MAE")),"")</f>
        <v/>
      </c>
      <c r="E309" s="13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3" t="str">
        <f>IFERROR(IF(SUMIFS(tblDaily[TransfersIn],tblDaily[EntryDate],DATE(2026,8,22),tblDaily[WardCode],"MAE")=0,"",SUMIFS(tblDaily[TransfersIn],tblDaily[EntryDate],DATE(2026,8,22),tblDaily[WardCode],"MAE")),"")</f>
        <v/>
      </c>
      <c r="G309" s="13" t="str">
        <f>IFERROR(IF(SUMIFS(tblDaily[TransfersOut],tblDaily[EntryDate],DATE(2026,8,22),tblDaily[WardCode],"MAE")=0,"",SUMIFS(tblDaily[TransfersOut],tblDaily[EntryDate],DATE(2026,8,22),tblDaily[WardCode],"MAE")),"")</f>
        <v/>
      </c>
      <c r="H309" s="13" t="str">
        <f>IFERROR(IF(SUMIFS(tblDaily[Remaining],tblDaily[EntryDate],DATE(2026,8,22),tblDaily[WardCode],"MAE")=0,"",SUMIFS(tblDaily[Remaining],tblDaily[EntryDate],DATE(2026,8,22),tblDaily[WardCode],"MAE")),"")</f>
        <v/>
      </c>
      <c r="I309" s="13" t="str">
        <f>IFERROR(IF(SUMIFS(tblDaily[Admissions],tblDaily[EntryDate],DATE(2026,8,22),tblDaily[WardCode],"FAE")=0,"",SUMIFS(tblDaily[Admissions],tblDaily[EntryDate],DATE(2026,8,22),tblDaily[WardCode],"FAE")),"")</f>
        <v/>
      </c>
      <c r="J309" s="13" t="str">
        <f>IFERROR(IF(SUMIFS(tblDaily[Discharges],tblDaily[EntryDate],DATE(2026,8,22),tblDaily[WardCode],"FAE")=0,"",SUMIFS(tblDaily[Discharges],tblDaily[EntryDate],DATE(2026,8,22),tblDaily[WardCode],"FAE")),"")</f>
        <v/>
      </c>
      <c r="K309" s="13" t="str">
        <f>IFERROR(IF(SUMIFS(tblDaily[Deaths],tblDaily[EntryDate],DATE(2026,8,22),tblDaily[WardCode],"FAE")=0,"",SUMIFS(tblDaily[Deaths],tblDaily[EntryDate],DATE(2026,8,22),tblDaily[WardCode],"FAE")),"")</f>
        <v/>
      </c>
      <c r="L309" s="13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3" t="str">
        <f>IFERROR(IF(SUMIFS(tblDaily[TransfersIn],tblDaily[EntryDate],DATE(2026,8,22),tblDaily[WardCode],"FAE")=0,"",SUMIFS(tblDaily[TransfersIn],tblDaily[EntryDate],DATE(2026,8,22),tblDaily[WardCode],"FAE")),"")</f>
        <v/>
      </c>
      <c r="N309" s="13" t="str">
        <f>IFERROR(IF(SUMIFS(tblDaily[TransfersOut],tblDaily[EntryDate],DATE(2026,8,22),tblDaily[WardCode],"FAE")=0,"",SUMIFS(tblDaily[TransfersOut],tblDaily[EntryDate],DATE(2026,8,22),tblDaily[WardCode],"FAE")),"")</f>
        <v/>
      </c>
      <c r="O309" s="13" t="str">
        <f>IFERROR(IF(SUMIFS(tblDaily[Remaining],tblDaily[EntryDate],DATE(2026,8,22),tblDaily[WardCode],"FAE")=0,"",SUMIFS(tblDaily[Remaining],tblDaily[EntryDate],DATE(2026,8,22),tblDaily[WardCode],"FAE")),"")</f>
        <v/>
      </c>
    </row>
    <row r="310" spans="1:15" x14ac:dyDescent="0.25">
      <c r="A310" s="13">
        <v>23</v>
      </c>
      <c r="B310" s="13" t="str">
        <f>IFERROR(IF(SUMIFS(tblDaily[Admissions],tblDaily[EntryDate],DATE(2026,8,23),tblDaily[WardCode],"MAE")=0,"",SUMIFS(tblDaily[Admissions],tblDaily[EntryDate],DATE(2026,8,23),tblDaily[WardCode],"MAE")),"")</f>
        <v/>
      </c>
      <c r="C310" s="13" t="str">
        <f>IFERROR(IF(SUMIFS(tblDaily[Discharges],tblDaily[EntryDate],DATE(2026,8,23),tblDaily[WardCode],"MAE")=0,"",SUMIFS(tblDaily[Discharges],tblDaily[EntryDate],DATE(2026,8,23),tblDaily[WardCode],"MAE")),"")</f>
        <v/>
      </c>
      <c r="D310" s="13" t="str">
        <f>IFERROR(IF(SUMIFS(tblDaily[Deaths],tblDaily[EntryDate],DATE(2026,8,23),tblDaily[WardCode],"MAE")=0,"",SUMIFS(tblDaily[Deaths],tblDaily[EntryDate],DATE(2026,8,23),tblDaily[WardCode],"MAE")),"")</f>
        <v/>
      </c>
      <c r="E310" s="13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3" t="str">
        <f>IFERROR(IF(SUMIFS(tblDaily[TransfersIn],tblDaily[EntryDate],DATE(2026,8,23),tblDaily[WardCode],"MAE")=0,"",SUMIFS(tblDaily[TransfersIn],tblDaily[EntryDate],DATE(2026,8,23),tblDaily[WardCode],"MAE")),"")</f>
        <v/>
      </c>
      <c r="G310" s="13" t="str">
        <f>IFERROR(IF(SUMIFS(tblDaily[TransfersOut],tblDaily[EntryDate],DATE(2026,8,23),tblDaily[WardCode],"MAE")=0,"",SUMIFS(tblDaily[TransfersOut],tblDaily[EntryDate],DATE(2026,8,23),tblDaily[WardCode],"MAE")),"")</f>
        <v/>
      </c>
      <c r="H310" s="13" t="str">
        <f>IFERROR(IF(SUMIFS(tblDaily[Remaining],tblDaily[EntryDate],DATE(2026,8,23),tblDaily[WardCode],"MAE")=0,"",SUMIFS(tblDaily[Remaining],tblDaily[EntryDate],DATE(2026,8,23),tblDaily[WardCode],"MAE")),"")</f>
        <v/>
      </c>
      <c r="I310" s="13" t="str">
        <f>IFERROR(IF(SUMIFS(tblDaily[Admissions],tblDaily[EntryDate],DATE(2026,8,23),tblDaily[WardCode],"FAE")=0,"",SUMIFS(tblDaily[Admissions],tblDaily[EntryDate],DATE(2026,8,23),tblDaily[WardCode],"FAE")),"")</f>
        <v/>
      </c>
      <c r="J310" s="13" t="str">
        <f>IFERROR(IF(SUMIFS(tblDaily[Discharges],tblDaily[EntryDate],DATE(2026,8,23),tblDaily[WardCode],"FAE")=0,"",SUMIFS(tblDaily[Discharges],tblDaily[EntryDate],DATE(2026,8,23),tblDaily[WardCode],"FAE")),"")</f>
        <v/>
      </c>
      <c r="K310" s="13" t="str">
        <f>IFERROR(IF(SUMIFS(tblDaily[Deaths],tblDaily[EntryDate],DATE(2026,8,23),tblDaily[WardCode],"FAE")=0,"",SUMIFS(tblDaily[Deaths],tblDaily[EntryDate],DATE(2026,8,23),tblDaily[WardCode],"FAE")),"")</f>
        <v/>
      </c>
      <c r="L310" s="13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3" t="str">
        <f>IFERROR(IF(SUMIFS(tblDaily[TransfersIn],tblDaily[EntryDate],DATE(2026,8,23),tblDaily[WardCode],"FAE")=0,"",SUMIFS(tblDaily[TransfersIn],tblDaily[EntryDate],DATE(2026,8,23),tblDaily[WardCode],"FAE")),"")</f>
        <v/>
      </c>
      <c r="N310" s="13" t="str">
        <f>IFERROR(IF(SUMIFS(tblDaily[TransfersOut],tblDaily[EntryDate],DATE(2026,8,23),tblDaily[WardCode],"FAE")=0,"",SUMIFS(tblDaily[TransfersOut],tblDaily[EntryDate],DATE(2026,8,23),tblDaily[WardCode],"FAE")),"")</f>
        <v/>
      </c>
      <c r="O310" s="13" t="str">
        <f>IFERROR(IF(SUMIFS(tblDaily[Remaining],tblDaily[EntryDate],DATE(2026,8,23),tblDaily[WardCode],"FAE")=0,"",SUMIFS(tblDaily[Remaining],tblDaily[EntryDate],DATE(2026,8,23),tblDaily[WardCode],"FAE")),"")</f>
        <v/>
      </c>
    </row>
    <row r="311" spans="1:15" x14ac:dyDescent="0.25">
      <c r="A311" s="13">
        <v>24</v>
      </c>
      <c r="B311" s="13" t="str">
        <f>IFERROR(IF(SUMIFS(tblDaily[Admissions],tblDaily[EntryDate],DATE(2026,8,24),tblDaily[WardCode],"MAE")=0,"",SUMIFS(tblDaily[Admissions],tblDaily[EntryDate],DATE(2026,8,24),tblDaily[WardCode],"MAE")),"")</f>
        <v/>
      </c>
      <c r="C311" s="13" t="str">
        <f>IFERROR(IF(SUMIFS(tblDaily[Discharges],tblDaily[EntryDate],DATE(2026,8,24),tblDaily[WardCode],"MAE")=0,"",SUMIFS(tblDaily[Discharges],tblDaily[EntryDate],DATE(2026,8,24),tblDaily[WardCode],"MAE")),"")</f>
        <v/>
      </c>
      <c r="D311" s="13" t="str">
        <f>IFERROR(IF(SUMIFS(tblDaily[Deaths],tblDaily[EntryDate],DATE(2026,8,24),tblDaily[WardCode],"MAE")=0,"",SUMIFS(tblDaily[Deaths],tblDaily[EntryDate],DATE(2026,8,24),tblDaily[WardCode],"MAE")),"")</f>
        <v/>
      </c>
      <c r="E311" s="13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3" t="str">
        <f>IFERROR(IF(SUMIFS(tblDaily[TransfersIn],tblDaily[EntryDate],DATE(2026,8,24),tblDaily[WardCode],"MAE")=0,"",SUMIFS(tblDaily[TransfersIn],tblDaily[EntryDate],DATE(2026,8,24),tblDaily[WardCode],"MAE")),"")</f>
        <v/>
      </c>
      <c r="G311" s="13" t="str">
        <f>IFERROR(IF(SUMIFS(tblDaily[TransfersOut],tblDaily[EntryDate],DATE(2026,8,24),tblDaily[WardCode],"MAE")=0,"",SUMIFS(tblDaily[TransfersOut],tblDaily[EntryDate],DATE(2026,8,24),tblDaily[WardCode],"MAE")),"")</f>
        <v/>
      </c>
      <c r="H311" s="13" t="str">
        <f>IFERROR(IF(SUMIFS(tblDaily[Remaining],tblDaily[EntryDate],DATE(2026,8,24),tblDaily[WardCode],"MAE")=0,"",SUMIFS(tblDaily[Remaining],tblDaily[EntryDate],DATE(2026,8,24),tblDaily[WardCode],"MAE")),"")</f>
        <v/>
      </c>
      <c r="I311" s="13" t="str">
        <f>IFERROR(IF(SUMIFS(tblDaily[Admissions],tblDaily[EntryDate],DATE(2026,8,24),tblDaily[WardCode],"FAE")=0,"",SUMIFS(tblDaily[Admissions],tblDaily[EntryDate],DATE(2026,8,24),tblDaily[WardCode],"FAE")),"")</f>
        <v/>
      </c>
      <c r="J311" s="13" t="str">
        <f>IFERROR(IF(SUMIFS(tblDaily[Discharges],tblDaily[EntryDate],DATE(2026,8,24),tblDaily[WardCode],"FAE")=0,"",SUMIFS(tblDaily[Discharges],tblDaily[EntryDate],DATE(2026,8,24),tblDaily[WardCode],"FAE")),"")</f>
        <v/>
      </c>
      <c r="K311" s="13" t="str">
        <f>IFERROR(IF(SUMIFS(tblDaily[Deaths],tblDaily[EntryDate],DATE(2026,8,24),tblDaily[WardCode],"FAE")=0,"",SUMIFS(tblDaily[Deaths],tblDaily[EntryDate],DATE(2026,8,24),tblDaily[WardCode],"FAE")),"")</f>
        <v/>
      </c>
      <c r="L311" s="13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3" t="str">
        <f>IFERROR(IF(SUMIFS(tblDaily[TransfersIn],tblDaily[EntryDate],DATE(2026,8,24),tblDaily[WardCode],"FAE")=0,"",SUMIFS(tblDaily[TransfersIn],tblDaily[EntryDate],DATE(2026,8,24),tblDaily[WardCode],"FAE")),"")</f>
        <v/>
      </c>
      <c r="N311" s="13" t="str">
        <f>IFERROR(IF(SUMIFS(tblDaily[TransfersOut],tblDaily[EntryDate],DATE(2026,8,24),tblDaily[WardCode],"FAE")=0,"",SUMIFS(tblDaily[TransfersOut],tblDaily[EntryDate],DATE(2026,8,24),tblDaily[WardCode],"FAE")),"")</f>
        <v/>
      </c>
      <c r="O311" s="13" t="str">
        <f>IFERROR(IF(SUMIFS(tblDaily[Remaining],tblDaily[EntryDate],DATE(2026,8,24),tblDaily[WardCode],"FAE")=0,"",SUMIFS(tblDaily[Remaining],tblDaily[EntryDate],DATE(2026,8,24),tblDaily[WardCode],"FAE")),"")</f>
        <v/>
      </c>
    </row>
    <row r="312" spans="1:15" x14ac:dyDescent="0.25">
      <c r="A312" s="13">
        <v>25</v>
      </c>
      <c r="B312" s="13" t="str">
        <f>IFERROR(IF(SUMIFS(tblDaily[Admissions],tblDaily[EntryDate],DATE(2026,8,25),tblDaily[WardCode],"MAE")=0,"",SUMIFS(tblDaily[Admissions],tblDaily[EntryDate],DATE(2026,8,25),tblDaily[WardCode],"MAE")),"")</f>
        <v/>
      </c>
      <c r="C312" s="13" t="str">
        <f>IFERROR(IF(SUMIFS(tblDaily[Discharges],tblDaily[EntryDate],DATE(2026,8,25),tblDaily[WardCode],"MAE")=0,"",SUMIFS(tblDaily[Discharges],tblDaily[EntryDate],DATE(2026,8,25),tblDaily[WardCode],"MAE")),"")</f>
        <v/>
      </c>
      <c r="D312" s="13" t="str">
        <f>IFERROR(IF(SUMIFS(tblDaily[Deaths],tblDaily[EntryDate],DATE(2026,8,25),tblDaily[WardCode],"MAE")=0,"",SUMIFS(tblDaily[Deaths],tblDaily[EntryDate],DATE(2026,8,25),tblDaily[WardCode],"MAE")),"")</f>
        <v/>
      </c>
      <c r="E312" s="13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3" t="str">
        <f>IFERROR(IF(SUMIFS(tblDaily[TransfersIn],tblDaily[EntryDate],DATE(2026,8,25),tblDaily[WardCode],"MAE")=0,"",SUMIFS(tblDaily[TransfersIn],tblDaily[EntryDate],DATE(2026,8,25),tblDaily[WardCode],"MAE")),"")</f>
        <v/>
      </c>
      <c r="G312" s="13" t="str">
        <f>IFERROR(IF(SUMIFS(tblDaily[TransfersOut],tblDaily[EntryDate],DATE(2026,8,25),tblDaily[WardCode],"MAE")=0,"",SUMIFS(tblDaily[TransfersOut],tblDaily[EntryDate],DATE(2026,8,25),tblDaily[WardCode],"MAE")),"")</f>
        <v/>
      </c>
      <c r="H312" s="13" t="str">
        <f>IFERROR(IF(SUMIFS(tblDaily[Remaining],tblDaily[EntryDate],DATE(2026,8,25),tblDaily[WardCode],"MAE")=0,"",SUMIFS(tblDaily[Remaining],tblDaily[EntryDate],DATE(2026,8,25),tblDaily[WardCode],"MAE")),"")</f>
        <v/>
      </c>
      <c r="I312" s="13" t="str">
        <f>IFERROR(IF(SUMIFS(tblDaily[Admissions],tblDaily[EntryDate],DATE(2026,8,25),tblDaily[WardCode],"FAE")=0,"",SUMIFS(tblDaily[Admissions],tblDaily[EntryDate],DATE(2026,8,25),tblDaily[WardCode],"FAE")),"")</f>
        <v/>
      </c>
      <c r="J312" s="13" t="str">
        <f>IFERROR(IF(SUMIFS(tblDaily[Discharges],tblDaily[EntryDate],DATE(2026,8,25),tblDaily[WardCode],"FAE")=0,"",SUMIFS(tblDaily[Discharges],tblDaily[EntryDate],DATE(2026,8,25),tblDaily[WardCode],"FAE")),"")</f>
        <v/>
      </c>
      <c r="K312" s="13" t="str">
        <f>IFERROR(IF(SUMIFS(tblDaily[Deaths],tblDaily[EntryDate],DATE(2026,8,25),tblDaily[WardCode],"FAE")=0,"",SUMIFS(tblDaily[Deaths],tblDaily[EntryDate],DATE(2026,8,25),tblDaily[WardCode],"FAE")),"")</f>
        <v/>
      </c>
      <c r="L312" s="13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3" t="str">
        <f>IFERROR(IF(SUMIFS(tblDaily[TransfersIn],tblDaily[EntryDate],DATE(2026,8,25),tblDaily[WardCode],"FAE")=0,"",SUMIFS(tblDaily[TransfersIn],tblDaily[EntryDate],DATE(2026,8,25),tblDaily[WardCode],"FAE")),"")</f>
        <v/>
      </c>
      <c r="N312" s="13" t="str">
        <f>IFERROR(IF(SUMIFS(tblDaily[TransfersOut],tblDaily[EntryDate],DATE(2026,8,25),tblDaily[WardCode],"FAE")=0,"",SUMIFS(tblDaily[TransfersOut],tblDaily[EntryDate],DATE(2026,8,25),tblDaily[WardCode],"FAE")),"")</f>
        <v/>
      </c>
      <c r="O312" s="13" t="str">
        <f>IFERROR(IF(SUMIFS(tblDaily[Remaining],tblDaily[EntryDate],DATE(2026,8,25),tblDaily[WardCode],"FAE")=0,"",SUMIFS(tblDaily[Remaining],tblDaily[EntryDate],DATE(2026,8,25),tblDaily[WardCode],"FAE")),"")</f>
        <v/>
      </c>
    </row>
    <row r="313" spans="1:15" x14ac:dyDescent="0.25">
      <c r="A313" s="13">
        <v>26</v>
      </c>
      <c r="B313" s="13" t="str">
        <f>IFERROR(IF(SUMIFS(tblDaily[Admissions],tblDaily[EntryDate],DATE(2026,8,26),tblDaily[WardCode],"MAE")=0,"",SUMIFS(tblDaily[Admissions],tblDaily[EntryDate],DATE(2026,8,26),tblDaily[WardCode],"MAE")),"")</f>
        <v/>
      </c>
      <c r="C313" s="13" t="str">
        <f>IFERROR(IF(SUMIFS(tblDaily[Discharges],tblDaily[EntryDate],DATE(2026,8,26),tblDaily[WardCode],"MAE")=0,"",SUMIFS(tblDaily[Discharges],tblDaily[EntryDate],DATE(2026,8,26),tblDaily[WardCode],"MAE")),"")</f>
        <v/>
      </c>
      <c r="D313" s="13" t="str">
        <f>IFERROR(IF(SUMIFS(tblDaily[Deaths],tblDaily[EntryDate],DATE(2026,8,26),tblDaily[WardCode],"MAE")=0,"",SUMIFS(tblDaily[Deaths],tblDaily[EntryDate],DATE(2026,8,26),tblDaily[WardCode],"MAE")),"")</f>
        <v/>
      </c>
      <c r="E313" s="13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3" t="str">
        <f>IFERROR(IF(SUMIFS(tblDaily[TransfersIn],tblDaily[EntryDate],DATE(2026,8,26),tblDaily[WardCode],"MAE")=0,"",SUMIFS(tblDaily[TransfersIn],tblDaily[EntryDate],DATE(2026,8,26),tblDaily[WardCode],"MAE")),"")</f>
        <v/>
      </c>
      <c r="G313" s="13" t="str">
        <f>IFERROR(IF(SUMIFS(tblDaily[TransfersOut],tblDaily[EntryDate],DATE(2026,8,26),tblDaily[WardCode],"MAE")=0,"",SUMIFS(tblDaily[TransfersOut],tblDaily[EntryDate],DATE(2026,8,26),tblDaily[WardCode],"MAE")),"")</f>
        <v/>
      </c>
      <c r="H313" s="13" t="str">
        <f>IFERROR(IF(SUMIFS(tblDaily[Remaining],tblDaily[EntryDate],DATE(2026,8,26),tblDaily[WardCode],"MAE")=0,"",SUMIFS(tblDaily[Remaining],tblDaily[EntryDate],DATE(2026,8,26),tblDaily[WardCode],"MAE")),"")</f>
        <v/>
      </c>
      <c r="I313" s="13" t="str">
        <f>IFERROR(IF(SUMIFS(tblDaily[Admissions],tblDaily[EntryDate],DATE(2026,8,26),tblDaily[WardCode],"FAE")=0,"",SUMIFS(tblDaily[Admissions],tblDaily[EntryDate],DATE(2026,8,26),tblDaily[WardCode],"FAE")),"")</f>
        <v/>
      </c>
      <c r="J313" s="13" t="str">
        <f>IFERROR(IF(SUMIFS(tblDaily[Discharges],tblDaily[EntryDate],DATE(2026,8,26),tblDaily[WardCode],"FAE")=0,"",SUMIFS(tblDaily[Discharges],tblDaily[EntryDate],DATE(2026,8,26),tblDaily[WardCode],"FAE")),"")</f>
        <v/>
      </c>
      <c r="K313" s="13" t="str">
        <f>IFERROR(IF(SUMIFS(tblDaily[Deaths],tblDaily[EntryDate],DATE(2026,8,26),tblDaily[WardCode],"FAE")=0,"",SUMIFS(tblDaily[Deaths],tblDaily[EntryDate],DATE(2026,8,26),tblDaily[WardCode],"FAE")),"")</f>
        <v/>
      </c>
      <c r="L313" s="13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3" t="str">
        <f>IFERROR(IF(SUMIFS(tblDaily[TransfersIn],tblDaily[EntryDate],DATE(2026,8,26),tblDaily[WardCode],"FAE")=0,"",SUMIFS(tblDaily[TransfersIn],tblDaily[EntryDate],DATE(2026,8,26),tblDaily[WardCode],"FAE")),"")</f>
        <v/>
      </c>
      <c r="N313" s="13" t="str">
        <f>IFERROR(IF(SUMIFS(tblDaily[TransfersOut],tblDaily[EntryDate],DATE(2026,8,26),tblDaily[WardCode],"FAE")=0,"",SUMIFS(tblDaily[TransfersOut],tblDaily[EntryDate],DATE(2026,8,26),tblDaily[WardCode],"FAE")),"")</f>
        <v/>
      </c>
      <c r="O313" s="13" t="str">
        <f>IFERROR(IF(SUMIFS(tblDaily[Remaining],tblDaily[EntryDate],DATE(2026,8,26),tblDaily[WardCode],"FAE")=0,"",SUMIFS(tblDaily[Remaining],tblDaily[EntryDate],DATE(2026,8,26),tblDaily[WardCode],"FAE")),"")</f>
        <v/>
      </c>
    </row>
    <row r="314" spans="1:15" x14ac:dyDescent="0.25">
      <c r="A314" s="13">
        <v>27</v>
      </c>
      <c r="B314" s="13" t="str">
        <f>IFERROR(IF(SUMIFS(tblDaily[Admissions],tblDaily[EntryDate],DATE(2026,8,27),tblDaily[WardCode],"MAE")=0,"",SUMIFS(tblDaily[Admissions],tblDaily[EntryDate],DATE(2026,8,27),tblDaily[WardCode],"MAE")),"")</f>
        <v/>
      </c>
      <c r="C314" s="13" t="str">
        <f>IFERROR(IF(SUMIFS(tblDaily[Discharges],tblDaily[EntryDate],DATE(2026,8,27),tblDaily[WardCode],"MAE")=0,"",SUMIFS(tblDaily[Discharges],tblDaily[EntryDate],DATE(2026,8,27),tblDaily[WardCode],"MAE")),"")</f>
        <v/>
      </c>
      <c r="D314" s="13" t="str">
        <f>IFERROR(IF(SUMIFS(tblDaily[Deaths],tblDaily[EntryDate],DATE(2026,8,27),tblDaily[WardCode],"MAE")=0,"",SUMIFS(tblDaily[Deaths],tblDaily[EntryDate],DATE(2026,8,27),tblDaily[WardCode],"MAE")),"")</f>
        <v/>
      </c>
      <c r="E314" s="13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3" t="str">
        <f>IFERROR(IF(SUMIFS(tblDaily[TransfersIn],tblDaily[EntryDate],DATE(2026,8,27),tblDaily[WardCode],"MAE")=0,"",SUMIFS(tblDaily[TransfersIn],tblDaily[EntryDate],DATE(2026,8,27),tblDaily[WardCode],"MAE")),"")</f>
        <v/>
      </c>
      <c r="G314" s="13" t="str">
        <f>IFERROR(IF(SUMIFS(tblDaily[TransfersOut],tblDaily[EntryDate],DATE(2026,8,27),tblDaily[WardCode],"MAE")=0,"",SUMIFS(tblDaily[TransfersOut],tblDaily[EntryDate],DATE(2026,8,27),tblDaily[WardCode],"MAE")),"")</f>
        <v/>
      </c>
      <c r="H314" s="13" t="str">
        <f>IFERROR(IF(SUMIFS(tblDaily[Remaining],tblDaily[EntryDate],DATE(2026,8,27),tblDaily[WardCode],"MAE")=0,"",SUMIFS(tblDaily[Remaining],tblDaily[EntryDate],DATE(2026,8,27),tblDaily[WardCode],"MAE")),"")</f>
        <v/>
      </c>
      <c r="I314" s="13" t="str">
        <f>IFERROR(IF(SUMIFS(tblDaily[Admissions],tblDaily[EntryDate],DATE(2026,8,27),tblDaily[WardCode],"FAE")=0,"",SUMIFS(tblDaily[Admissions],tblDaily[EntryDate],DATE(2026,8,27),tblDaily[WardCode],"FAE")),"")</f>
        <v/>
      </c>
      <c r="J314" s="13" t="str">
        <f>IFERROR(IF(SUMIFS(tblDaily[Discharges],tblDaily[EntryDate],DATE(2026,8,27),tblDaily[WardCode],"FAE")=0,"",SUMIFS(tblDaily[Discharges],tblDaily[EntryDate],DATE(2026,8,27),tblDaily[WardCode],"FAE")),"")</f>
        <v/>
      </c>
      <c r="K314" s="13" t="str">
        <f>IFERROR(IF(SUMIFS(tblDaily[Deaths],tblDaily[EntryDate],DATE(2026,8,27),tblDaily[WardCode],"FAE")=0,"",SUMIFS(tblDaily[Deaths],tblDaily[EntryDate],DATE(2026,8,27),tblDaily[WardCode],"FAE")),"")</f>
        <v/>
      </c>
      <c r="L314" s="13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3" t="str">
        <f>IFERROR(IF(SUMIFS(tblDaily[TransfersIn],tblDaily[EntryDate],DATE(2026,8,27),tblDaily[WardCode],"FAE")=0,"",SUMIFS(tblDaily[TransfersIn],tblDaily[EntryDate],DATE(2026,8,27),tblDaily[WardCode],"FAE")),"")</f>
        <v/>
      </c>
      <c r="N314" s="13" t="str">
        <f>IFERROR(IF(SUMIFS(tblDaily[TransfersOut],tblDaily[EntryDate],DATE(2026,8,27),tblDaily[WardCode],"FAE")=0,"",SUMIFS(tblDaily[TransfersOut],tblDaily[EntryDate],DATE(2026,8,27),tblDaily[WardCode],"FAE")),"")</f>
        <v/>
      </c>
      <c r="O314" s="13" t="str">
        <f>IFERROR(IF(SUMIFS(tblDaily[Remaining],tblDaily[EntryDate],DATE(2026,8,27),tblDaily[WardCode],"FAE")=0,"",SUMIFS(tblDaily[Remaining],tblDaily[EntryDate],DATE(2026,8,27),tblDaily[WardCode],"FAE")),"")</f>
        <v/>
      </c>
    </row>
    <row r="315" spans="1:15" x14ac:dyDescent="0.25">
      <c r="A315" s="13">
        <v>28</v>
      </c>
      <c r="B315" s="13" t="str">
        <f>IFERROR(IF(SUMIFS(tblDaily[Admissions],tblDaily[EntryDate],DATE(2026,8,28),tblDaily[WardCode],"MAE")=0,"",SUMIFS(tblDaily[Admissions],tblDaily[EntryDate],DATE(2026,8,28),tblDaily[WardCode],"MAE")),"")</f>
        <v/>
      </c>
      <c r="C315" s="13" t="str">
        <f>IFERROR(IF(SUMIFS(tblDaily[Discharges],tblDaily[EntryDate],DATE(2026,8,28),tblDaily[WardCode],"MAE")=0,"",SUMIFS(tblDaily[Discharges],tblDaily[EntryDate],DATE(2026,8,28),tblDaily[WardCode],"MAE")),"")</f>
        <v/>
      </c>
      <c r="D315" s="13" t="str">
        <f>IFERROR(IF(SUMIFS(tblDaily[Deaths],tblDaily[EntryDate],DATE(2026,8,28),tblDaily[WardCode],"MAE")=0,"",SUMIFS(tblDaily[Deaths],tblDaily[EntryDate],DATE(2026,8,28),tblDaily[WardCode],"MAE")),"")</f>
        <v/>
      </c>
      <c r="E315" s="13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3" t="str">
        <f>IFERROR(IF(SUMIFS(tblDaily[TransfersIn],tblDaily[EntryDate],DATE(2026,8,28),tblDaily[WardCode],"MAE")=0,"",SUMIFS(tblDaily[TransfersIn],tblDaily[EntryDate],DATE(2026,8,28),tblDaily[WardCode],"MAE")),"")</f>
        <v/>
      </c>
      <c r="G315" s="13" t="str">
        <f>IFERROR(IF(SUMIFS(tblDaily[TransfersOut],tblDaily[EntryDate],DATE(2026,8,28),tblDaily[WardCode],"MAE")=0,"",SUMIFS(tblDaily[TransfersOut],tblDaily[EntryDate],DATE(2026,8,28),tblDaily[WardCode],"MAE")),"")</f>
        <v/>
      </c>
      <c r="H315" s="13" t="str">
        <f>IFERROR(IF(SUMIFS(tblDaily[Remaining],tblDaily[EntryDate],DATE(2026,8,28),tblDaily[WardCode],"MAE")=0,"",SUMIFS(tblDaily[Remaining],tblDaily[EntryDate],DATE(2026,8,28),tblDaily[WardCode],"MAE")),"")</f>
        <v/>
      </c>
      <c r="I315" s="13" t="str">
        <f>IFERROR(IF(SUMIFS(tblDaily[Admissions],tblDaily[EntryDate],DATE(2026,8,28),tblDaily[WardCode],"FAE")=0,"",SUMIFS(tblDaily[Admissions],tblDaily[EntryDate],DATE(2026,8,28),tblDaily[WardCode],"FAE")),"")</f>
        <v/>
      </c>
      <c r="J315" s="13" t="str">
        <f>IFERROR(IF(SUMIFS(tblDaily[Discharges],tblDaily[EntryDate],DATE(2026,8,28),tblDaily[WardCode],"FAE")=0,"",SUMIFS(tblDaily[Discharges],tblDaily[EntryDate],DATE(2026,8,28),tblDaily[WardCode],"FAE")),"")</f>
        <v/>
      </c>
      <c r="K315" s="13" t="str">
        <f>IFERROR(IF(SUMIFS(tblDaily[Deaths],tblDaily[EntryDate],DATE(2026,8,28),tblDaily[WardCode],"FAE")=0,"",SUMIFS(tblDaily[Deaths],tblDaily[EntryDate],DATE(2026,8,28),tblDaily[WardCode],"FAE")),"")</f>
        <v/>
      </c>
      <c r="L315" s="13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3" t="str">
        <f>IFERROR(IF(SUMIFS(tblDaily[TransfersIn],tblDaily[EntryDate],DATE(2026,8,28),tblDaily[WardCode],"FAE")=0,"",SUMIFS(tblDaily[TransfersIn],tblDaily[EntryDate],DATE(2026,8,28),tblDaily[WardCode],"FAE")),"")</f>
        <v/>
      </c>
      <c r="N315" s="13" t="str">
        <f>IFERROR(IF(SUMIFS(tblDaily[TransfersOut],tblDaily[EntryDate],DATE(2026,8,28),tblDaily[WardCode],"FAE")=0,"",SUMIFS(tblDaily[TransfersOut],tblDaily[EntryDate],DATE(2026,8,28),tblDaily[WardCode],"FAE")),"")</f>
        <v/>
      </c>
      <c r="O315" s="13" t="str">
        <f>IFERROR(IF(SUMIFS(tblDaily[Remaining],tblDaily[EntryDate],DATE(2026,8,28),tblDaily[WardCode],"FAE")=0,"",SUMIFS(tblDaily[Remaining],tblDaily[EntryDate],DATE(2026,8,28),tblDaily[WardCode],"FAE")),"")</f>
        <v/>
      </c>
    </row>
    <row r="316" spans="1:15" x14ac:dyDescent="0.25">
      <c r="A316" s="13">
        <v>29</v>
      </c>
      <c r="B316" s="13" t="str">
        <f>IFERROR(IF(SUMIFS(tblDaily[Admissions],tblDaily[EntryDate],DATE(2026,8,29),tblDaily[WardCode],"MAE")=0,"",SUMIFS(tblDaily[Admissions],tblDaily[EntryDate],DATE(2026,8,29),tblDaily[WardCode],"MAE")),"")</f>
        <v/>
      </c>
      <c r="C316" s="13" t="str">
        <f>IFERROR(IF(SUMIFS(tblDaily[Discharges],tblDaily[EntryDate],DATE(2026,8,29),tblDaily[WardCode],"MAE")=0,"",SUMIFS(tblDaily[Discharges],tblDaily[EntryDate],DATE(2026,8,29),tblDaily[WardCode],"MAE")),"")</f>
        <v/>
      </c>
      <c r="D316" s="13" t="str">
        <f>IFERROR(IF(SUMIFS(tblDaily[Deaths],tblDaily[EntryDate],DATE(2026,8,29),tblDaily[WardCode],"MAE")=0,"",SUMIFS(tblDaily[Deaths],tblDaily[EntryDate],DATE(2026,8,29),tblDaily[WardCode],"MAE")),"")</f>
        <v/>
      </c>
      <c r="E316" s="13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3" t="str">
        <f>IFERROR(IF(SUMIFS(tblDaily[TransfersIn],tblDaily[EntryDate],DATE(2026,8,29),tblDaily[WardCode],"MAE")=0,"",SUMIFS(tblDaily[TransfersIn],tblDaily[EntryDate],DATE(2026,8,29),tblDaily[WardCode],"MAE")),"")</f>
        <v/>
      </c>
      <c r="G316" s="13" t="str">
        <f>IFERROR(IF(SUMIFS(tblDaily[TransfersOut],tblDaily[EntryDate],DATE(2026,8,29),tblDaily[WardCode],"MAE")=0,"",SUMIFS(tblDaily[TransfersOut],tblDaily[EntryDate],DATE(2026,8,29),tblDaily[WardCode],"MAE")),"")</f>
        <v/>
      </c>
      <c r="H316" s="13" t="str">
        <f>IFERROR(IF(SUMIFS(tblDaily[Remaining],tblDaily[EntryDate],DATE(2026,8,29),tblDaily[WardCode],"MAE")=0,"",SUMIFS(tblDaily[Remaining],tblDaily[EntryDate],DATE(2026,8,29),tblDaily[WardCode],"MAE")),"")</f>
        <v/>
      </c>
      <c r="I316" s="13" t="str">
        <f>IFERROR(IF(SUMIFS(tblDaily[Admissions],tblDaily[EntryDate],DATE(2026,8,29),tblDaily[WardCode],"FAE")=0,"",SUMIFS(tblDaily[Admissions],tblDaily[EntryDate],DATE(2026,8,29),tblDaily[WardCode],"FAE")),"")</f>
        <v/>
      </c>
      <c r="J316" s="13" t="str">
        <f>IFERROR(IF(SUMIFS(tblDaily[Discharges],tblDaily[EntryDate],DATE(2026,8,29),tblDaily[WardCode],"FAE")=0,"",SUMIFS(tblDaily[Discharges],tblDaily[EntryDate],DATE(2026,8,29),tblDaily[WardCode],"FAE")),"")</f>
        <v/>
      </c>
      <c r="K316" s="13" t="str">
        <f>IFERROR(IF(SUMIFS(tblDaily[Deaths],tblDaily[EntryDate],DATE(2026,8,29),tblDaily[WardCode],"FAE")=0,"",SUMIFS(tblDaily[Deaths],tblDaily[EntryDate],DATE(2026,8,29),tblDaily[WardCode],"FAE")),"")</f>
        <v/>
      </c>
      <c r="L316" s="13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3" t="str">
        <f>IFERROR(IF(SUMIFS(tblDaily[TransfersIn],tblDaily[EntryDate],DATE(2026,8,29),tblDaily[WardCode],"FAE")=0,"",SUMIFS(tblDaily[TransfersIn],tblDaily[EntryDate],DATE(2026,8,29),tblDaily[WardCode],"FAE")),"")</f>
        <v/>
      </c>
      <c r="N316" s="13" t="str">
        <f>IFERROR(IF(SUMIFS(tblDaily[TransfersOut],tblDaily[EntryDate],DATE(2026,8,29),tblDaily[WardCode],"FAE")=0,"",SUMIFS(tblDaily[TransfersOut],tblDaily[EntryDate],DATE(2026,8,29),tblDaily[WardCode],"FAE")),"")</f>
        <v/>
      </c>
      <c r="O316" s="13" t="str">
        <f>IFERROR(IF(SUMIFS(tblDaily[Remaining],tblDaily[EntryDate],DATE(2026,8,29),tblDaily[WardCode],"FAE")=0,"",SUMIFS(tblDaily[Remaining],tblDaily[EntryDate],DATE(2026,8,29),tblDaily[WardCode],"FAE")),"")</f>
        <v/>
      </c>
    </row>
    <row r="317" spans="1:15" x14ac:dyDescent="0.25">
      <c r="A317" s="13">
        <v>30</v>
      </c>
      <c r="B317" s="13" t="str">
        <f>IFERROR(IF(SUMIFS(tblDaily[Admissions],tblDaily[EntryDate],DATE(2026,8,30),tblDaily[WardCode],"MAE")=0,"",SUMIFS(tblDaily[Admissions],tblDaily[EntryDate],DATE(2026,8,30),tblDaily[WardCode],"MAE")),"")</f>
        <v/>
      </c>
      <c r="C317" s="13" t="str">
        <f>IFERROR(IF(SUMIFS(tblDaily[Discharges],tblDaily[EntryDate],DATE(2026,8,30),tblDaily[WardCode],"MAE")=0,"",SUMIFS(tblDaily[Discharges],tblDaily[EntryDate],DATE(2026,8,30),tblDaily[WardCode],"MAE")),"")</f>
        <v/>
      </c>
      <c r="D317" s="13" t="str">
        <f>IFERROR(IF(SUMIFS(tblDaily[Deaths],tblDaily[EntryDate],DATE(2026,8,30),tblDaily[WardCode],"MAE")=0,"",SUMIFS(tblDaily[Deaths],tblDaily[EntryDate],DATE(2026,8,30),tblDaily[WardCode],"MAE")),"")</f>
        <v/>
      </c>
      <c r="E317" s="13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3" t="str">
        <f>IFERROR(IF(SUMIFS(tblDaily[TransfersIn],tblDaily[EntryDate],DATE(2026,8,30),tblDaily[WardCode],"MAE")=0,"",SUMIFS(tblDaily[TransfersIn],tblDaily[EntryDate],DATE(2026,8,30),tblDaily[WardCode],"MAE")),"")</f>
        <v/>
      </c>
      <c r="G317" s="13" t="str">
        <f>IFERROR(IF(SUMIFS(tblDaily[TransfersOut],tblDaily[EntryDate],DATE(2026,8,30),tblDaily[WardCode],"MAE")=0,"",SUMIFS(tblDaily[TransfersOut],tblDaily[EntryDate],DATE(2026,8,30),tblDaily[WardCode],"MAE")),"")</f>
        <v/>
      </c>
      <c r="H317" s="13" t="str">
        <f>IFERROR(IF(SUMIFS(tblDaily[Remaining],tblDaily[EntryDate],DATE(2026,8,30),tblDaily[WardCode],"MAE")=0,"",SUMIFS(tblDaily[Remaining],tblDaily[EntryDate],DATE(2026,8,30),tblDaily[WardCode],"MAE")),"")</f>
        <v/>
      </c>
      <c r="I317" s="13" t="str">
        <f>IFERROR(IF(SUMIFS(tblDaily[Admissions],tblDaily[EntryDate],DATE(2026,8,30),tblDaily[WardCode],"FAE")=0,"",SUMIFS(tblDaily[Admissions],tblDaily[EntryDate],DATE(2026,8,30),tblDaily[WardCode],"FAE")),"")</f>
        <v/>
      </c>
      <c r="J317" s="13" t="str">
        <f>IFERROR(IF(SUMIFS(tblDaily[Discharges],tblDaily[EntryDate],DATE(2026,8,30),tblDaily[WardCode],"FAE")=0,"",SUMIFS(tblDaily[Discharges],tblDaily[EntryDate],DATE(2026,8,30),tblDaily[WardCode],"FAE")),"")</f>
        <v/>
      </c>
      <c r="K317" s="13" t="str">
        <f>IFERROR(IF(SUMIFS(tblDaily[Deaths],tblDaily[EntryDate],DATE(2026,8,30),tblDaily[WardCode],"FAE")=0,"",SUMIFS(tblDaily[Deaths],tblDaily[EntryDate],DATE(2026,8,30),tblDaily[WardCode],"FAE")),"")</f>
        <v/>
      </c>
      <c r="L317" s="13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3" t="str">
        <f>IFERROR(IF(SUMIFS(tblDaily[TransfersIn],tblDaily[EntryDate],DATE(2026,8,30),tblDaily[WardCode],"FAE")=0,"",SUMIFS(tblDaily[TransfersIn],tblDaily[EntryDate],DATE(2026,8,30),tblDaily[WardCode],"FAE")),"")</f>
        <v/>
      </c>
      <c r="N317" s="13" t="str">
        <f>IFERROR(IF(SUMIFS(tblDaily[TransfersOut],tblDaily[EntryDate],DATE(2026,8,30),tblDaily[WardCode],"FAE")=0,"",SUMIFS(tblDaily[TransfersOut],tblDaily[EntryDate],DATE(2026,8,30),tblDaily[WardCode],"FAE")),"")</f>
        <v/>
      </c>
      <c r="O317" s="13" t="str">
        <f>IFERROR(IF(SUMIFS(tblDaily[Remaining],tblDaily[EntryDate],DATE(2026,8,30),tblDaily[WardCode],"FAE")=0,"",SUMIFS(tblDaily[Remaining],tblDaily[EntryDate],DATE(2026,8,30),tblDaily[WardCode],"FAE")),"")</f>
        <v/>
      </c>
    </row>
    <row r="318" spans="1:15" x14ac:dyDescent="0.25">
      <c r="A318" s="13">
        <v>31</v>
      </c>
      <c r="B318" s="13" t="str">
        <f>IFERROR(IF(SUMIFS(tblDaily[Admissions],tblDaily[EntryDate],DATE(2026,8,31),tblDaily[WardCode],"MAE")=0,"",SUMIFS(tblDaily[Admissions],tblDaily[EntryDate],DATE(2026,8,31),tblDaily[WardCode],"MAE")),"")</f>
        <v/>
      </c>
      <c r="C318" s="13" t="str">
        <f>IFERROR(IF(SUMIFS(tblDaily[Discharges],tblDaily[EntryDate],DATE(2026,8,31),tblDaily[WardCode],"MAE")=0,"",SUMIFS(tblDaily[Discharges],tblDaily[EntryDate],DATE(2026,8,31),tblDaily[WardCode],"MAE")),"")</f>
        <v/>
      </c>
      <c r="D318" s="13" t="str">
        <f>IFERROR(IF(SUMIFS(tblDaily[Deaths],tblDaily[EntryDate],DATE(2026,8,31),tblDaily[WardCode],"MAE")=0,"",SUMIFS(tblDaily[Deaths],tblDaily[EntryDate],DATE(2026,8,31),tblDaily[WardCode],"MAE")),"")</f>
        <v/>
      </c>
      <c r="E318" s="13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3" t="str">
        <f>IFERROR(IF(SUMIFS(tblDaily[TransfersIn],tblDaily[EntryDate],DATE(2026,8,31),tblDaily[WardCode],"MAE")=0,"",SUMIFS(tblDaily[TransfersIn],tblDaily[EntryDate],DATE(2026,8,31),tblDaily[WardCode],"MAE")),"")</f>
        <v/>
      </c>
      <c r="G318" s="13" t="str">
        <f>IFERROR(IF(SUMIFS(tblDaily[TransfersOut],tblDaily[EntryDate],DATE(2026,8,31),tblDaily[WardCode],"MAE")=0,"",SUMIFS(tblDaily[TransfersOut],tblDaily[EntryDate],DATE(2026,8,31),tblDaily[WardCode],"MAE")),"")</f>
        <v/>
      </c>
      <c r="H318" s="13" t="str">
        <f>IFERROR(IF(SUMIFS(tblDaily[Remaining],tblDaily[EntryDate],DATE(2026,8,31),tblDaily[WardCode],"MAE")=0,"",SUMIFS(tblDaily[Remaining],tblDaily[EntryDate],DATE(2026,8,31),tblDaily[WardCode],"MAE")),"")</f>
        <v/>
      </c>
      <c r="I318" s="13" t="str">
        <f>IFERROR(IF(SUMIFS(tblDaily[Admissions],tblDaily[EntryDate],DATE(2026,8,31),tblDaily[WardCode],"FAE")=0,"",SUMIFS(tblDaily[Admissions],tblDaily[EntryDate],DATE(2026,8,31),tblDaily[WardCode],"FAE")),"")</f>
        <v/>
      </c>
      <c r="J318" s="13" t="str">
        <f>IFERROR(IF(SUMIFS(tblDaily[Discharges],tblDaily[EntryDate],DATE(2026,8,31),tblDaily[WardCode],"FAE")=0,"",SUMIFS(tblDaily[Discharges],tblDaily[EntryDate],DATE(2026,8,31),tblDaily[WardCode],"FAE")),"")</f>
        <v/>
      </c>
      <c r="K318" s="13" t="str">
        <f>IFERROR(IF(SUMIFS(tblDaily[Deaths],tblDaily[EntryDate],DATE(2026,8,31),tblDaily[WardCode],"FAE")=0,"",SUMIFS(tblDaily[Deaths],tblDaily[EntryDate],DATE(2026,8,31),tblDaily[WardCode],"FAE")),"")</f>
        <v/>
      </c>
      <c r="L318" s="13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3" t="str">
        <f>IFERROR(IF(SUMIFS(tblDaily[TransfersIn],tblDaily[EntryDate],DATE(2026,8,31),tblDaily[WardCode],"FAE")=0,"",SUMIFS(tblDaily[TransfersIn],tblDaily[EntryDate],DATE(2026,8,31),tblDaily[WardCode],"FAE")),"")</f>
        <v/>
      </c>
      <c r="N318" s="13" t="str">
        <f>IFERROR(IF(SUMIFS(tblDaily[TransfersOut],tblDaily[EntryDate],DATE(2026,8,31),tblDaily[WardCode],"FAE")=0,"",SUMIFS(tblDaily[TransfersOut],tblDaily[EntryDate],DATE(2026,8,31),tblDaily[WardCode],"FAE")),"")</f>
        <v/>
      </c>
      <c r="O318" s="13" t="str">
        <f>IFERROR(IF(SUMIFS(tblDaily[Remaining],tblDaily[EntryDate],DATE(2026,8,31),tblDaily[WardCode],"FAE")=0,"",SUMIFS(tblDaily[Remaining],tblDaily[EntryDate],DATE(2026,8,31),tblDaily[WardCode],"FAE")),"")</f>
        <v/>
      </c>
    </row>
    <row r="319" spans="1:15" x14ac:dyDescent="0.25">
      <c r="A319" s="9" t="s">
        <v>110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</row>
    <row r="321" spans="1:15" ht="18.75" x14ac:dyDescent="0.25">
      <c r="A321" s="36" t="s">
        <v>0</v>
      </c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ht="15.75" x14ac:dyDescent="0.25">
      <c r="A322" s="34" t="s">
        <v>99</v>
      </c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1" t="s">
        <v>4</v>
      </c>
      <c r="B323" s="2" t="s">
        <v>2</v>
      </c>
      <c r="E323" s="1" t="s">
        <v>100</v>
      </c>
      <c r="F323" s="1" t="s">
        <v>119</v>
      </c>
      <c r="M323" s="1" t="s">
        <v>102</v>
      </c>
      <c r="N323" s="1" t="s">
        <v>66</v>
      </c>
    </row>
    <row r="324" spans="1:15" x14ac:dyDescent="0.25">
      <c r="A324" s="1" t="s">
        <v>103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5" x14ac:dyDescent="0.25">
      <c r="A325" s="1" t="s">
        <v>104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5" x14ac:dyDescent="0.25">
      <c r="A326" s="3" t="s">
        <v>120</v>
      </c>
      <c r="B326" s="35" t="s">
        <v>117</v>
      </c>
      <c r="C326" s="26"/>
      <c r="D326" s="26"/>
      <c r="E326" s="26"/>
      <c r="F326" s="26"/>
      <c r="G326" s="26"/>
      <c r="H326" s="26"/>
      <c r="I326" s="37" t="s">
        <v>118</v>
      </c>
      <c r="J326" s="26"/>
      <c r="K326" s="26"/>
      <c r="L326" s="26"/>
      <c r="M326" s="26"/>
      <c r="N326" s="26"/>
      <c r="O326" s="26"/>
    </row>
    <row r="327" spans="1:15" x14ac:dyDescent="0.25">
      <c r="A327" s="3" t="s">
        <v>120</v>
      </c>
      <c r="B327" s="3" t="s">
        <v>121</v>
      </c>
      <c r="C327" s="3" t="s">
        <v>122</v>
      </c>
      <c r="D327" s="3" t="s">
        <v>123</v>
      </c>
      <c r="E327" s="3" t="s">
        <v>124</v>
      </c>
      <c r="F327" s="3" t="s">
        <v>125</v>
      </c>
      <c r="G327" s="3" t="s">
        <v>126</v>
      </c>
      <c r="H327" s="3" t="s">
        <v>127</v>
      </c>
      <c r="I327" s="3" t="s">
        <v>121</v>
      </c>
      <c r="J327" s="3" t="s">
        <v>122</v>
      </c>
      <c r="K327" s="3" t="s">
        <v>123</v>
      </c>
      <c r="L327" s="3" t="s">
        <v>124</v>
      </c>
      <c r="M327" s="3" t="s">
        <v>125</v>
      </c>
      <c r="N327" s="3" t="s">
        <v>126</v>
      </c>
      <c r="O327" s="3" t="s">
        <v>127</v>
      </c>
    </row>
    <row r="328" spans="1:15" x14ac:dyDescent="0.25">
      <c r="A328" s="13">
        <v>1</v>
      </c>
      <c r="B328" s="13" t="str">
        <f>IFERROR(IF(SUMIFS(tblDaily[Admissions],tblDaily[EntryDate],DATE(2026,9,1),tblDaily[WardCode],"MAE")=0,"",SUMIFS(tblDaily[Admissions],tblDaily[EntryDate],DATE(2026,9,1),tblDaily[WardCode],"MAE")),"")</f>
        <v/>
      </c>
      <c r="C328" s="13" t="str">
        <f>IFERROR(IF(SUMIFS(tblDaily[Discharges],tblDaily[EntryDate],DATE(2026,9,1),tblDaily[WardCode],"MAE")=0,"",SUMIFS(tblDaily[Discharges],tblDaily[EntryDate],DATE(2026,9,1),tblDaily[WardCode],"MAE")),"")</f>
        <v/>
      </c>
      <c r="D328" s="13" t="str">
        <f>IFERROR(IF(SUMIFS(tblDaily[Deaths],tblDaily[EntryDate],DATE(2026,9,1),tblDaily[WardCode],"MAE")=0,"",SUMIFS(tblDaily[Deaths],tblDaily[EntryDate],DATE(2026,9,1),tblDaily[WardCode],"MAE")),"")</f>
        <v/>
      </c>
      <c r="E328" s="13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3" t="str">
        <f>IFERROR(IF(SUMIFS(tblDaily[TransfersIn],tblDaily[EntryDate],DATE(2026,9,1),tblDaily[WardCode],"MAE")=0,"",SUMIFS(tblDaily[TransfersIn],tblDaily[EntryDate],DATE(2026,9,1),tblDaily[WardCode],"MAE")),"")</f>
        <v/>
      </c>
      <c r="G328" s="13" t="str">
        <f>IFERROR(IF(SUMIFS(tblDaily[TransfersOut],tblDaily[EntryDate],DATE(2026,9,1),tblDaily[WardCode],"MAE")=0,"",SUMIFS(tblDaily[TransfersOut],tblDaily[EntryDate],DATE(2026,9,1),tblDaily[WardCode],"MAE")),"")</f>
        <v/>
      </c>
      <c r="H328" s="13" t="str">
        <f>IFERROR(IF(SUMIFS(tblDaily[Remaining],tblDaily[EntryDate],DATE(2026,9,1),tblDaily[WardCode],"MAE")=0,"",SUMIFS(tblDaily[Remaining],tblDaily[EntryDate],DATE(2026,9,1),tblDaily[WardCode],"MAE")),"")</f>
        <v/>
      </c>
      <c r="I328" s="13" t="str">
        <f>IFERROR(IF(SUMIFS(tblDaily[Admissions],tblDaily[EntryDate],DATE(2026,9,1),tblDaily[WardCode],"FAE")=0,"",SUMIFS(tblDaily[Admissions],tblDaily[EntryDate],DATE(2026,9,1),tblDaily[WardCode],"FAE")),"")</f>
        <v/>
      </c>
      <c r="J328" s="13" t="str">
        <f>IFERROR(IF(SUMIFS(tblDaily[Discharges],tblDaily[EntryDate],DATE(2026,9,1),tblDaily[WardCode],"FAE")=0,"",SUMIFS(tblDaily[Discharges],tblDaily[EntryDate],DATE(2026,9,1),tblDaily[WardCode],"FAE")),"")</f>
        <v/>
      </c>
      <c r="K328" s="13" t="str">
        <f>IFERROR(IF(SUMIFS(tblDaily[Deaths],tblDaily[EntryDate],DATE(2026,9,1),tblDaily[WardCode],"FAE")=0,"",SUMIFS(tblDaily[Deaths],tblDaily[EntryDate],DATE(2026,9,1),tblDaily[WardCode],"FAE")),"")</f>
        <v/>
      </c>
      <c r="L328" s="13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3" t="str">
        <f>IFERROR(IF(SUMIFS(tblDaily[TransfersIn],tblDaily[EntryDate],DATE(2026,9,1),tblDaily[WardCode],"FAE")=0,"",SUMIFS(tblDaily[TransfersIn],tblDaily[EntryDate],DATE(2026,9,1),tblDaily[WardCode],"FAE")),"")</f>
        <v/>
      </c>
      <c r="N328" s="13" t="str">
        <f>IFERROR(IF(SUMIFS(tblDaily[TransfersOut],tblDaily[EntryDate],DATE(2026,9,1),tblDaily[WardCode],"FAE")=0,"",SUMIFS(tblDaily[TransfersOut],tblDaily[EntryDate],DATE(2026,9,1),tblDaily[WardCode],"FAE")),"")</f>
        <v/>
      </c>
      <c r="O328" s="13" t="str">
        <f>IFERROR(IF(SUMIFS(tblDaily[Remaining],tblDaily[EntryDate],DATE(2026,9,1),tblDaily[WardCode],"FAE")=0,"",SUMIFS(tblDaily[Remaining],tblDaily[EntryDate],DATE(2026,9,1),tblDaily[WardCode],"FAE")),"")</f>
        <v/>
      </c>
    </row>
    <row r="329" spans="1:15" x14ac:dyDescent="0.25">
      <c r="A329" s="13">
        <v>2</v>
      </c>
      <c r="B329" s="13" t="str">
        <f>IFERROR(IF(SUMIFS(tblDaily[Admissions],tblDaily[EntryDate],DATE(2026,9,2),tblDaily[WardCode],"MAE")=0,"",SUMIFS(tblDaily[Admissions],tblDaily[EntryDate],DATE(2026,9,2),tblDaily[WardCode],"MAE")),"")</f>
        <v/>
      </c>
      <c r="C329" s="13" t="str">
        <f>IFERROR(IF(SUMIFS(tblDaily[Discharges],tblDaily[EntryDate],DATE(2026,9,2),tblDaily[WardCode],"MAE")=0,"",SUMIFS(tblDaily[Discharges],tblDaily[EntryDate],DATE(2026,9,2),tblDaily[WardCode],"MAE")),"")</f>
        <v/>
      </c>
      <c r="D329" s="13" t="str">
        <f>IFERROR(IF(SUMIFS(tblDaily[Deaths],tblDaily[EntryDate],DATE(2026,9,2),tblDaily[WardCode],"MAE")=0,"",SUMIFS(tblDaily[Deaths],tblDaily[EntryDate],DATE(2026,9,2),tblDaily[WardCode],"MAE")),"")</f>
        <v/>
      </c>
      <c r="E329" s="13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3" t="str">
        <f>IFERROR(IF(SUMIFS(tblDaily[TransfersIn],tblDaily[EntryDate],DATE(2026,9,2),tblDaily[WardCode],"MAE")=0,"",SUMIFS(tblDaily[TransfersIn],tblDaily[EntryDate],DATE(2026,9,2),tblDaily[WardCode],"MAE")),"")</f>
        <v/>
      </c>
      <c r="G329" s="13" t="str">
        <f>IFERROR(IF(SUMIFS(tblDaily[TransfersOut],tblDaily[EntryDate],DATE(2026,9,2),tblDaily[WardCode],"MAE")=0,"",SUMIFS(tblDaily[TransfersOut],tblDaily[EntryDate],DATE(2026,9,2),tblDaily[WardCode],"MAE")),"")</f>
        <v/>
      </c>
      <c r="H329" s="13" t="str">
        <f>IFERROR(IF(SUMIFS(tblDaily[Remaining],tblDaily[EntryDate],DATE(2026,9,2),tblDaily[WardCode],"MAE")=0,"",SUMIFS(tblDaily[Remaining],tblDaily[EntryDate],DATE(2026,9,2),tblDaily[WardCode],"MAE")),"")</f>
        <v/>
      </c>
      <c r="I329" s="13" t="str">
        <f>IFERROR(IF(SUMIFS(tblDaily[Admissions],tblDaily[EntryDate],DATE(2026,9,2),tblDaily[WardCode],"FAE")=0,"",SUMIFS(tblDaily[Admissions],tblDaily[EntryDate],DATE(2026,9,2),tblDaily[WardCode],"FAE")),"")</f>
        <v/>
      </c>
      <c r="J329" s="13" t="str">
        <f>IFERROR(IF(SUMIFS(tblDaily[Discharges],tblDaily[EntryDate],DATE(2026,9,2),tblDaily[WardCode],"FAE")=0,"",SUMIFS(tblDaily[Discharges],tblDaily[EntryDate],DATE(2026,9,2),tblDaily[WardCode],"FAE")),"")</f>
        <v/>
      </c>
      <c r="K329" s="13" t="str">
        <f>IFERROR(IF(SUMIFS(tblDaily[Deaths],tblDaily[EntryDate],DATE(2026,9,2),tblDaily[WardCode],"FAE")=0,"",SUMIFS(tblDaily[Deaths],tblDaily[EntryDate],DATE(2026,9,2),tblDaily[WardCode],"FAE")),"")</f>
        <v/>
      </c>
      <c r="L329" s="13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3" t="str">
        <f>IFERROR(IF(SUMIFS(tblDaily[TransfersIn],tblDaily[EntryDate],DATE(2026,9,2),tblDaily[WardCode],"FAE")=0,"",SUMIFS(tblDaily[TransfersIn],tblDaily[EntryDate],DATE(2026,9,2),tblDaily[WardCode],"FAE")),"")</f>
        <v/>
      </c>
      <c r="N329" s="13" t="str">
        <f>IFERROR(IF(SUMIFS(tblDaily[TransfersOut],tblDaily[EntryDate],DATE(2026,9,2),tblDaily[WardCode],"FAE")=0,"",SUMIFS(tblDaily[TransfersOut],tblDaily[EntryDate],DATE(2026,9,2),tblDaily[WardCode],"FAE")),"")</f>
        <v/>
      </c>
      <c r="O329" s="13" t="str">
        <f>IFERROR(IF(SUMIFS(tblDaily[Remaining],tblDaily[EntryDate],DATE(2026,9,2),tblDaily[WardCode],"FAE")=0,"",SUMIFS(tblDaily[Remaining],tblDaily[EntryDate],DATE(2026,9,2),tblDaily[WardCode],"FAE")),"")</f>
        <v/>
      </c>
    </row>
    <row r="330" spans="1:15" x14ac:dyDescent="0.25">
      <c r="A330" s="13">
        <v>3</v>
      </c>
      <c r="B330" s="13" t="str">
        <f>IFERROR(IF(SUMIFS(tblDaily[Admissions],tblDaily[EntryDate],DATE(2026,9,3),tblDaily[WardCode],"MAE")=0,"",SUMIFS(tblDaily[Admissions],tblDaily[EntryDate],DATE(2026,9,3),tblDaily[WardCode],"MAE")),"")</f>
        <v/>
      </c>
      <c r="C330" s="13" t="str">
        <f>IFERROR(IF(SUMIFS(tblDaily[Discharges],tblDaily[EntryDate],DATE(2026,9,3),tblDaily[WardCode],"MAE")=0,"",SUMIFS(tblDaily[Discharges],tblDaily[EntryDate],DATE(2026,9,3),tblDaily[WardCode],"MAE")),"")</f>
        <v/>
      </c>
      <c r="D330" s="13" t="str">
        <f>IFERROR(IF(SUMIFS(tblDaily[Deaths],tblDaily[EntryDate],DATE(2026,9,3),tblDaily[WardCode],"MAE")=0,"",SUMIFS(tblDaily[Deaths],tblDaily[EntryDate],DATE(2026,9,3),tblDaily[WardCode],"MAE")),"")</f>
        <v/>
      </c>
      <c r="E330" s="13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3" t="str">
        <f>IFERROR(IF(SUMIFS(tblDaily[TransfersIn],tblDaily[EntryDate],DATE(2026,9,3),tblDaily[WardCode],"MAE")=0,"",SUMIFS(tblDaily[TransfersIn],tblDaily[EntryDate],DATE(2026,9,3),tblDaily[WardCode],"MAE")),"")</f>
        <v/>
      </c>
      <c r="G330" s="13" t="str">
        <f>IFERROR(IF(SUMIFS(tblDaily[TransfersOut],tblDaily[EntryDate],DATE(2026,9,3),tblDaily[WardCode],"MAE")=0,"",SUMIFS(tblDaily[TransfersOut],tblDaily[EntryDate],DATE(2026,9,3),tblDaily[WardCode],"MAE")),"")</f>
        <v/>
      </c>
      <c r="H330" s="13" t="str">
        <f>IFERROR(IF(SUMIFS(tblDaily[Remaining],tblDaily[EntryDate],DATE(2026,9,3),tblDaily[WardCode],"MAE")=0,"",SUMIFS(tblDaily[Remaining],tblDaily[EntryDate],DATE(2026,9,3),tblDaily[WardCode],"MAE")),"")</f>
        <v/>
      </c>
      <c r="I330" s="13" t="str">
        <f>IFERROR(IF(SUMIFS(tblDaily[Admissions],tblDaily[EntryDate],DATE(2026,9,3),tblDaily[WardCode],"FAE")=0,"",SUMIFS(tblDaily[Admissions],tblDaily[EntryDate],DATE(2026,9,3),tblDaily[WardCode],"FAE")),"")</f>
        <v/>
      </c>
      <c r="J330" s="13" t="str">
        <f>IFERROR(IF(SUMIFS(tblDaily[Discharges],tblDaily[EntryDate],DATE(2026,9,3),tblDaily[WardCode],"FAE")=0,"",SUMIFS(tblDaily[Discharges],tblDaily[EntryDate],DATE(2026,9,3),tblDaily[WardCode],"FAE")),"")</f>
        <v/>
      </c>
      <c r="K330" s="13" t="str">
        <f>IFERROR(IF(SUMIFS(tblDaily[Deaths],tblDaily[EntryDate],DATE(2026,9,3),tblDaily[WardCode],"FAE")=0,"",SUMIFS(tblDaily[Deaths],tblDaily[EntryDate],DATE(2026,9,3),tblDaily[WardCode],"FAE")),"")</f>
        <v/>
      </c>
      <c r="L330" s="13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3" t="str">
        <f>IFERROR(IF(SUMIFS(tblDaily[TransfersIn],tblDaily[EntryDate],DATE(2026,9,3),tblDaily[WardCode],"FAE")=0,"",SUMIFS(tblDaily[TransfersIn],tblDaily[EntryDate],DATE(2026,9,3),tblDaily[WardCode],"FAE")),"")</f>
        <v/>
      </c>
      <c r="N330" s="13" t="str">
        <f>IFERROR(IF(SUMIFS(tblDaily[TransfersOut],tblDaily[EntryDate],DATE(2026,9,3),tblDaily[WardCode],"FAE")=0,"",SUMIFS(tblDaily[TransfersOut],tblDaily[EntryDate],DATE(2026,9,3),tblDaily[WardCode],"FAE")),"")</f>
        <v/>
      </c>
      <c r="O330" s="13" t="str">
        <f>IFERROR(IF(SUMIFS(tblDaily[Remaining],tblDaily[EntryDate],DATE(2026,9,3),tblDaily[WardCode],"FAE")=0,"",SUMIFS(tblDaily[Remaining],tblDaily[EntryDate],DATE(2026,9,3),tblDaily[WardCode],"FAE")),"")</f>
        <v/>
      </c>
    </row>
    <row r="331" spans="1:15" x14ac:dyDescent="0.25">
      <c r="A331" s="13">
        <v>4</v>
      </c>
      <c r="B331" s="13" t="str">
        <f>IFERROR(IF(SUMIFS(tblDaily[Admissions],tblDaily[EntryDate],DATE(2026,9,4),tblDaily[WardCode],"MAE")=0,"",SUMIFS(tblDaily[Admissions],tblDaily[EntryDate],DATE(2026,9,4),tblDaily[WardCode],"MAE")),"")</f>
        <v/>
      </c>
      <c r="C331" s="13" t="str">
        <f>IFERROR(IF(SUMIFS(tblDaily[Discharges],tblDaily[EntryDate],DATE(2026,9,4),tblDaily[WardCode],"MAE")=0,"",SUMIFS(tblDaily[Discharges],tblDaily[EntryDate],DATE(2026,9,4),tblDaily[WardCode],"MAE")),"")</f>
        <v/>
      </c>
      <c r="D331" s="13" t="str">
        <f>IFERROR(IF(SUMIFS(tblDaily[Deaths],tblDaily[EntryDate],DATE(2026,9,4),tblDaily[WardCode],"MAE")=0,"",SUMIFS(tblDaily[Deaths],tblDaily[EntryDate],DATE(2026,9,4),tblDaily[WardCode],"MAE")),"")</f>
        <v/>
      </c>
      <c r="E331" s="13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3" t="str">
        <f>IFERROR(IF(SUMIFS(tblDaily[TransfersIn],tblDaily[EntryDate],DATE(2026,9,4),tblDaily[WardCode],"MAE")=0,"",SUMIFS(tblDaily[TransfersIn],tblDaily[EntryDate],DATE(2026,9,4),tblDaily[WardCode],"MAE")),"")</f>
        <v/>
      </c>
      <c r="G331" s="13" t="str">
        <f>IFERROR(IF(SUMIFS(tblDaily[TransfersOut],tblDaily[EntryDate],DATE(2026,9,4),tblDaily[WardCode],"MAE")=0,"",SUMIFS(tblDaily[TransfersOut],tblDaily[EntryDate],DATE(2026,9,4),tblDaily[WardCode],"MAE")),"")</f>
        <v/>
      </c>
      <c r="H331" s="13" t="str">
        <f>IFERROR(IF(SUMIFS(tblDaily[Remaining],tblDaily[EntryDate],DATE(2026,9,4),tblDaily[WardCode],"MAE")=0,"",SUMIFS(tblDaily[Remaining],tblDaily[EntryDate],DATE(2026,9,4),tblDaily[WardCode],"MAE")),"")</f>
        <v/>
      </c>
      <c r="I331" s="13" t="str">
        <f>IFERROR(IF(SUMIFS(tblDaily[Admissions],tblDaily[EntryDate],DATE(2026,9,4),tblDaily[WardCode],"FAE")=0,"",SUMIFS(tblDaily[Admissions],tblDaily[EntryDate],DATE(2026,9,4),tblDaily[WardCode],"FAE")),"")</f>
        <v/>
      </c>
      <c r="J331" s="13" t="str">
        <f>IFERROR(IF(SUMIFS(tblDaily[Discharges],tblDaily[EntryDate],DATE(2026,9,4),tblDaily[WardCode],"FAE")=0,"",SUMIFS(tblDaily[Discharges],tblDaily[EntryDate],DATE(2026,9,4),tblDaily[WardCode],"FAE")),"")</f>
        <v/>
      </c>
      <c r="K331" s="13" t="str">
        <f>IFERROR(IF(SUMIFS(tblDaily[Deaths],tblDaily[EntryDate],DATE(2026,9,4),tblDaily[WardCode],"FAE")=0,"",SUMIFS(tblDaily[Deaths],tblDaily[EntryDate],DATE(2026,9,4),tblDaily[WardCode],"FAE")),"")</f>
        <v/>
      </c>
      <c r="L331" s="13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3" t="str">
        <f>IFERROR(IF(SUMIFS(tblDaily[TransfersIn],tblDaily[EntryDate],DATE(2026,9,4),tblDaily[WardCode],"FAE")=0,"",SUMIFS(tblDaily[TransfersIn],tblDaily[EntryDate],DATE(2026,9,4),tblDaily[WardCode],"FAE")),"")</f>
        <v/>
      </c>
      <c r="N331" s="13" t="str">
        <f>IFERROR(IF(SUMIFS(tblDaily[TransfersOut],tblDaily[EntryDate],DATE(2026,9,4),tblDaily[WardCode],"FAE")=0,"",SUMIFS(tblDaily[TransfersOut],tblDaily[EntryDate],DATE(2026,9,4),tblDaily[WardCode],"FAE")),"")</f>
        <v/>
      </c>
      <c r="O331" s="13" t="str">
        <f>IFERROR(IF(SUMIFS(tblDaily[Remaining],tblDaily[EntryDate],DATE(2026,9,4),tblDaily[WardCode],"FAE")=0,"",SUMIFS(tblDaily[Remaining],tblDaily[EntryDate],DATE(2026,9,4),tblDaily[WardCode],"FAE")),"")</f>
        <v/>
      </c>
    </row>
    <row r="332" spans="1:15" x14ac:dyDescent="0.25">
      <c r="A332" s="13">
        <v>5</v>
      </c>
      <c r="B332" s="13" t="str">
        <f>IFERROR(IF(SUMIFS(tblDaily[Admissions],tblDaily[EntryDate],DATE(2026,9,5),tblDaily[WardCode],"MAE")=0,"",SUMIFS(tblDaily[Admissions],tblDaily[EntryDate],DATE(2026,9,5),tblDaily[WardCode],"MAE")),"")</f>
        <v/>
      </c>
      <c r="C332" s="13" t="str">
        <f>IFERROR(IF(SUMIFS(tblDaily[Discharges],tblDaily[EntryDate],DATE(2026,9,5),tblDaily[WardCode],"MAE")=0,"",SUMIFS(tblDaily[Discharges],tblDaily[EntryDate],DATE(2026,9,5),tblDaily[WardCode],"MAE")),"")</f>
        <v/>
      </c>
      <c r="D332" s="13" t="str">
        <f>IFERROR(IF(SUMIFS(tblDaily[Deaths],tblDaily[EntryDate],DATE(2026,9,5),tblDaily[WardCode],"MAE")=0,"",SUMIFS(tblDaily[Deaths],tblDaily[EntryDate],DATE(2026,9,5),tblDaily[WardCode],"MAE")),"")</f>
        <v/>
      </c>
      <c r="E332" s="13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3" t="str">
        <f>IFERROR(IF(SUMIFS(tblDaily[TransfersIn],tblDaily[EntryDate],DATE(2026,9,5),tblDaily[WardCode],"MAE")=0,"",SUMIFS(tblDaily[TransfersIn],tblDaily[EntryDate],DATE(2026,9,5),tblDaily[WardCode],"MAE")),"")</f>
        <v/>
      </c>
      <c r="G332" s="13" t="str">
        <f>IFERROR(IF(SUMIFS(tblDaily[TransfersOut],tblDaily[EntryDate],DATE(2026,9,5),tblDaily[WardCode],"MAE")=0,"",SUMIFS(tblDaily[TransfersOut],tblDaily[EntryDate],DATE(2026,9,5),tblDaily[WardCode],"MAE")),"")</f>
        <v/>
      </c>
      <c r="H332" s="13" t="str">
        <f>IFERROR(IF(SUMIFS(tblDaily[Remaining],tblDaily[EntryDate],DATE(2026,9,5),tblDaily[WardCode],"MAE")=0,"",SUMIFS(tblDaily[Remaining],tblDaily[EntryDate],DATE(2026,9,5),tblDaily[WardCode],"MAE")),"")</f>
        <v/>
      </c>
      <c r="I332" s="13" t="str">
        <f>IFERROR(IF(SUMIFS(tblDaily[Admissions],tblDaily[EntryDate],DATE(2026,9,5),tblDaily[WardCode],"FAE")=0,"",SUMIFS(tblDaily[Admissions],tblDaily[EntryDate],DATE(2026,9,5),tblDaily[WardCode],"FAE")),"")</f>
        <v/>
      </c>
      <c r="J332" s="13" t="str">
        <f>IFERROR(IF(SUMIFS(tblDaily[Discharges],tblDaily[EntryDate],DATE(2026,9,5),tblDaily[WardCode],"FAE")=0,"",SUMIFS(tblDaily[Discharges],tblDaily[EntryDate],DATE(2026,9,5),tblDaily[WardCode],"FAE")),"")</f>
        <v/>
      </c>
      <c r="K332" s="13" t="str">
        <f>IFERROR(IF(SUMIFS(tblDaily[Deaths],tblDaily[EntryDate],DATE(2026,9,5),tblDaily[WardCode],"FAE")=0,"",SUMIFS(tblDaily[Deaths],tblDaily[EntryDate],DATE(2026,9,5),tblDaily[WardCode],"FAE")),"")</f>
        <v/>
      </c>
      <c r="L332" s="13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3" t="str">
        <f>IFERROR(IF(SUMIFS(tblDaily[TransfersIn],tblDaily[EntryDate],DATE(2026,9,5),tblDaily[WardCode],"FAE")=0,"",SUMIFS(tblDaily[TransfersIn],tblDaily[EntryDate],DATE(2026,9,5),tblDaily[WardCode],"FAE")),"")</f>
        <v/>
      </c>
      <c r="N332" s="13" t="str">
        <f>IFERROR(IF(SUMIFS(tblDaily[TransfersOut],tblDaily[EntryDate],DATE(2026,9,5),tblDaily[WardCode],"FAE")=0,"",SUMIFS(tblDaily[TransfersOut],tblDaily[EntryDate],DATE(2026,9,5),tblDaily[WardCode],"FAE")),"")</f>
        <v/>
      </c>
      <c r="O332" s="13" t="str">
        <f>IFERROR(IF(SUMIFS(tblDaily[Remaining],tblDaily[EntryDate],DATE(2026,9,5),tblDaily[WardCode],"FAE")=0,"",SUMIFS(tblDaily[Remaining],tblDaily[EntryDate],DATE(2026,9,5),tblDaily[WardCode],"FAE")),"")</f>
        <v/>
      </c>
    </row>
    <row r="333" spans="1:15" x14ac:dyDescent="0.25">
      <c r="A333" s="13">
        <v>6</v>
      </c>
      <c r="B333" s="13" t="str">
        <f>IFERROR(IF(SUMIFS(tblDaily[Admissions],tblDaily[EntryDate],DATE(2026,9,6),tblDaily[WardCode],"MAE")=0,"",SUMIFS(tblDaily[Admissions],tblDaily[EntryDate],DATE(2026,9,6),tblDaily[WardCode],"MAE")),"")</f>
        <v/>
      </c>
      <c r="C333" s="13" t="str">
        <f>IFERROR(IF(SUMIFS(tblDaily[Discharges],tblDaily[EntryDate],DATE(2026,9,6),tblDaily[WardCode],"MAE")=0,"",SUMIFS(tblDaily[Discharges],tblDaily[EntryDate],DATE(2026,9,6),tblDaily[WardCode],"MAE")),"")</f>
        <v/>
      </c>
      <c r="D333" s="13" t="str">
        <f>IFERROR(IF(SUMIFS(tblDaily[Deaths],tblDaily[EntryDate],DATE(2026,9,6),tblDaily[WardCode],"MAE")=0,"",SUMIFS(tblDaily[Deaths],tblDaily[EntryDate],DATE(2026,9,6),tblDaily[WardCode],"MAE")),"")</f>
        <v/>
      </c>
      <c r="E333" s="13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3" t="str">
        <f>IFERROR(IF(SUMIFS(tblDaily[TransfersIn],tblDaily[EntryDate],DATE(2026,9,6),tblDaily[WardCode],"MAE")=0,"",SUMIFS(tblDaily[TransfersIn],tblDaily[EntryDate],DATE(2026,9,6),tblDaily[WardCode],"MAE")),"")</f>
        <v/>
      </c>
      <c r="G333" s="13" t="str">
        <f>IFERROR(IF(SUMIFS(tblDaily[TransfersOut],tblDaily[EntryDate],DATE(2026,9,6),tblDaily[WardCode],"MAE")=0,"",SUMIFS(tblDaily[TransfersOut],tblDaily[EntryDate],DATE(2026,9,6),tblDaily[WardCode],"MAE")),"")</f>
        <v/>
      </c>
      <c r="H333" s="13" t="str">
        <f>IFERROR(IF(SUMIFS(tblDaily[Remaining],tblDaily[EntryDate],DATE(2026,9,6),tblDaily[WardCode],"MAE")=0,"",SUMIFS(tblDaily[Remaining],tblDaily[EntryDate],DATE(2026,9,6),tblDaily[WardCode],"MAE")),"")</f>
        <v/>
      </c>
      <c r="I333" s="13" t="str">
        <f>IFERROR(IF(SUMIFS(tblDaily[Admissions],tblDaily[EntryDate],DATE(2026,9,6),tblDaily[WardCode],"FAE")=0,"",SUMIFS(tblDaily[Admissions],tblDaily[EntryDate],DATE(2026,9,6),tblDaily[WardCode],"FAE")),"")</f>
        <v/>
      </c>
      <c r="J333" s="13" t="str">
        <f>IFERROR(IF(SUMIFS(tblDaily[Discharges],tblDaily[EntryDate],DATE(2026,9,6),tblDaily[WardCode],"FAE")=0,"",SUMIFS(tblDaily[Discharges],tblDaily[EntryDate],DATE(2026,9,6),tblDaily[WardCode],"FAE")),"")</f>
        <v/>
      </c>
      <c r="K333" s="13" t="str">
        <f>IFERROR(IF(SUMIFS(tblDaily[Deaths],tblDaily[EntryDate],DATE(2026,9,6),tblDaily[WardCode],"FAE")=0,"",SUMIFS(tblDaily[Deaths],tblDaily[EntryDate],DATE(2026,9,6),tblDaily[WardCode],"FAE")),"")</f>
        <v/>
      </c>
      <c r="L333" s="13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3" t="str">
        <f>IFERROR(IF(SUMIFS(tblDaily[TransfersIn],tblDaily[EntryDate],DATE(2026,9,6),tblDaily[WardCode],"FAE")=0,"",SUMIFS(tblDaily[TransfersIn],tblDaily[EntryDate],DATE(2026,9,6),tblDaily[WardCode],"FAE")),"")</f>
        <v/>
      </c>
      <c r="N333" s="13" t="str">
        <f>IFERROR(IF(SUMIFS(tblDaily[TransfersOut],tblDaily[EntryDate],DATE(2026,9,6),tblDaily[WardCode],"FAE")=0,"",SUMIFS(tblDaily[TransfersOut],tblDaily[EntryDate],DATE(2026,9,6),tblDaily[WardCode],"FAE")),"")</f>
        <v/>
      </c>
      <c r="O333" s="13" t="str">
        <f>IFERROR(IF(SUMIFS(tblDaily[Remaining],tblDaily[EntryDate],DATE(2026,9,6),tblDaily[WardCode],"FAE")=0,"",SUMIFS(tblDaily[Remaining],tblDaily[EntryDate],DATE(2026,9,6),tblDaily[WardCode],"FAE")),"")</f>
        <v/>
      </c>
    </row>
    <row r="334" spans="1:15" x14ac:dyDescent="0.25">
      <c r="A334" s="13">
        <v>7</v>
      </c>
      <c r="B334" s="13" t="str">
        <f>IFERROR(IF(SUMIFS(tblDaily[Admissions],tblDaily[EntryDate],DATE(2026,9,7),tblDaily[WardCode],"MAE")=0,"",SUMIFS(tblDaily[Admissions],tblDaily[EntryDate],DATE(2026,9,7),tblDaily[WardCode],"MAE")),"")</f>
        <v/>
      </c>
      <c r="C334" s="13" t="str">
        <f>IFERROR(IF(SUMIFS(tblDaily[Discharges],tblDaily[EntryDate],DATE(2026,9,7),tblDaily[WardCode],"MAE")=0,"",SUMIFS(tblDaily[Discharges],tblDaily[EntryDate],DATE(2026,9,7),tblDaily[WardCode],"MAE")),"")</f>
        <v/>
      </c>
      <c r="D334" s="13" t="str">
        <f>IFERROR(IF(SUMIFS(tblDaily[Deaths],tblDaily[EntryDate],DATE(2026,9,7),tblDaily[WardCode],"MAE")=0,"",SUMIFS(tblDaily[Deaths],tblDaily[EntryDate],DATE(2026,9,7),tblDaily[WardCode],"MAE")),"")</f>
        <v/>
      </c>
      <c r="E334" s="13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3" t="str">
        <f>IFERROR(IF(SUMIFS(tblDaily[TransfersIn],tblDaily[EntryDate],DATE(2026,9,7),tblDaily[WardCode],"MAE")=0,"",SUMIFS(tblDaily[TransfersIn],tblDaily[EntryDate],DATE(2026,9,7),tblDaily[WardCode],"MAE")),"")</f>
        <v/>
      </c>
      <c r="G334" s="13" t="str">
        <f>IFERROR(IF(SUMIFS(tblDaily[TransfersOut],tblDaily[EntryDate],DATE(2026,9,7),tblDaily[WardCode],"MAE")=0,"",SUMIFS(tblDaily[TransfersOut],tblDaily[EntryDate],DATE(2026,9,7),tblDaily[WardCode],"MAE")),"")</f>
        <v/>
      </c>
      <c r="H334" s="13" t="str">
        <f>IFERROR(IF(SUMIFS(tblDaily[Remaining],tblDaily[EntryDate],DATE(2026,9,7),tblDaily[WardCode],"MAE")=0,"",SUMIFS(tblDaily[Remaining],tblDaily[EntryDate],DATE(2026,9,7),tblDaily[WardCode],"MAE")),"")</f>
        <v/>
      </c>
      <c r="I334" s="13" t="str">
        <f>IFERROR(IF(SUMIFS(tblDaily[Admissions],tblDaily[EntryDate],DATE(2026,9,7),tblDaily[WardCode],"FAE")=0,"",SUMIFS(tblDaily[Admissions],tblDaily[EntryDate],DATE(2026,9,7),tblDaily[WardCode],"FAE")),"")</f>
        <v/>
      </c>
      <c r="J334" s="13" t="str">
        <f>IFERROR(IF(SUMIFS(tblDaily[Discharges],tblDaily[EntryDate],DATE(2026,9,7),tblDaily[WardCode],"FAE")=0,"",SUMIFS(tblDaily[Discharges],tblDaily[EntryDate],DATE(2026,9,7),tblDaily[WardCode],"FAE")),"")</f>
        <v/>
      </c>
      <c r="K334" s="13" t="str">
        <f>IFERROR(IF(SUMIFS(tblDaily[Deaths],tblDaily[EntryDate],DATE(2026,9,7),tblDaily[WardCode],"FAE")=0,"",SUMIFS(tblDaily[Deaths],tblDaily[EntryDate],DATE(2026,9,7),tblDaily[WardCode],"FAE")),"")</f>
        <v/>
      </c>
      <c r="L334" s="13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3" t="str">
        <f>IFERROR(IF(SUMIFS(tblDaily[TransfersIn],tblDaily[EntryDate],DATE(2026,9,7),tblDaily[WardCode],"FAE")=0,"",SUMIFS(tblDaily[TransfersIn],tblDaily[EntryDate],DATE(2026,9,7),tblDaily[WardCode],"FAE")),"")</f>
        <v/>
      </c>
      <c r="N334" s="13" t="str">
        <f>IFERROR(IF(SUMIFS(tblDaily[TransfersOut],tblDaily[EntryDate],DATE(2026,9,7),tblDaily[WardCode],"FAE")=0,"",SUMIFS(tblDaily[TransfersOut],tblDaily[EntryDate],DATE(2026,9,7),tblDaily[WardCode],"FAE")),"")</f>
        <v/>
      </c>
      <c r="O334" s="13" t="str">
        <f>IFERROR(IF(SUMIFS(tblDaily[Remaining],tblDaily[EntryDate],DATE(2026,9,7),tblDaily[WardCode],"FAE")=0,"",SUMIFS(tblDaily[Remaining],tblDaily[EntryDate],DATE(2026,9,7),tblDaily[WardCode],"FAE")),"")</f>
        <v/>
      </c>
    </row>
    <row r="335" spans="1:15" x14ac:dyDescent="0.25">
      <c r="A335" s="13">
        <v>8</v>
      </c>
      <c r="B335" s="13" t="str">
        <f>IFERROR(IF(SUMIFS(tblDaily[Admissions],tblDaily[EntryDate],DATE(2026,9,8),tblDaily[WardCode],"MAE")=0,"",SUMIFS(tblDaily[Admissions],tblDaily[EntryDate],DATE(2026,9,8),tblDaily[WardCode],"MAE")),"")</f>
        <v/>
      </c>
      <c r="C335" s="13" t="str">
        <f>IFERROR(IF(SUMIFS(tblDaily[Discharges],tblDaily[EntryDate],DATE(2026,9,8),tblDaily[WardCode],"MAE")=0,"",SUMIFS(tblDaily[Discharges],tblDaily[EntryDate],DATE(2026,9,8),tblDaily[WardCode],"MAE")),"")</f>
        <v/>
      </c>
      <c r="D335" s="13" t="str">
        <f>IFERROR(IF(SUMIFS(tblDaily[Deaths],tblDaily[EntryDate],DATE(2026,9,8),tblDaily[WardCode],"MAE")=0,"",SUMIFS(tblDaily[Deaths],tblDaily[EntryDate],DATE(2026,9,8),tblDaily[WardCode],"MAE")),"")</f>
        <v/>
      </c>
      <c r="E335" s="13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3" t="str">
        <f>IFERROR(IF(SUMIFS(tblDaily[TransfersIn],tblDaily[EntryDate],DATE(2026,9,8),tblDaily[WardCode],"MAE")=0,"",SUMIFS(tblDaily[TransfersIn],tblDaily[EntryDate],DATE(2026,9,8),tblDaily[WardCode],"MAE")),"")</f>
        <v/>
      </c>
      <c r="G335" s="13" t="str">
        <f>IFERROR(IF(SUMIFS(tblDaily[TransfersOut],tblDaily[EntryDate],DATE(2026,9,8),tblDaily[WardCode],"MAE")=0,"",SUMIFS(tblDaily[TransfersOut],tblDaily[EntryDate],DATE(2026,9,8),tblDaily[WardCode],"MAE")),"")</f>
        <v/>
      </c>
      <c r="H335" s="13" t="str">
        <f>IFERROR(IF(SUMIFS(tblDaily[Remaining],tblDaily[EntryDate],DATE(2026,9,8),tblDaily[WardCode],"MAE")=0,"",SUMIFS(tblDaily[Remaining],tblDaily[EntryDate],DATE(2026,9,8),tblDaily[WardCode],"MAE")),"")</f>
        <v/>
      </c>
      <c r="I335" s="13" t="str">
        <f>IFERROR(IF(SUMIFS(tblDaily[Admissions],tblDaily[EntryDate],DATE(2026,9,8),tblDaily[WardCode],"FAE")=0,"",SUMIFS(tblDaily[Admissions],tblDaily[EntryDate],DATE(2026,9,8),tblDaily[WardCode],"FAE")),"")</f>
        <v/>
      </c>
      <c r="J335" s="13" t="str">
        <f>IFERROR(IF(SUMIFS(tblDaily[Discharges],tblDaily[EntryDate],DATE(2026,9,8),tblDaily[WardCode],"FAE")=0,"",SUMIFS(tblDaily[Discharges],tblDaily[EntryDate],DATE(2026,9,8),tblDaily[WardCode],"FAE")),"")</f>
        <v/>
      </c>
      <c r="K335" s="13" t="str">
        <f>IFERROR(IF(SUMIFS(tblDaily[Deaths],tblDaily[EntryDate],DATE(2026,9,8),tblDaily[WardCode],"FAE")=0,"",SUMIFS(tblDaily[Deaths],tblDaily[EntryDate],DATE(2026,9,8),tblDaily[WardCode],"FAE")),"")</f>
        <v/>
      </c>
      <c r="L335" s="13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3" t="str">
        <f>IFERROR(IF(SUMIFS(tblDaily[TransfersIn],tblDaily[EntryDate],DATE(2026,9,8),tblDaily[WardCode],"FAE")=0,"",SUMIFS(tblDaily[TransfersIn],tblDaily[EntryDate],DATE(2026,9,8),tblDaily[WardCode],"FAE")),"")</f>
        <v/>
      </c>
      <c r="N335" s="13" t="str">
        <f>IFERROR(IF(SUMIFS(tblDaily[TransfersOut],tblDaily[EntryDate],DATE(2026,9,8),tblDaily[WardCode],"FAE")=0,"",SUMIFS(tblDaily[TransfersOut],tblDaily[EntryDate],DATE(2026,9,8),tblDaily[WardCode],"FAE")),"")</f>
        <v/>
      </c>
      <c r="O335" s="13" t="str">
        <f>IFERROR(IF(SUMIFS(tblDaily[Remaining],tblDaily[EntryDate],DATE(2026,9,8),tblDaily[WardCode],"FAE")=0,"",SUMIFS(tblDaily[Remaining],tblDaily[EntryDate],DATE(2026,9,8),tblDaily[WardCode],"FAE")),"")</f>
        <v/>
      </c>
    </row>
    <row r="336" spans="1:15" x14ac:dyDescent="0.25">
      <c r="A336" s="13">
        <v>9</v>
      </c>
      <c r="B336" s="13" t="str">
        <f>IFERROR(IF(SUMIFS(tblDaily[Admissions],tblDaily[EntryDate],DATE(2026,9,9),tblDaily[WardCode],"MAE")=0,"",SUMIFS(tblDaily[Admissions],tblDaily[EntryDate],DATE(2026,9,9),tblDaily[WardCode],"MAE")),"")</f>
        <v/>
      </c>
      <c r="C336" s="13" t="str">
        <f>IFERROR(IF(SUMIFS(tblDaily[Discharges],tblDaily[EntryDate],DATE(2026,9,9),tblDaily[WardCode],"MAE")=0,"",SUMIFS(tblDaily[Discharges],tblDaily[EntryDate],DATE(2026,9,9),tblDaily[WardCode],"MAE")),"")</f>
        <v/>
      </c>
      <c r="D336" s="13" t="str">
        <f>IFERROR(IF(SUMIFS(tblDaily[Deaths],tblDaily[EntryDate],DATE(2026,9,9),tblDaily[WardCode],"MAE")=0,"",SUMIFS(tblDaily[Deaths],tblDaily[EntryDate],DATE(2026,9,9),tblDaily[WardCode],"MAE")),"")</f>
        <v/>
      </c>
      <c r="E336" s="13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3" t="str">
        <f>IFERROR(IF(SUMIFS(tblDaily[TransfersIn],tblDaily[EntryDate],DATE(2026,9,9),tblDaily[WardCode],"MAE")=0,"",SUMIFS(tblDaily[TransfersIn],tblDaily[EntryDate],DATE(2026,9,9),tblDaily[WardCode],"MAE")),"")</f>
        <v/>
      </c>
      <c r="G336" s="13" t="str">
        <f>IFERROR(IF(SUMIFS(tblDaily[TransfersOut],tblDaily[EntryDate],DATE(2026,9,9),tblDaily[WardCode],"MAE")=0,"",SUMIFS(tblDaily[TransfersOut],tblDaily[EntryDate],DATE(2026,9,9),tblDaily[WardCode],"MAE")),"")</f>
        <v/>
      </c>
      <c r="H336" s="13" t="str">
        <f>IFERROR(IF(SUMIFS(tblDaily[Remaining],tblDaily[EntryDate],DATE(2026,9,9),tblDaily[WardCode],"MAE")=0,"",SUMIFS(tblDaily[Remaining],tblDaily[EntryDate],DATE(2026,9,9),tblDaily[WardCode],"MAE")),"")</f>
        <v/>
      </c>
      <c r="I336" s="13" t="str">
        <f>IFERROR(IF(SUMIFS(tblDaily[Admissions],tblDaily[EntryDate],DATE(2026,9,9),tblDaily[WardCode],"FAE")=0,"",SUMIFS(tblDaily[Admissions],tblDaily[EntryDate],DATE(2026,9,9),tblDaily[WardCode],"FAE")),"")</f>
        <v/>
      </c>
      <c r="J336" s="13" t="str">
        <f>IFERROR(IF(SUMIFS(tblDaily[Discharges],tblDaily[EntryDate],DATE(2026,9,9),tblDaily[WardCode],"FAE")=0,"",SUMIFS(tblDaily[Discharges],tblDaily[EntryDate],DATE(2026,9,9),tblDaily[WardCode],"FAE")),"")</f>
        <v/>
      </c>
      <c r="K336" s="13" t="str">
        <f>IFERROR(IF(SUMIFS(tblDaily[Deaths],tblDaily[EntryDate],DATE(2026,9,9),tblDaily[WardCode],"FAE")=0,"",SUMIFS(tblDaily[Deaths],tblDaily[EntryDate],DATE(2026,9,9),tblDaily[WardCode],"FAE")),"")</f>
        <v/>
      </c>
      <c r="L336" s="13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3" t="str">
        <f>IFERROR(IF(SUMIFS(tblDaily[TransfersIn],tblDaily[EntryDate],DATE(2026,9,9),tblDaily[WardCode],"FAE")=0,"",SUMIFS(tblDaily[TransfersIn],tblDaily[EntryDate],DATE(2026,9,9),tblDaily[WardCode],"FAE")),"")</f>
        <v/>
      </c>
      <c r="N336" s="13" t="str">
        <f>IFERROR(IF(SUMIFS(tblDaily[TransfersOut],tblDaily[EntryDate],DATE(2026,9,9),tblDaily[WardCode],"FAE")=0,"",SUMIFS(tblDaily[TransfersOut],tblDaily[EntryDate],DATE(2026,9,9),tblDaily[WardCode],"FAE")),"")</f>
        <v/>
      </c>
      <c r="O336" s="13" t="str">
        <f>IFERROR(IF(SUMIFS(tblDaily[Remaining],tblDaily[EntryDate],DATE(2026,9,9),tblDaily[WardCode],"FAE")=0,"",SUMIFS(tblDaily[Remaining],tblDaily[EntryDate],DATE(2026,9,9),tblDaily[WardCode],"FAE")),"")</f>
        <v/>
      </c>
    </row>
    <row r="337" spans="1:15" x14ac:dyDescent="0.25">
      <c r="A337" s="13">
        <v>10</v>
      </c>
      <c r="B337" s="13" t="str">
        <f>IFERROR(IF(SUMIFS(tblDaily[Admissions],tblDaily[EntryDate],DATE(2026,9,10),tblDaily[WardCode],"MAE")=0,"",SUMIFS(tblDaily[Admissions],tblDaily[EntryDate],DATE(2026,9,10),tblDaily[WardCode],"MAE")),"")</f>
        <v/>
      </c>
      <c r="C337" s="13" t="str">
        <f>IFERROR(IF(SUMIFS(tblDaily[Discharges],tblDaily[EntryDate],DATE(2026,9,10),tblDaily[WardCode],"MAE")=0,"",SUMIFS(tblDaily[Discharges],tblDaily[EntryDate],DATE(2026,9,10),tblDaily[WardCode],"MAE")),"")</f>
        <v/>
      </c>
      <c r="D337" s="13" t="str">
        <f>IFERROR(IF(SUMIFS(tblDaily[Deaths],tblDaily[EntryDate],DATE(2026,9,10),tblDaily[WardCode],"MAE")=0,"",SUMIFS(tblDaily[Deaths],tblDaily[EntryDate],DATE(2026,9,10),tblDaily[WardCode],"MAE")),"")</f>
        <v/>
      </c>
      <c r="E337" s="13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3" t="str">
        <f>IFERROR(IF(SUMIFS(tblDaily[TransfersIn],tblDaily[EntryDate],DATE(2026,9,10),tblDaily[WardCode],"MAE")=0,"",SUMIFS(tblDaily[TransfersIn],tblDaily[EntryDate],DATE(2026,9,10),tblDaily[WardCode],"MAE")),"")</f>
        <v/>
      </c>
      <c r="G337" s="13" t="str">
        <f>IFERROR(IF(SUMIFS(tblDaily[TransfersOut],tblDaily[EntryDate],DATE(2026,9,10),tblDaily[WardCode],"MAE")=0,"",SUMIFS(tblDaily[TransfersOut],tblDaily[EntryDate],DATE(2026,9,10),tblDaily[WardCode],"MAE")),"")</f>
        <v/>
      </c>
      <c r="H337" s="13" t="str">
        <f>IFERROR(IF(SUMIFS(tblDaily[Remaining],tblDaily[EntryDate],DATE(2026,9,10),tblDaily[WardCode],"MAE")=0,"",SUMIFS(tblDaily[Remaining],tblDaily[EntryDate],DATE(2026,9,10),tblDaily[WardCode],"MAE")),"")</f>
        <v/>
      </c>
      <c r="I337" s="13" t="str">
        <f>IFERROR(IF(SUMIFS(tblDaily[Admissions],tblDaily[EntryDate],DATE(2026,9,10),tblDaily[WardCode],"FAE")=0,"",SUMIFS(tblDaily[Admissions],tblDaily[EntryDate],DATE(2026,9,10),tblDaily[WardCode],"FAE")),"")</f>
        <v/>
      </c>
      <c r="J337" s="13" t="str">
        <f>IFERROR(IF(SUMIFS(tblDaily[Discharges],tblDaily[EntryDate],DATE(2026,9,10),tblDaily[WardCode],"FAE")=0,"",SUMIFS(tblDaily[Discharges],tblDaily[EntryDate],DATE(2026,9,10),tblDaily[WardCode],"FAE")),"")</f>
        <v/>
      </c>
      <c r="K337" s="13" t="str">
        <f>IFERROR(IF(SUMIFS(tblDaily[Deaths],tblDaily[EntryDate],DATE(2026,9,10),tblDaily[WardCode],"FAE")=0,"",SUMIFS(tblDaily[Deaths],tblDaily[EntryDate],DATE(2026,9,10),tblDaily[WardCode],"FAE")),"")</f>
        <v/>
      </c>
      <c r="L337" s="13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3" t="str">
        <f>IFERROR(IF(SUMIFS(tblDaily[TransfersIn],tblDaily[EntryDate],DATE(2026,9,10),tblDaily[WardCode],"FAE")=0,"",SUMIFS(tblDaily[TransfersIn],tblDaily[EntryDate],DATE(2026,9,10),tblDaily[WardCode],"FAE")),"")</f>
        <v/>
      </c>
      <c r="N337" s="13" t="str">
        <f>IFERROR(IF(SUMIFS(tblDaily[TransfersOut],tblDaily[EntryDate],DATE(2026,9,10),tblDaily[WardCode],"FAE")=0,"",SUMIFS(tblDaily[TransfersOut],tblDaily[EntryDate],DATE(2026,9,10),tblDaily[WardCode],"FAE")),"")</f>
        <v/>
      </c>
      <c r="O337" s="13" t="str">
        <f>IFERROR(IF(SUMIFS(tblDaily[Remaining],tblDaily[EntryDate],DATE(2026,9,10),tblDaily[WardCode],"FAE")=0,"",SUMIFS(tblDaily[Remaining],tblDaily[EntryDate],DATE(2026,9,10),tblDaily[WardCode],"FAE")),"")</f>
        <v/>
      </c>
    </row>
    <row r="338" spans="1:15" x14ac:dyDescent="0.25">
      <c r="A338" s="13">
        <v>11</v>
      </c>
      <c r="B338" s="13" t="str">
        <f>IFERROR(IF(SUMIFS(tblDaily[Admissions],tblDaily[EntryDate],DATE(2026,9,11),tblDaily[WardCode],"MAE")=0,"",SUMIFS(tblDaily[Admissions],tblDaily[EntryDate],DATE(2026,9,11),tblDaily[WardCode],"MAE")),"")</f>
        <v/>
      </c>
      <c r="C338" s="13" t="str">
        <f>IFERROR(IF(SUMIFS(tblDaily[Discharges],tblDaily[EntryDate],DATE(2026,9,11),tblDaily[WardCode],"MAE")=0,"",SUMIFS(tblDaily[Discharges],tblDaily[EntryDate],DATE(2026,9,11),tblDaily[WardCode],"MAE")),"")</f>
        <v/>
      </c>
      <c r="D338" s="13" t="str">
        <f>IFERROR(IF(SUMIFS(tblDaily[Deaths],tblDaily[EntryDate],DATE(2026,9,11),tblDaily[WardCode],"MAE")=0,"",SUMIFS(tblDaily[Deaths],tblDaily[EntryDate],DATE(2026,9,11),tblDaily[WardCode],"MAE")),"")</f>
        <v/>
      </c>
      <c r="E338" s="13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3" t="str">
        <f>IFERROR(IF(SUMIFS(tblDaily[TransfersIn],tblDaily[EntryDate],DATE(2026,9,11),tblDaily[WardCode],"MAE")=0,"",SUMIFS(tblDaily[TransfersIn],tblDaily[EntryDate],DATE(2026,9,11),tblDaily[WardCode],"MAE")),"")</f>
        <v/>
      </c>
      <c r="G338" s="13" t="str">
        <f>IFERROR(IF(SUMIFS(tblDaily[TransfersOut],tblDaily[EntryDate],DATE(2026,9,11),tblDaily[WardCode],"MAE")=0,"",SUMIFS(tblDaily[TransfersOut],tblDaily[EntryDate],DATE(2026,9,11),tblDaily[WardCode],"MAE")),"")</f>
        <v/>
      </c>
      <c r="H338" s="13" t="str">
        <f>IFERROR(IF(SUMIFS(tblDaily[Remaining],tblDaily[EntryDate],DATE(2026,9,11),tblDaily[WardCode],"MAE")=0,"",SUMIFS(tblDaily[Remaining],tblDaily[EntryDate],DATE(2026,9,11),tblDaily[WardCode],"MAE")),"")</f>
        <v/>
      </c>
      <c r="I338" s="13" t="str">
        <f>IFERROR(IF(SUMIFS(tblDaily[Admissions],tblDaily[EntryDate],DATE(2026,9,11),tblDaily[WardCode],"FAE")=0,"",SUMIFS(tblDaily[Admissions],tblDaily[EntryDate],DATE(2026,9,11),tblDaily[WardCode],"FAE")),"")</f>
        <v/>
      </c>
      <c r="J338" s="13" t="str">
        <f>IFERROR(IF(SUMIFS(tblDaily[Discharges],tblDaily[EntryDate],DATE(2026,9,11),tblDaily[WardCode],"FAE")=0,"",SUMIFS(tblDaily[Discharges],tblDaily[EntryDate],DATE(2026,9,11),tblDaily[WardCode],"FAE")),"")</f>
        <v/>
      </c>
      <c r="K338" s="13" t="str">
        <f>IFERROR(IF(SUMIFS(tblDaily[Deaths],tblDaily[EntryDate],DATE(2026,9,11),tblDaily[WardCode],"FAE")=0,"",SUMIFS(tblDaily[Deaths],tblDaily[EntryDate],DATE(2026,9,11),tblDaily[WardCode],"FAE")),"")</f>
        <v/>
      </c>
      <c r="L338" s="13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3" t="str">
        <f>IFERROR(IF(SUMIFS(tblDaily[TransfersIn],tblDaily[EntryDate],DATE(2026,9,11),tblDaily[WardCode],"FAE")=0,"",SUMIFS(tblDaily[TransfersIn],tblDaily[EntryDate],DATE(2026,9,11),tblDaily[WardCode],"FAE")),"")</f>
        <v/>
      </c>
      <c r="N338" s="13" t="str">
        <f>IFERROR(IF(SUMIFS(tblDaily[TransfersOut],tblDaily[EntryDate],DATE(2026,9,11),tblDaily[WardCode],"FAE")=0,"",SUMIFS(tblDaily[TransfersOut],tblDaily[EntryDate],DATE(2026,9,11),tblDaily[WardCode],"FAE")),"")</f>
        <v/>
      </c>
      <c r="O338" s="13" t="str">
        <f>IFERROR(IF(SUMIFS(tblDaily[Remaining],tblDaily[EntryDate],DATE(2026,9,11),tblDaily[WardCode],"FAE")=0,"",SUMIFS(tblDaily[Remaining],tblDaily[EntryDate],DATE(2026,9,11),tblDaily[WardCode],"FAE")),"")</f>
        <v/>
      </c>
    </row>
    <row r="339" spans="1:15" x14ac:dyDescent="0.25">
      <c r="A339" s="13">
        <v>12</v>
      </c>
      <c r="B339" s="13" t="str">
        <f>IFERROR(IF(SUMIFS(tblDaily[Admissions],tblDaily[EntryDate],DATE(2026,9,12),tblDaily[WardCode],"MAE")=0,"",SUMIFS(tblDaily[Admissions],tblDaily[EntryDate],DATE(2026,9,12),tblDaily[WardCode],"MAE")),"")</f>
        <v/>
      </c>
      <c r="C339" s="13" t="str">
        <f>IFERROR(IF(SUMIFS(tblDaily[Discharges],tblDaily[EntryDate],DATE(2026,9,12),tblDaily[WardCode],"MAE")=0,"",SUMIFS(tblDaily[Discharges],tblDaily[EntryDate],DATE(2026,9,12),tblDaily[WardCode],"MAE")),"")</f>
        <v/>
      </c>
      <c r="D339" s="13" t="str">
        <f>IFERROR(IF(SUMIFS(tblDaily[Deaths],tblDaily[EntryDate],DATE(2026,9,12),tblDaily[WardCode],"MAE")=0,"",SUMIFS(tblDaily[Deaths],tblDaily[EntryDate],DATE(2026,9,12),tblDaily[WardCode],"MAE")),"")</f>
        <v/>
      </c>
      <c r="E339" s="13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3" t="str">
        <f>IFERROR(IF(SUMIFS(tblDaily[TransfersIn],tblDaily[EntryDate],DATE(2026,9,12),tblDaily[WardCode],"MAE")=0,"",SUMIFS(tblDaily[TransfersIn],tblDaily[EntryDate],DATE(2026,9,12),tblDaily[WardCode],"MAE")),"")</f>
        <v/>
      </c>
      <c r="G339" s="13" t="str">
        <f>IFERROR(IF(SUMIFS(tblDaily[TransfersOut],tblDaily[EntryDate],DATE(2026,9,12),tblDaily[WardCode],"MAE")=0,"",SUMIFS(tblDaily[TransfersOut],tblDaily[EntryDate],DATE(2026,9,12),tblDaily[WardCode],"MAE")),"")</f>
        <v/>
      </c>
      <c r="H339" s="13" t="str">
        <f>IFERROR(IF(SUMIFS(tblDaily[Remaining],tblDaily[EntryDate],DATE(2026,9,12),tblDaily[WardCode],"MAE")=0,"",SUMIFS(tblDaily[Remaining],tblDaily[EntryDate],DATE(2026,9,12),tblDaily[WardCode],"MAE")),"")</f>
        <v/>
      </c>
      <c r="I339" s="13" t="str">
        <f>IFERROR(IF(SUMIFS(tblDaily[Admissions],tblDaily[EntryDate],DATE(2026,9,12),tblDaily[WardCode],"FAE")=0,"",SUMIFS(tblDaily[Admissions],tblDaily[EntryDate],DATE(2026,9,12),tblDaily[WardCode],"FAE")),"")</f>
        <v/>
      </c>
      <c r="J339" s="13" t="str">
        <f>IFERROR(IF(SUMIFS(tblDaily[Discharges],tblDaily[EntryDate],DATE(2026,9,12),tblDaily[WardCode],"FAE")=0,"",SUMIFS(tblDaily[Discharges],tblDaily[EntryDate],DATE(2026,9,12),tblDaily[WardCode],"FAE")),"")</f>
        <v/>
      </c>
      <c r="K339" s="13" t="str">
        <f>IFERROR(IF(SUMIFS(tblDaily[Deaths],tblDaily[EntryDate],DATE(2026,9,12),tblDaily[WardCode],"FAE")=0,"",SUMIFS(tblDaily[Deaths],tblDaily[EntryDate],DATE(2026,9,12),tblDaily[WardCode],"FAE")),"")</f>
        <v/>
      </c>
      <c r="L339" s="13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3" t="str">
        <f>IFERROR(IF(SUMIFS(tblDaily[TransfersIn],tblDaily[EntryDate],DATE(2026,9,12),tblDaily[WardCode],"FAE")=0,"",SUMIFS(tblDaily[TransfersIn],tblDaily[EntryDate],DATE(2026,9,12),tblDaily[WardCode],"FAE")),"")</f>
        <v/>
      </c>
      <c r="N339" s="13" t="str">
        <f>IFERROR(IF(SUMIFS(tblDaily[TransfersOut],tblDaily[EntryDate],DATE(2026,9,12),tblDaily[WardCode],"FAE")=0,"",SUMIFS(tblDaily[TransfersOut],tblDaily[EntryDate],DATE(2026,9,12),tblDaily[WardCode],"FAE")),"")</f>
        <v/>
      </c>
      <c r="O339" s="13" t="str">
        <f>IFERROR(IF(SUMIFS(tblDaily[Remaining],tblDaily[EntryDate],DATE(2026,9,12),tblDaily[WardCode],"FAE")=0,"",SUMIFS(tblDaily[Remaining],tblDaily[EntryDate],DATE(2026,9,12),tblDaily[WardCode],"FAE")),"")</f>
        <v/>
      </c>
    </row>
    <row r="340" spans="1:15" x14ac:dyDescent="0.25">
      <c r="A340" s="13">
        <v>13</v>
      </c>
      <c r="B340" s="13" t="str">
        <f>IFERROR(IF(SUMIFS(tblDaily[Admissions],tblDaily[EntryDate],DATE(2026,9,13),tblDaily[WardCode],"MAE")=0,"",SUMIFS(tblDaily[Admissions],tblDaily[EntryDate],DATE(2026,9,13),tblDaily[WardCode],"MAE")),"")</f>
        <v/>
      </c>
      <c r="C340" s="13" t="str">
        <f>IFERROR(IF(SUMIFS(tblDaily[Discharges],tblDaily[EntryDate],DATE(2026,9,13),tblDaily[WardCode],"MAE")=0,"",SUMIFS(tblDaily[Discharges],tblDaily[EntryDate],DATE(2026,9,13),tblDaily[WardCode],"MAE")),"")</f>
        <v/>
      </c>
      <c r="D340" s="13" t="str">
        <f>IFERROR(IF(SUMIFS(tblDaily[Deaths],tblDaily[EntryDate],DATE(2026,9,13),tblDaily[WardCode],"MAE")=0,"",SUMIFS(tblDaily[Deaths],tblDaily[EntryDate],DATE(2026,9,13),tblDaily[WardCode],"MAE")),"")</f>
        <v/>
      </c>
      <c r="E340" s="13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3" t="str">
        <f>IFERROR(IF(SUMIFS(tblDaily[TransfersIn],tblDaily[EntryDate],DATE(2026,9,13),tblDaily[WardCode],"MAE")=0,"",SUMIFS(tblDaily[TransfersIn],tblDaily[EntryDate],DATE(2026,9,13),tblDaily[WardCode],"MAE")),"")</f>
        <v/>
      </c>
      <c r="G340" s="13" t="str">
        <f>IFERROR(IF(SUMIFS(tblDaily[TransfersOut],tblDaily[EntryDate],DATE(2026,9,13),tblDaily[WardCode],"MAE")=0,"",SUMIFS(tblDaily[TransfersOut],tblDaily[EntryDate],DATE(2026,9,13),tblDaily[WardCode],"MAE")),"")</f>
        <v/>
      </c>
      <c r="H340" s="13" t="str">
        <f>IFERROR(IF(SUMIFS(tblDaily[Remaining],tblDaily[EntryDate],DATE(2026,9,13),tblDaily[WardCode],"MAE")=0,"",SUMIFS(tblDaily[Remaining],tblDaily[EntryDate],DATE(2026,9,13),tblDaily[WardCode],"MAE")),"")</f>
        <v/>
      </c>
      <c r="I340" s="13" t="str">
        <f>IFERROR(IF(SUMIFS(tblDaily[Admissions],tblDaily[EntryDate],DATE(2026,9,13),tblDaily[WardCode],"FAE")=0,"",SUMIFS(tblDaily[Admissions],tblDaily[EntryDate],DATE(2026,9,13),tblDaily[WardCode],"FAE")),"")</f>
        <v/>
      </c>
      <c r="J340" s="13" t="str">
        <f>IFERROR(IF(SUMIFS(tblDaily[Discharges],tblDaily[EntryDate],DATE(2026,9,13),tblDaily[WardCode],"FAE")=0,"",SUMIFS(tblDaily[Discharges],tblDaily[EntryDate],DATE(2026,9,13),tblDaily[WardCode],"FAE")),"")</f>
        <v/>
      </c>
      <c r="K340" s="13" t="str">
        <f>IFERROR(IF(SUMIFS(tblDaily[Deaths],tblDaily[EntryDate],DATE(2026,9,13),tblDaily[WardCode],"FAE")=0,"",SUMIFS(tblDaily[Deaths],tblDaily[EntryDate],DATE(2026,9,13),tblDaily[WardCode],"FAE")),"")</f>
        <v/>
      </c>
      <c r="L340" s="13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3" t="str">
        <f>IFERROR(IF(SUMIFS(tblDaily[TransfersIn],tblDaily[EntryDate],DATE(2026,9,13),tblDaily[WardCode],"FAE")=0,"",SUMIFS(tblDaily[TransfersIn],tblDaily[EntryDate],DATE(2026,9,13),tblDaily[WardCode],"FAE")),"")</f>
        <v/>
      </c>
      <c r="N340" s="13" t="str">
        <f>IFERROR(IF(SUMIFS(tblDaily[TransfersOut],tblDaily[EntryDate],DATE(2026,9,13),tblDaily[WardCode],"FAE")=0,"",SUMIFS(tblDaily[TransfersOut],tblDaily[EntryDate],DATE(2026,9,13),tblDaily[WardCode],"FAE")),"")</f>
        <v/>
      </c>
      <c r="O340" s="13" t="str">
        <f>IFERROR(IF(SUMIFS(tblDaily[Remaining],tblDaily[EntryDate],DATE(2026,9,13),tblDaily[WardCode],"FAE")=0,"",SUMIFS(tblDaily[Remaining],tblDaily[EntryDate],DATE(2026,9,13),tblDaily[WardCode],"FAE")),"")</f>
        <v/>
      </c>
    </row>
    <row r="341" spans="1:15" x14ac:dyDescent="0.25">
      <c r="A341" s="13">
        <v>14</v>
      </c>
      <c r="B341" s="13" t="str">
        <f>IFERROR(IF(SUMIFS(tblDaily[Admissions],tblDaily[EntryDate],DATE(2026,9,14),tblDaily[WardCode],"MAE")=0,"",SUMIFS(tblDaily[Admissions],tblDaily[EntryDate],DATE(2026,9,14),tblDaily[WardCode],"MAE")),"")</f>
        <v/>
      </c>
      <c r="C341" s="13" t="str">
        <f>IFERROR(IF(SUMIFS(tblDaily[Discharges],tblDaily[EntryDate],DATE(2026,9,14),tblDaily[WardCode],"MAE")=0,"",SUMIFS(tblDaily[Discharges],tblDaily[EntryDate],DATE(2026,9,14),tblDaily[WardCode],"MAE")),"")</f>
        <v/>
      </c>
      <c r="D341" s="13" t="str">
        <f>IFERROR(IF(SUMIFS(tblDaily[Deaths],tblDaily[EntryDate],DATE(2026,9,14),tblDaily[WardCode],"MAE")=0,"",SUMIFS(tblDaily[Deaths],tblDaily[EntryDate],DATE(2026,9,14),tblDaily[WardCode],"MAE")),"")</f>
        <v/>
      </c>
      <c r="E341" s="13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3" t="str">
        <f>IFERROR(IF(SUMIFS(tblDaily[TransfersIn],tblDaily[EntryDate],DATE(2026,9,14),tblDaily[WardCode],"MAE")=0,"",SUMIFS(tblDaily[TransfersIn],tblDaily[EntryDate],DATE(2026,9,14),tblDaily[WardCode],"MAE")),"")</f>
        <v/>
      </c>
      <c r="G341" s="13" t="str">
        <f>IFERROR(IF(SUMIFS(tblDaily[TransfersOut],tblDaily[EntryDate],DATE(2026,9,14),tblDaily[WardCode],"MAE")=0,"",SUMIFS(tblDaily[TransfersOut],tblDaily[EntryDate],DATE(2026,9,14),tblDaily[WardCode],"MAE")),"")</f>
        <v/>
      </c>
      <c r="H341" s="13" t="str">
        <f>IFERROR(IF(SUMIFS(tblDaily[Remaining],tblDaily[EntryDate],DATE(2026,9,14),tblDaily[WardCode],"MAE")=0,"",SUMIFS(tblDaily[Remaining],tblDaily[EntryDate],DATE(2026,9,14),tblDaily[WardCode],"MAE")),"")</f>
        <v/>
      </c>
      <c r="I341" s="13" t="str">
        <f>IFERROR(IF(SUMIFS(tblDaily[Admissions],tblDaily[EntryDate],DATE(2026,9,14),tblDaily[WardCode],"FAE")=0,"",SUMIFS(tblDaily[Admissions],tblDaily[EntryDate],DATE(2026,9,14),tblDaily[WardCode],"FAE")),"")</f>
        <v/>
      </c>
      <c r="J341" s="13" t="str">
        <f>IFERROR(IF(SUMIFS(tblDaily[Discharges],tblDaily[EntryDate],DATE(2026,9,14),tblDaily[WardCode],"FAE")=0,"",SUMIFS(tblDaily[Discharges],tblDaily[EntryDate],DATE(2026,9,14),tblDaily[WardCode],"FAE")),"")</f>
        <v/>
      </c>
      <c r="K341" s="13" t="str">
        <f>IFERROR(IF(SUMIFS(tblDaily[Deaths],tblDaily[EntryDate],DATE(2026,9,14),tblDaily[WardCode],"FAE")=0,"",SUMIFS(tblDaily[Deaths],tblDaily[EntryDate],DATE(2026,9,14),tblDaily[WardCode],"FAE")),"")</f>
        <v/>
      </c>
      <c r="L341" s="13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3" t="str">
        <f>IFERROR(IF(SUMIFS(tblDaily[TransfersIn],tblDaily[EntryDate],DATE(2026,9,14),tblDaily[WardCode],"FAE")=0,"",SUMIFS(tblDaily[TransfersIn],tblDaily[EntryDate],DATE(2026,9,14),tblDaily[WardCode],"FAE")),"")</f>
        <v/>
      </c>
      <c r="N341" s="13" t="str">
        <f>IFERROR(IF(SUMIFS(tblDaily[TransfersOut],tblDaily[EntryDate],DATE(2026,9,14),tblDaily[WardCode],"FAE")=0,"",SUMIFS(tblDaily[TransfersOut],tblDaily[EntryDate],DATE(2026,9,14),tblDaily[WardCode],"FAE")),"")</f>
        <v/>
      </c>
      <c r="O341" s="13" t="str">
        <f>IFERROR(IF(SUMIFS(tblDaily[Remaining],tblDaily[EntryDate],DATE(2026,9,14),tblDaily[WardCode],"FAE")=0,"",SUMIFS(tblDaily[Remaining],tblDaily[EntryDate],DATE(2026,9,14),tblDaily[WardCode],"FAE")),"")</f>
        <v/>
      </c>
    </row>
    <row r="342" spans="1:15" x14ac:dyDescent="0.25">
      <c r="A342" s="13">
        <v>15</v>
      </c>
      <c r="B342" s="13" t="str">
        <f>IFERROR(IF(SUMIFS(tblDaily[Admissions],tblDaily[EntryDate],DATE(2026,9,15),tblDaily[WardCode],"MAE")=0,"",SUMIFS(tblDaily[Admissions],tblDaily[EntryDate],DATE(2026,9,15),tblDaily[WardCode],"MAE")),"")</f>
        <v/>
      </c>
      <c r="C342" s="13" t="str">
        <f>IFERROR(IF(SUMIFS(tblDaily[Discharges],tblDaily[EntryDate],DATE(2026,9,15),tblDaily[WardCode],"MAE")=0,"",SUMIFS(tblDaily[Discharges],tblDaily[EntryDate],DATE(2026,9,15),tblDaily[WardCode],"MAE")),"")</f>
        <v/>
      </c>
      <c r="D342" s="13" t="str">
        <f>IFERROR(IF(SUMIFS(tblDaily[Deaths],tblDaily[EntryDate],DATE(2026,9,15),tblDaily[WardCode],"MAE")=0,"",SUMIFS(tblDaily[Deaths],tblDaily[EntryDate],DATE(2026,9,15),tblDaily[WardCode],"MAE")),"")</f>
        <v/>
      </c>
      <c r="E342" s="13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3" t="str">
        <f>IFERROR(IF(SUMIFS(tblDaily[TransfersIn],tblDaily[EntryDate],DATE(2026,9,15),tblDaily[WardCode],"MAE")=0,"",SUMIFS(tblDaily[TransfersIn],tblDaily[EntryDate],DATE(2026,9,15),tblDaily[WardCode],"MAE")),"")</f>
        <v/>
      </c>
      <c r="G342" s="13" t="str">
        <f>IFERROR(IF(SUMIFS(tblDaily[TransfersOut],tblDaily[EntryDate],DATE(2026,9,15),tblDaily[WardCode],"MAE")=0,"",SUMIFS(tblDaily[TransfersOut],tblDaily[EntryDate],DATE(2026,9,15),tblDaily[WardCode],"MAE")),"")</f>
        <v/>
      </c>
      <c r="H342" s="13" t="str">
        <f>IFERROR(IF(SUMIFS(tblDaily[Remaining],tblDaily[EntryDate],DATE(2026,9,15),tblDaily[WardCode],"MAE")=0,"",SUMIFS(tblDaily[Remaining],tblDaily[EntryDate],DATE(2026,9,15),tblDaily[WardCode],"MAE")),"")</f>
        <v/>
      </c>
      <c r="I342" s="13" t="str">
        <f>IFERROR(IF(SUMIFS(tblDaily[Admissions],tblDaily[EntryDate],DATE(2026,9,15),tblDaily[WardCode],"FAE")=0,"",SUMIFS(tblDaily[Admissions],tblDaily[EntryDate],DATE(2026,9,15),tblDaily[WardCode],"FAE")),"")</f>
        <v/>
      </c>
      <c r="J342" s="13" t="str">
        <f>IFERROR(IF(SUMIFS(tblDaily[Discharges],tblDaily[EntryDate],DATE(2026,9,15),tblDaily[WardCode],"FAE")=0,"",SUMIFS(tblDaily[Discharges],tblDaily[EntryDate],DATE(2026,9,15),tblDaily[WardCode],"FAE")),"")</f>
        <v/>
      </c>
      <c r="K342" s="13" t="str">
        <f>IFERROR(IF(SUMIFS(tblDaily[Deaths],tblDaily[EntryDate],DATE(2026,9,15),tblDaily[WardCode],"FAE")=0,"",SUMIFS(tblDaily[Deaths],tblDaily[EntryDate],DATE(2026,9,15),tblDaily[WardCode],"FAE")),"")</f>
        <v/>
      </c>
      <c r="L342" s="13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3" t="str">
        <f>IFERROR(IF(SUMIFS(tblDaily[TransfersIn],tblDaily[EntryDate],DATE(2026,9,15),tblDaily[WardCode],"FAE")=0,"",SUMIFS(tblDaily[TransfersIn],tblDaily[EntryDate],DATE(2026,9,15),tblDaily[WardCode],"FAE")),"")</f>
        <v/>
      </c>
      <c r="N342" s="13" t="str">
        <f>IFERROR(IF(SUMIFS(tblDaily[TransfersOut],tblDaily[EntryDate],DATE(2026,9,15),tblDaily[WardCode],"FAE")=0,"",SUMIFS(tblDaily[TransfersOut],tblDaily[EntryDate],DATE(2026,9,15),tblDaily[WardCode],"FAE")),"")</f>
        <v/>
      </c>
      <c r="O342" s="13" t="str">
        <f>IFERROR(IF(SUMIFS(tblDaily[Remaining],tblDaily[EntryDate],DATE(2026,9,15),tblDaily[WardCode],"FAE")=0,"",SUMIFS(tblDaily[Remaining],tblDaily[EntryDate],DATE(2026,9,15),tblDaily[WardCode],"FAE")),"")</f>
        <v/>
      </c>
    </row>
    <row r="343" spans="1:15" x14ac:dyDescent="0.25">
      <c r="A343" s="13">
        <v>16</v>
      </c>
      <c r="B343" s="13" t="str">
        <f>IFERROR(IF(SUMIFS(tblDaily[Admissions],tblDaily[EntryDate],DATE(2026,9,16),tblDaily[WardCode],"MAE")=0,"",SUMIFS(tblDaily[Admissions],tblDaily[EntryDate],DATE(2026,9,16),tblDaily[WardCode],"MAE")),"")</f>
        <v/>
      </c>
      <c r="C343" s="13" t="str">
        <f>IFERROR(IF(SUMIFS(tblDaily[Discharges],tblDaily[EntryDate],DATE(2026,9,16),tblDaily[WardCode],"MAE")=0,"",SUMIFS(tblDaily[Discharges],tblDaily[EntryDate],DATE(2026,9,16),tblDaily[WardCode],"MAE")),"")</f>
        <v/>
      </c>
      <c r="D343" s="13" t="str">
        <f>IFERROR(IF(SUMIFS(tblDaily[Deaths],tblDaily[EntryDate],DATE(2026,9,16),tblDaily[WardCode],"MAE")=0,"",SUMIFS(tblDaily[Deaths],tblDaily[EntryDate],DATE(2026,9,16),tblDaily[WardCode],"MAE")),"")</f>
        <v/>
      </c>
      <c r="E343" s="13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3" t="str">
        <f>IFERROR(IF(SUMIFS(tblDaily[TransfersIn],tblDaily[EntryDate],DATE(2026,9,16),tblDaily[WardCode],"MAE")=0,"",SUMIFS(tblDaily[TransfersIn],tblDaily[EntryDate],DATE(2026,9,16),tblDaily[WardCode],"MAE")),"")</f>
        <v/>
      </c>
      <c r="G343" s="13" t="str">
        <f>IFERROR(IF(SUMIFS(tblDaily[TransfersOut],tblDaily[EntryDate],DATE(2026,9,16),tblDaily[WardCode],"MAE")=0,"",SUMIFS(tblDaily[TransfersOut],tblDaily[EntryDate],DATE(2026,9,16),tblDaily[WardCode],"MAE")),"")</f>
        <v/>
      </c>
      <c r="H343" s="13" t="str">
        <f>IFERROR(IF(SUMIFS(tblDaily[Remaining],tblDaily[EntryDate],DATE(2026,9,16),tblDaily[WardCode],"MAE")=0,"",SUMIFS(tblDaily[Remaining],tblDaily[EntryDate],DATE(2026,9,16),tblDaily[WardCode],"MAE")),"")</f>
        <v/>
      </c>
      <c r="I343" s="13" t="str">
        <f>IFERROR(IF(SUMIFS(tblDaily[Admissions],tblDaily[EntryDate],DATE(2026,9,16),tblDaily[WardCode],"FAE")=0,"",SUMIFS(tblDaily[Admissions],tblDaily[EntryDate],DATE(2026,9,16),tblDaily[WardCode],"FAE")),"")</f>
        <v/>
      </c>
      <c r="J343" s="13" t="str">
        <f>IFERROR(IF(SUMIFS(tblDaily[Discharges],tblDaily[EntryDate],DATE(2026,9,16),tblDaily[WardCode],"FAE")=0,"",SUMIFS(tblDaily[Discharges],tblDaily[EntryDate],DATE(2026,9,16),tblDaily[WardCode],"FAE")),"")</f>
        <v/>
      </c>
      <c r="K343" s="13" t="str">
        <f>IFERROR(IF(SUMIFS(tblDaily[Deaths],tblDaily[EntryDate],DATE(2026,9,16),tblDaily[WardCode],"FAE")=0,"",SUMIFS(tblDaily[Deaths],tblDaily[EntryDate],DATE(2026,9,16),tblDaily[WardCode],"FAE")),"")</f>
        <v/>
      </c>
      <c r="L343" s="13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3" t="str">
        <f>IFERROR(IF(SUMIFS(tblDaily[TransfersIn],tblDaily[EntryDate],DATE(2026,9,16),tblDaily[WardCode],"FAE")=0,"",SUMIFS(tblDaily[TransfersIn],tblDaily[EntryDate],DATE(2026,9,16),tblDaily[WardCode],"FAE")),"")</f>
        <v/>
      </c>
      <c r="N343" s="13" t="str">
        <f>IFERROR(IF(SUMIFS(tblDaily[TransfersOut],tblDaily[EntryDate],DATE(2026,9,16),tblDaily[WardCode],"FAE")=0,"",SUMIFS(tblDaily[TransfersOut],tblDaily[EntryDate],DATE(2026,9,16),tblDaily[WardCode],"FAE")),"")</f>
        <v/>
      </c>
      <c r="O343" s="13" t="str">
        <f>IFERROR(IF(SUMIFS(tblDaily[Remaining],tblDaily[EntryDate],DATE(2026,9,16),tblDaily[WardCode],"FAE")=0,"",SUMIFS(tblDaily[Remaining],tblDaily[EntryDate],DATE(2026,9,16),tblDaily[WardCode],"FAE")),"")</f>
        <v/>
      </c>
    </row>
    <row r="344" spans="1:15" x14ac:dyDescent="0.25">
      <c r="A344" s="13">
        <v>17</v>
      </c>
      <c r="B344" s="13" t="str">
        <f>IFERROR(IF(SUMIFS(tblDaily[Admissions],tblDaily[EntryDate],DATE(2026,9,17),tblDaily[WardCode],"MAE")=0,"",SUMIFS(tblDaily[Admissions],tblDaily[EntryDate],DATE(2026,9,17),tblDaily[WardCode],"MAE")),"")</f>
        <v/>
      </c>
      <c r="C344" s="13" t="str">
        <f>IFERROR(IF(SUMIFS(tblDaily[Discharges],tblDaily[EntryDate],DATE(2026,9,17),tblDaily[WardCode],"MAE")=0,"",SUMIFS(tblDaily[Discharges],tblDaily[EntryDate],DATE(2026,9,17),tblDaily[WardCode],"MAE")),"")</f>
        <v/>
      </c>
      <c r="D344" s="13" t="str">
        <f>IFERROR(IF(SUMIFS(tblDaily[Deaths],tblDaily[EntryDate],DATE(2026,9,17),tblDaily[WardCode],"MAE")=0,"",SUMIFS(tblDaily[Deaths],tblDaily[EntryDate],DATE(2026,9,17),tblDaily[WardCode],"MAE")),"")</f>
        <v/>
      </c>
      <c r="E344" s="13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3" t="str">
        <f>IFERROR(IF(SUMIFS(tblDaily[TransfersIn],tblDaily[EntryDate],DATE(2026,9,17),tblDaily[WardCode],"MAE")=0,"",SUMIFS(tblDaily[TransfersIn],tblDaily[EntryDate],DATE(2026,9,17),tblDaily[WardCode],"MAE")),"")</f>
        <v/>
      </c>
      <c r="G344" s="13" t="str">
        <f>IFERROR(IF(SUMIFS(tblDaily[TransfersOut],tblDaily[EntryDate],DATE(2026,9,17),tblDaily[WardCode],"MAE")=0,"",SUMIFS(tblDaily[TransfersOut],tblDaily[EntryDate],DATE(2026,9,17),tblDaily[WardCode],"MAE")),"")</f>
        <v/>
      </c>
      <c r="H344" s="13" t="str">
        <f>IFERROR(IF(SUMIFS(tblDaily[Remaining],tblDaily[EntryDate],DATE(2026,9,17),tblDaily[WardCode],"MAE")=0,"",SUMIFS(tblDaily[Remaining],tblDaily[EntryDate],DATE(2026,9,17),tblDaily[WardCode],"MAE")),"")</f>
        <v/>
      </c>
      <c r="I344" s="13" t="str">
        <f>IFERROR(IF(SUMIFS(tblDaily[Admissions],tblDaily[EntryDate],DATE(2026,9,17),tblDaily[WardCode],"FAE")=0,"",SUMIFS(tblDaily[Admissions],tblDaily[EntryDate],DATE(2026,9,17),tblDaily[WardCode],"FAE")),"")</f>
        <v/>
      </c>
      <c r="J344" s="13" t="str">
        <f>IFERROR(IF(SUMIFS(tblDaily[Discharges],tblDaily[EntryDate],DATE(2026,9,17),tblDaily[WardCode],"FAE")=0,"",SUMIFS(tblDaily[Discharges],tblDaily[EntryDate],DATE(2026,9,17),tblDaily[WardCode],"FAE")),"")</f>
        <v/>
      </c>
      <c r="K344" s="13" t="str">
        <f>IFERROR(IF(SUMIFS(tblDaily[Deaths],tblDaily[EntryDate],DATE(2026,9,17),tblDaily[WardCode],"FAE")=0,"",SUMIFS(tblDaily[Deaths],tblDaily[EntryDate],DATE(2026,9,17),tblDaily[WardCode],"FAE")),"")</f>
        <v/>
      </c>
      <c r="L344" s="13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3" t="str">
        <f>IFERROR(IF(SUMIFS(tblDaily[TransfersIn],tblDaily[EntryDate],DATE(2026,9,17),tblDaily[WardCode],"FAE")=0,"",SUMIFS(tblDaily[TransfersIn],tblDaily[EntryDate],DATE(2026,9,17),tblDaily[WardCode],"FAE")),"")</f>
        <v/>
      </c>
      <c r="N344" s="13" t="str">
        <f>IFERROR(IF(SUMIFS(tblDaily[TransfersOut],tblDaily[EntryDate],DATE(2026,9,17),tblDaily[WardCode],"FAE")=0,"",SUMIFS(tblDaily[TransfersOut],tblDaily[EntryDate],DATE(2026,9,17),tblDaily[WardCode],"FAE")),"")</f>
        <v/>
      </c>
      <c r="O344" s="13" t="str">
        <f>IFERROR(IF(SUMIFS(tblDaily[Remaining],tblDaily[EntryDate],DATE(2026,9,17),tblDaily[WardCode],"FAE")=0,"",SUMIFS(tblDaily[Remaining],tblDaily[EntryDate],DATE(2026,9,17),tblDaily[WardCode],"FAE")),"")</f>
        <v/>
      </c>
    </row>
    <row r="345" spans="1:15" x14ac:dyDescent="0.25">
      <c r="A345" s="13">
        <v>18</v>
      </c>
      <c r="B345" s="13" t="str">
        <f>IFERROR(IF(SUMIFS(tblDaily[Admissions],tblDaily[EntryDate],DATE(2026,9,18),tblDaily[WardCode],"MAE")=0,"",SUMIFS(tblDaily[Admissions],tblDaily[EntryDate],DATE(2026,9,18),tblDaily[WardCode],"MAE")),"")</f>
        <v/>
      </c>
      <c r="C345" s="13" t="str">
        <f>IFERROR(IF(SUMIFS(tblDaily[Discharges],tblDaily[EntryDate],DATE(2026,9,18),tblDaily[WardCode],"MAE")=0,"",SUMIFS(tblDaily[Discharges],tblDaily[EntryDate],DATE(2026,9,18),tblDaily[WardCode],"MAE")),"")</f>
        <v/>
      </c>
      <c r="D345" s="13" t="str">
        <f>IFERROR(IF(SUMIFS(tblDaily[Deaths],tblDaily[EntryDate],DATE(2026,9,18),tblDaily[WardCode],"MAE")=0,"",SUMIFS(tblDaily[Deaths],tblDaily[EntryDate],DATE(2026,9,18),tblDaily[WardCode],"MAE")),"")</f>
        <v/>
      </c>
      <c r="E345" s="13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3" t="str">
        <f>IFERROR(IF(SUMIFS(tblDaily[TransfersIn],tblDaily[EntryDate],DATE(2026,9,18),tblDaily[WardCode],"MAE")=0,"",SUMIFS(tblDaily[TransfersIn],tblDaily[EntryDate],DATE(2026,9,18),tblDaily[WardCode],"MAE")),"")</f>
        <v/>
      </c>
      <c r="G345" s="13" t="str">
        <f>IFERROR(IF(SUMIFS(tblDaily[TransfersOut],tblDaily[EntryDate],DATE(2026,9,18),tblDaily[WardCode],"MAE")=0,"",SUMIFS(tblDaily[TransfersOut],tblDaily[EntryDate],DATE(2026,9,18),tblDaily[WardCode],"MAE")),"")</f>
        <v/>
      </c>
      <c r="H345" s="13" t="str">
        <f>IFERROR(IF(SUMIFS(tblDaily[Remaining],tblDaily[EntryDate],DATE(2026,9,18),tblDaily[WardCode],"MAE")=0,"",SUMIFS(tblDaily[Remaining],tblDaily[EntryDate],DATE(2026,9,18),tblDaily[WardCode],"MAE")),"")</f>
        <v/>
      </c>
      <c r="I345" s="13" t="str">
        <f>IFERROR(IF(SUMIFS(tblDaily[Admissions],tblDaily[EntryDate],DATE(2026,9,18),tblDaily[WardCode],"FAE")=0,"",SUMIFS(tblDaily[Admissions],tblDaily[EntryDate],DATE(2026,9,18),tblDaily[WardCode],"FAE")),"")</f>
        <v/>
      </c>
      <c r="J345" s="13" t="str">
        <f>IFERROR(IF(SUMIFS(tblDaily[Discharges],tblDaily[EntryDate],DATE(2026,9,18),tblDaily[WardCode],"FAE")=0,"",SUMIFS(tblDaily[Discharges],tblDaily[EntryDate],DATE(2026,9,18),tblDaily[WardCode],"FAE")),"")</f>
        <v/>
      </c>
      <c r="K345" s="13" t="str">
        <f>IFERROR(IF(SUMIFS(tblDaily[Deaths],tblDaily[EntryDate],DATE(2026,9,18),tblDaily[WardCode],"FAE")=0,"",SUMIFS(tblDaily[Deaths],tblDaily[EntryDate],DATE(2026,9,18),tblDaily[WardCode],"FAE")),"")</f>
        <v/>
      </c>
      <c r="L345" s="13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3" t="str">
        <f>IFERROR(IF(SUMIFS(tblDaily[TransfersIn],tblDaily[EntryDate],DATE(2026,9,18),tblDaily[WardCode],"FAE")=0,"",SUMIFS(tblDaily[TransfersIn],tblDaily[EntryDate],DATE(2026,9,18),tblDaily[WardCode],"FAE")),"")</f>
        <v/>
      </c>
      <c r="N345" s="13" t="str">
        <f>IFERROR(IF(SUMIFS(tblDaily[TransfersOut],tblDaily[EntryDate],DATE(2026,9,18),tblDaily[WardCode],"FAE")=0,"",SUMIFS(tblDaily[TransfersOut],tblDaily[EntryDate],DATE(2026,9,18),tblDaily[WardCode],"FAE")),"")</f>
        <v/>
      </c>
      <c r="O345" s="13" t="str">
        <f>IFERROR(IF(SUMIFS(tblDaily[Remaining],tblDaily[EntryDate],DATE(2026,9,18),tblDaily[WardCode],"FAE")=0,"",SUMIFS(tblDaily[Remaining],tblDaily[EntryDate],DATE(2026,9,18),tblDaily[WardCode],"FAE")),"")</f>
        <v/>
      </c>
    </row>
    <row r="346" spans="1:15" x14ac:dyDescent="0.25">
      <c r="A346" s="13">
        <v>19</v>
      </c>
      <c r="B346" s="13" t="str">
        <f>IFERROR(IF(SUMIFS(tblDaily[Admissions],tblDaily[EntryDate],DATE(2026,9,19),tblDaily[WardCode],"MAE")=0,"",SUMIFS(tblDaily[Admissions],tblDaily[EntryDate],DATE(2026,9,19),tblDaily[WardCode],"MAE")),"")</f>
        <v/>
      </c>
      <c r="C346" s="13" t="str">
        <f>IFERROR(IF(SUMIFS(tblDaily[Discharges],tblDaily[EntryDate],DATE(2026,9,19),tblDaily[WardCode],"MAE")=0,"",SUMIFS(tblDaily[Discharges],tblDaily[EntryDate],DATE(2026,9,19),tblDaily[WardCode],"MAE")),"")</f>
        <v/>
      </c>
      <c r="D346" s="13" t="str">
        <f>IFERROR(IF(SUMIFS(tblDaily[Deaths],tblDaily[EntryDate],DATE(2026,9,19),tblDaily[WardCode],"MAE")=0,"",SUMIFS(tblDaily[Deaths],tblDaily[EntryDate],DATE(2026,9,19),tblDaily[WardCode],"MAE")),"")</f>
        <v/>
      </c>
      <c r="E346" s="13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3" t="str">
        <f>IFERROR(IF(SUMIFS(tblDaily[TransfersIn],tblDaily[EntryDate],DATE(2026,9,19),tblDaily[WardCode],"MAE")=0,"",SUMIFS(tblDaily[TransfersIn],tblDaily[EntryDate],DATE(2026,9,19),tblDaily[WardCode],"MAE")),"")</f>
        <v/>
      </c>
      <c r="G346" s="13" t="str">
        <f>IFERROR(IF(SUMIFS(tblDaily[TransfersOut],tblDaily[EntryDate],DATE(2026,9,19),tblDaily[WardCode],"MAE")=0,"",SUMIFS(tblDaily[TransfersOut],tblDaily[EntryDate],DATE(2026,9,19),tblDaily[WardCode],"MAE")),"")</f>
        <v/>
      </c>
      <c r="H346" s="13" t="str">
        <f>IFERROR(IF(SUMIFS(tblDaily[Remaining],tblDaily[EntryDate],DATE(2026,9,19),tblDaily[WardCode],"MAE")=0,"",SUMIFS(tblDaily[Remaining],tblDaily[EntryDate],DATE(2026,9,19),tblDaily[WardCode],"MAE")),"")</f>
        <v/>
      </c>
      <c r="I346" s="13" t="str">
        <f>IFERROR(IF(SUMIFS(tblDaily[Admissions],tblDaily[EntryDate],DATE(2026,9,19),tblDaily[WardCode],"FAE")=0,"",SUMIFS(tblDaily[Admissions],tblDaily[EntryDate],DATE(2026,9,19),tblDaily[WardCode],"FAE")),"")</f>
        <v/>
      </c>
      <c r="J346" s="13" t="str">
        <f>IFERROR(IF(SUMIFS(tblDaily[Discharges],tblDaily[EntryDate],DATE(2026,9,19),tblDaily[WardCode],"FAE")=0,"",SUMIFS(tblDaily[Discharges],tblDaily[EntryDate],DATE(2026,9,19),tblDaily[WardCode],"FAE")),"")</f>
        <v/>
      </c>
      <c r="K346" s="13" t="str">
        <f>IFERROR(IF(SUMIFS(tblDaily[Deaths],tblDaily[EntryDate],DATE(2026,9,19),tblDaily[WardCode],"FAE")=0,"",SUMIFS(tblDaily[Deaths],tblDaily[EntryDate],DATE(2026,9,19),tblDaily[WardCode],"FAE")),"")</f>
        <v/>
      </c>
      <c r="L346" s="13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3" t="str">
        <f>IFERROR(IF(SUMIFS(tblDaily[TransfersIn],tblDaily[EntryDate],DATE(2026,9,19),tblDaily[WardCode],"FAE")=0,"",SUMIFS(tblDaily[TransfersIn],tblDaily[EntryDate],DATE(2026,9,19),tblDaily[WardCode],"FAE")),"")</f>
        <v/>
      </c>
      <c r="N346" s="13" t="str">
        <f>IFERROR(IF(SUMIFS(tblDaily[TransfersOut],tblDaily[EntryDate],DATE(2026,9,19),tblDaily[WardCode],"FAE")=0,"",SUMIFS(tblDaily[TransfersOut],tblDaily[EntryDate],DATE(2026,9,19),tblDaily[WardCode],"FAE")),"")</f>
        <v/>
      </c>
      <c r="O346" s="13" t="str">
        <f>IFERROR(IF(SUMIFS(tblDaily[Remaining],tblDaily[EntryDate],DATE(2026,9,19),tblDaily[WardCode],"FAE")=0,"",SUMIFS(tblDaily[Remaining],tblDaily[EntryDate],DATE(2026,9,19),tblDaily[WardCode],"FAE")),"")</f>
        <v/>
      </c>
    </row>
    <row r="347" spans="1:15" x14ac:dyDescent="0.25">
      <c r="A347" s="13">
        <v>20</v>
      </c>
      <c r="B347" s="13" t="str">
        <f>IFERROR(IF(SUMIFS(tblDaily[Admissions],tblDaily[EntryDate],DATE(2026,9,20),tblDaily[WardCode],"MAE")=0,"",SUMIFS(tblDaily[Admissions],tblDaily[EntryDate],DATE(2026,9,20),tblDaily[WardCode],"MAE")),"")</f>
        <v/>
      </c>
      <c r="C347" s="13" t="str">
        <f>IFERROR(IF(SUMIFS(tblDaily[Discharges],tblDaily[EntryDate],DATE(2026,9,20),tblDaily[WardCode],"MAE")=0,"",SUMIFS(tblDaily[Discharges],tblDaily[EntryDate],DATE(2026,9,20),tblDaily[WardCode],"MAE")),"")</f>
        <v/>
      </c>
      <c r="D347" s="13" t="str">
        <f>IFERROR(IF(SUMIFS(tblDaily[Deaths],tblDaily[EntryDate],DATE(2026,9,20),tblDaily[WardCode],"MAE")=0,"",SUMIFS(tblDaily[Deaths],tblDaily[EntryDate],DATE(2026,9,20),tblDaily[WardCode],"MAE")),"")</f>
        <v/>
      </c>
      <c r="E347" s="13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3" t="str">
        <f>IFERROR(IF(SUMIFS(tblDaily[TransfersIn],tblDaily[EntryDate],DATE(2026,9,20),tblDaily[WardCode],"MAE")=0,"",SUMIFS(tblDaily[TransfersIn],tblDaily[EntryDate],DATE(2026,9,20),tblDaily[WardCode],"MAE")),"")</f>
        <v/>
      </c>
      <c r="G347" s="13" t="str">
        <f>IFERROR(IF(SUMIFS(tblDaily[TransfersOut],tblDaily[EntryDate],DATE(2026,9,20),tblDaily[WardCode],"MAE")=0,"",SUMIFS(tblDaily[TransfersOut],tblDaily[EntryDate],DATE(2026,9,20),tblDaily[WardCode],"MAE")),"")</f>
        <v/>
      </c>
      <c r="H347" s="13" t="str">
        <f>IFERROR(IF(SUMIFS(tblDaily[Remaining],tblDaily[EntryDate],DATE(2026,9,20),tblDaily[WardCode],"MAE")=0,"",SUMIFS(tblDaily[Remaining],tblDaily[EntryDate],DATE(2026,9,20),tblDaily[WardCode],"MAE")),"")</f>
        <v/>
      </c>
      <c r="I347" s="13" t="str">
        <f>IFERROR(IF(SUMIFS(tblDaily[Admissions],tblDaily[EntryDate],DATE(2026,9,20),tblDaily[WardCode],"FAE")=0,"",SUMIFS(tblDaily[Admissions],tblDaily[EntryDate],DATE(2026,9,20),tblDaily[WardCode],"FAE")),"")</f>
        <v/>
      </c>
      <c r="J347" s="13" t="str">
        <f>IFERROR(IF(SUMIFS(tblDaily[Discharges],tblDaily[EntryDate],DATE(2026,9,20),tblDaily[WardCode],"FAE")=0,"",SUMIFS(tblDaily[Discharges],tblDaily[EntryDate],DATE(2026,9,20),tblDaily[WardCode],"FAE")),"")</f>
        <v/>
      </c>
      <c r="K347" s="13" t="str">
        <f>IFERROR(IF(SUMIFS(tblDaily[Deaths],tblDaily[EntryDate],DATE(2026,9,20),tblDaily[WardCode],"FAE")=0,"",SUMIFS(tblDaily[Deaths],tblDaily[EntryDate],DATE(2026,9,20),tblDaily[WardCode],"FAE")),"")</f>
        <v/>
      </c>
      <c r="L347" s="13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3" t="str">
        <f>IFERROR(IF(SUMIFS(tblDaily[TransfersIn],tblDaily[EntryDate],DATE(2026,9,20),tblDaily[WardCode],"FAE")=0,"",SUMIFS(tblDaily[TransfersIn],tblDaily[EntryDate],DATE(2026,9,20),tblDaily[WardCode],"FAE")),"")</f>
        <v/>
      </c>
      <c r="N347" s="13" t="str">
        <f>IFERROR(IF(SUMIFS(tblDaily[TransfersOut],tblDaily[EntryDate],DATE(2026,9,20),tblDaily[WardCode],"FAE")=0,"",SUMIFS(tblDaily[TransfersOut],tblDaily[EntryDate],DATE(2026,9,20),tblDaily[WardCode],"FAE")),"")</f>
        <v/>
      </c>
      <c r="O347" s="13" t="str">
        <f>IFERROR(IF(SUMIFS(tblDaily[Remaining],tblDaily[EntryDate],DATE(2026,9,20),tblDaily[WardCode],"FAE")=0,"",SUMIFS(tblDaily[Remaining],tblDaily[EntryDate],DATE(2026,9,20),tblDaily[WardCode],"FAE")),"")</f>
        <v/>
      </c>
    </row>
    <row r="348" spans="1:15" x14ac:dyDescent="0.25">
      <c r="A348" s="13">
        <v>21</v>
      </c>
      <c r="B348" s="13" t="str">
        <f>IFERROR(IF(SUMIFS(tblDaily[Admissions],tblDaily[EntryDate],DATE(2026,9,21),tblDaily[WardCode],"MAE")=0,"",SUMIFS(tblDaily[Admissions],tblDaily[EntryDate],DATE(2026,9,21),tblDaily[WardCode],"MAE")),"")</f>
        <v/>
      </c>
      <c r="C348" s="13" t="str">
        <f>IFERROR(IF(SUMIFS(tblDaily[Discharges],tblDaily[EntryDate],DATE(2026,9,21),tblDaily[WardCode],"MAE")=0,"",SUMIFS(tblDaily[Discharges],tblDaily[EntryDate],DATE(2026,9,21),tblDaily[WardCode],"MAE")),"")</f>
        <v/>
      </c>
      <c r="D348" s="13" t="str">
        <f>IFERROR(IF(SUMIFS(tblDaily[Deaths],tblDaily[EntryDate],DATE(2026,9,21),tblDaily[WardCode],"MAE")=0,"",SUMIFS(tblDaily[Deaths],tblDaily[EntryDate],DATE(2026,9,21),tblDaily[WardCode],"MAE")),"")</f>
        <v/>
      </c>
      <c r="E348" s="13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3" t="str">
        <f>IFERROR(IF(SUMIFS(tblDaily[TransfersIn],tblDaily[EntryDate],DATE(2026,9,21),tblDaily[WardCode],"MAE")=0,"",SUMIFS(tblDaily[TransfersIn],tblDaily[EntryDate],DATE(2026,9,21),tblDaily[WardCode],"MAE")),"")</f>
        <v/>
      </c>
      <c r="G348" s="13" t="str">
        <f>IFERROR(IF(SUMIFS(tblDaily[TransfersOut],tblDaily[EntryDate],DATE(2026,9,21),tblDaily[WardCode],"MAE")=0,"",SUMIFS(tblDaily[TransfersOut],tblDaily[EntryDate],DATE(2026,9,21),tblDaily[WardCode],"MAE")),"")</f>
        <v/>
      </c>
      <c r="H348" s="13" t="str">
        <f>IFERROR(IF(SUMIFS(tblDaily[Remaining],tblDaily[EntryDate],DATE(2026,9,21),tblDaily[WardCode],"MAE")=0,"",SUMIFS(tblDaily[Remaining],tblDaily[EntryDate],DATE(2026,9,21),tblDaily[WardCode],"MAE")),"")</f>
        <v/>
      </c>
      <c r="I348" s="13" t="str">
        <f>IFERROR(IF(SUMIFS(tblDaily[Admissions],tblDaily[EntryDate],DATE(2026,9,21),tblDaily[WardCode],"FAE")=0,"",SUMIFS(tblDaily[Admissions],tblDaily[EntryDate],DATE(2026,9,21),tblDaily[WardCode],"FAE")),"")</f>
        <v/>
      </c>
      <c r="J348" s="13" t="str">
        <f>IFERROR(IF(SUMIFS(tblDaily[Discharges],tblDaily[EntryDate],DATE(2026,9,21),tblDaily[WardCode],"FAE")=0,"",SUMIFS(tblDaily[Discharges],tblDaily[EntryDate],DATE(2026,9,21),tblDaily[WardCode],"FAE")),"")</f>
        <v/>
      </c>
      <c r="K348" s="13" t="str">
        <f>IFERROR(IF(SUMIFS(tblDaily[Deaths],tblDaily[EntryDate],DATE(2026,9,21),tblDaily[WardCode],"FAE")=0,"",SUMIFS(tblDaily[Deaths],tblDaily[EntryDate],DATE(2026,9,21),tblDaily[WardCode],"FAE")),"")</f>
        <v/>
      </c>
      <c r="L348" s="13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3" t="str">
        <f>IFERROR(IF(SUMIFS(tblDaily[TransfersIn],tblDaily[EntryDate],DATE(2026,9,21),tblDaily[WardCode],"FAE")=0,"",SUMIFS(tblDaily[TransfersIn],tblDaily[EntryDate],DATE(2026,9,21),tblDaily[WardCode],"FAE")),"")</f>
        <v/>
      </c>
      <c r="N348" s="13" t="str">
        <f>IFERROR(IF(SUMIFS(tblDaily[TransfersOut],tblDaily[EntryDate],DATE(2026,9,21),tblDaily[WardCode],"FAE")=0,"",SUMIFS(tblDaily[TransfersOut],tblDaily[EntryDate],DATE(2026,9,21),tblDaily[WardCode],"FAE")),"")</f>
        <v/>
      </c>
      <c r="O348" s="13" t="str">
        <f>IFERROR(IF(SUMIFS(tblDaily[Remaining],tblDaily[EntryDate],DATE(2026,9,21),tblDaily[WardCode],"FAE")=0,"",SUMIFS(tblDaily[Remaining],tblDaily[EntryDate],DATE(2026,9,21),tblDaily[WardCode],"FAE")),"")</f>
        <v/>
      </c>
    </row>
    <row r="349" spans="1:15" x14ac:dyDescent="0.25">
      <c r="A349" s="13">
        <v>22</v>
      </c>
      <c r="B349" s="13" t="str">
        <f>IFERROR(IF(SUMIFS(tblDaily[Admissions],tblDaily[EntryDate],DATE(2026,9,22),tblDaily[WardCode],"MAE")=0,"",SUMIFS(tblDaily[Admissions],tblDaily[EntryDate],DATE(2026,9,22),tblDaily[WardCode],"MAE")),"")</f>
        <v/>
      </c>
      <c r="C349" s="13" t="str">
        <f>IFERROR(IF(SUMIFS(tblDaily[Discharges],tblDaily[EntryDate],DATE(2026,9,22),tblDaily[WardCode],"MAE")=0,"",SUMIFS(tblDaily[Discharges],tblDaily[EntryDate],DATE(2026,9,22),tblDaily[WardCode],"MAE")),"")</f>
        <v/>
      </c>
      <c r="D349" s="13" t="str">
        <f>IFERROR(IF(SUMIFS(tblDaily[Deaths],tblDaily[EntryDate],DATE(2026,9,22),tblDaily[WardCode],"MAE")=0,"",SUMIFS(tblDaily[Deaths],tblDaily[EntryDate],DATE(2026,9,22),tblDaily[WardCode],"MAE")),"")</f>
        <v/>
      </c>
      <c r="E349" s="13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3" t="str">
        <f>IFERROR(IF(SUMIFS(tblDaily[TransfersIn],tblDaily[EntryDate],DATE(2026,9,22),tblDaily[WardCode],"MAE")=0,"",SUMIFS(tblDaily[TransfersIn],tblDaily[EntryDate],DATE(2026,9,22),tblDaily[WardCode],"MAE")),"")</f>
        <v/>
      </c>
      <c r="G349" s="13" t="str">
        <f>IFERROR(IF(SUMIFS(tblDaily[TransfersOut],tblDaily[EntryDate],DATE(2026,9,22),tblDaily[WardCode],"MAE")=0,"",SUMIFS(tblDaily[TransfersOut],tblDaily[EntryDate],DATE(2026,9,22),tblDaily[WardCode],"MAE")),"")</f>
        <v/>
      </c>
      <c r="H349" s="13" t="str">
        <f>IFERROR(IF(SUMIFS(tblDaily[Remaining],tblDaily[EntryDate],DATE(2026,9,22),tblDaily[WardCode],"MAE")=0,"",SUMIFS(tblDaily[Remaining],tblDaily[EntryDate],DATE(2026,9,22),tblDaily[WardCode],"MAE")),"")</f>
        <v/>
      </c>
      <c r="I349" s="13" t="str">
        <f>IFERROR(IF(SUMIFS(tblDaily[Admissions],tblDaily[EntryDate],DATE(2026,9,22),tblDaily[WardCode],"FAE")=0,"",SUMIFS(tblDaily[Admissions],tblDaily[EntryDate],DATE(2026,9,22),tblDaily[WardCode],"FAE")),"")</f>
        <v/>
      </c>
      <c r="J349" s="13" t="str">
        <f>IFERROR(IF(SUMIFS(tblDaily[Discharges],tblDaily[EntryDate],DATE(2026,9,22),tblDaily[WardCode],"FAE")=0,"",SUMIFS(tblDaily[Discharges],tblDaily[EntryDate],DATE(2026,9,22),tblDaily[WardCode],"FAE")),"")</f>
        <v/>
      </c>
      <c r="K349" s="13" t="str">
        <f>IFERROR(IF(SUMIFS(tblDaily[Deaths],tblDaily[EntryDate],DATE(2026,9,22),tblDaily[WardCode],"FAE")=0,"",SUMIFS(tblDaily[Deaths],tblDaily[EntryDate],DATE(2026,9,22),tblDaily[WardCode],"FAE")),"")</f>
        <v/>
      </c>
      <c r="L349" s="13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3" t="str">
        <f>IFERROR(IF(SUMIFS(tblDaily[TransfersIn],tblDaily[EntryDate],DATE(2026,9,22),tblDaily[WardCode],"FAE")=0,"",SUMIFS(tblDaily[TransfersIn],tblDaily[EntryDate],DATE(2026,9,22),tblDaily[WardCode],"FAE")),"")</f>
        <v/>
      </c>
      <c r="N349" s="13" t="str">
        <f>IFERROR(IF(SUMIFS(tblDaily[TransfersOut],tblDaily[EntryDate],DATE(2026,9,22),tblDaily[WardCode],"FAE")=0,"",SUMIFS(tblDaily[TransfersOut],tblDaily[EntryDate],DATE(2026,9,22),tblDaily[WardCode],"FAE")),"")</f>
        <v/>
      </c>
      <c r="O349" s="13" t="str">
        <f>IFERROR(IF(SUMIFS(tblDaily[Remaining],tblDaily[EntryDate],DATE(2026,9,22),tblDaily[WardCode],"FAE")=0,"",SUMIFS(tblDaily[Remaining],tblDaily[EntryDate],DATE(2026,9,22),tblDaily[WardCode],"FAE")),"")</f>
        <v/>
      </c>
    </row>
    <row r="350" spans="1:15" x14ac:dyDescent="0.25">
      <c r="A350" s="13">
        <v>23</v>
      </c>
      <c r="B350" s="13" t="str">
        <f>IFERROR(IF(SUMIFS(tblDaily[Admissions],tblDaily[EntryDate],DATE(2026,9,23),tblDaily[WardCode],"MAE")=0,"",SUMIFS(tblDaily[Admissions],tblDaily[EntryDate],DATE(2026,9,23),tblDaily[WardCode],"MAE")),"")</f>
        <v/>
      </c>
      <c r="C350" s="13" t="str">
        <f>IFERROR(IF(SUMIFS(tblDaily[Discharges],tblDaily[EntryDate],DATE(2026,9,23),tblDaily[WardCode],"MAE")=0,"",SUMIFS(tblDaily[Discharges],tblDaily[EntryDate],DATE(2026,9,23),tblDaily[WardCode],"MAE")),"")</f>
        <v/>
      </c>
      <c r="D350" s="13" t="str">
        <f>IFERROR(IF(SUMIFS(tblDaily[Deaths],tblDaily[EntryDate],DATE(2026,9,23),tblDaily[WardCode],"MAE")=0,"",SUMIFS(tblDaily[Deaths],tblDaily[EntryDate],DATE(2026,9,23),tblDaily[WardCode],"MAE")),"")</f>
        <v/>
      </c>
      <c r="E350" s="13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3" t="str">
        <f>IFERROR(IF(SUMIFS(tblDaily[TransfersIn],tblDaily[EntryDate],DATE(2026,9,23),tblDaily[WardCode],"MAE")=0,"",SUMIFS(tblDaily[TransfersIn],tblDaily[EntryDate],DATE(2026,9,23),tblDaily[WardCode],"MAE")),"")</f>
        <v/>
      </c>
      <c r="G350" s="13" t="str">
        <f>IFERROR(IF(SUMIFS(tblDaily[TransfersOut],tblDaily[EntryDate],DATE(2026,9,23),tblDaily[WardCode],"MAE")=0,"",SUMIFS(tblDaily[TransfersOut],tblDaily[EntryDate],DATE(2026,9,23),tblDaily[WardCode],"MAE")),"")</f>
        <v/>
      </c>
      <c r="H350" s="13" t="str">
        <f>IFERROR(IF(SUMIFS(tblDaily[Remaining],tblDaily[EntryDate],DATE(2026,9,23),tblDaily[WardCode],"MAE")=0,"",SUMIFS(tblDaily[Remaining],tblDaily[EntryDate],DATE(2026,9,23),tblDaily[WardCode],"MAE")),"")</f>
        <v/>
      </c>
      <c r="I350" s="13" t="str">
        <f>IFERROR(IF(SUMIFS(tblDaily[Admissions],tblDaily[EntryDate],DATE(2026,9,23),tblDaily[WardCode],"FAE")=0,"",SUMIFS(tblDaily[Admissions],tblDaily[EntryDate],DATE(2026,9,23),tblDaily[WardCode],"FAE")),"")</f>
        <v/>
      </c>
      <c r="J350" s="13" t="str">
        <f>IFERROR(IF(SUMIFS(tblDaily[Discharges],tblDaily[EntryDate],DATE(2026,9,23),tblDaily[WardCode],"FAE")=0,"",SUMIFS(tblDaily[Discharges],tblDaily[EntryDate],DATE(2026,9,23),tblDaily[WardCode],"FAE")),"")</f>
        <v/>
      </c>
      <c r="K350" s="13" t="str">
        <f>IFERROR(IF(SUMIFS(tblDaily[Deaths],tblDaily[EntryDate],DATE(2026,9,23),tblDaily[WardCode],"FAE")=0,"",SUMIFS(tblDaily[Deaths],tblDaily[EntryDate],DATE(2026,9,23),tblDaily[WardCode],"FAE")),"")</f>
        <v/>
      </c>
      <c r="L350" s="13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3" t="str">
        <f>IFERROR(IF(SUMIFS(tblDaily[TransfersIn],tblDaily[EntryDate],DATE(2026,9,23),tblDaily[WardCode],"FAE")=0,"",SUMIFS(tblDaily[TransfersIn],tblDaily[EntryDate],DATE(2026,9,23),tblDaily[WardCode],"FAE")),"")</f>
        <v/>
      </c>
      <c r="N350" s="13" t="str">
        <f>IFERROR(IF(SUMIFS(tblDaily[TransfersOut],tblDaily[EntryDate],DATE(2026,9,23),tblDaily[WardCode],"FAE")=0,"",SUMIFS(tblDaily[TransfersOut],tblDaily[EntryDate],DATE(2026,9,23),tblDaily[WardCode],"FAE")),"")</f>
        <v/>
      </c>
      <c r="O350" s="13" t="str">
        <f>IFERROR(IF(SUMIFS(tblDaily[Remaining],tblDaily[EntryDate],DATE(2026,9,23),tblDaily[WardCode],"FAE")=0,"",SUMIFS(tblDaily[Remaining],tblDaily[EntryDate],DATE(2026,9,23),tblDaily[WardCode],"FAE")),"")</f>
        <v/>
      </c>
    </row>
    <row r="351" spans="1:15" x14ac:dyDescent="0.25">
      <c r="A351" s="13">
        <v>24</v>
      </c>
      <c r="B351" s="13" t="str">
        <f>IFERROR(IF(SUMIFS(tblDaily[Admissions],tblDaily[EntryDate],DATE(2026,9,24),tblDaily[WardCode],"MAE")=0,"",SUMIFS(tblDaily[Admissions],tblDaily[EntryDate],DATE(2026,9,24),tblDaily[WardCode],"MAE")),"")</f>
        <v/>
      </c>
      <c r="C351" s="13" t="str">
        <f>IFERROR(IF(SUMIFS(tblDaily[Discharges],tblDaily[EntryDate],DATE(2026,9,24),tblDaily[WardCode],"MAE")=0,"",SUMIFS(tblDaily[Discharges],tblDaily[EntryDate],DATE(2026,9,24),tblDaily[WardCode],"MAE")),"")</f>
        <v/>
      </c>
      <c r="D351" s="13" t="str">
        <f>IFERROR(IF(SUMIFS(tblDaily[Deaths],tblDaily[EntryDate],DATE(2026,9,24),tblDaily[WardCode],"MAE")=0,"",SUMIFS(tblDaily[Deaths],tblDaily[EntryDate],DATE(2026,9,24),tblDaily[WardCode],"MAE")),"")</f>
        <v/>
      </c>
      <c r="E351" s="13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3" t="str">
        <f>IFERROR(IF(SUMIFS(tblDaily[TransfersIn],tblDaily[EntryDate],DATE(2026,9,24),tblDaily[WardCode],"MAE")=0,"",SUMIFS(tblDaily[TransfersIn],tblDaily[EntryDate],DATE(2026,9,24),tblDaily[WardCode],"MAE")),"")</f>
        <v/>
      </c>
      <c r="G351" s="13" t="str">
        <f>IFERROR(IF(SUMIFS(tblDaily[TransfersOut],tblDaily[EntryDate],DATE(2026,9,24),tblDaily[WardCode],"MAE")=0,"",SUMIFS(tblDaily[TransfersOut],tblDaily[EntryDate],DATE(2026,9,24),tblDaily[WardCode],"MAE")),"")</f>
        <v/>
      </c>
      <c r="H351" s="13" t="str">
        <f>IFERROR(IF(SUMIFS(tblDaily[Remaining],tblDaily[EntryDate],DATE(2026,9,24),tblDaily[WardCode],"MAE")=0,"",SUMIFS(tblDaily[Remaining],tblDaily[EntryDate],DATE(2026,9,24),tblDaily[WardCode],"MAE")),"")</f>
        <v/>
      </c>
      <c r="I351" s="13" t="str">
        <f>IFERROR(IF(SUMIFS(tblDaily[Admissions],tblDaily[EntryDate],DATE(2026,9,24),tblDaily[WardCode],"FAE")=0,"",SUMIFS(tblDaily[Admissions],tblDaily[EntryDate],DATE(2026,9,24),tblDaily[WardCode],"FAE")),"")</f>
        <v/>
      </c>
      <c r="J351" s="13" t="str">
        <f>IFERROR(IF(SUMIFS(tblDaily[Discharges],tblDaily[EntryDate],DATE(2026,9,24),tblDaily[WardCode],"FAE")=0,"",SUMIFS(tblDaily[Discharges],tblDaily[EntryDate],DATE(2026,9,24),tblDaily[WardCode],"FAE")),"")</f>
        <v/>
      </c>
      <c r="K351" s="13" t="str">
        <f>IFERROR(IF(SUMIFS(tblDaily[Deaths],tblDaily[EntryDate],DATE(2026,9,24),tblDaily[WardCode],"FAE")=0,"",SUMIFS(tblDaily[Deaths],tblDaily[EntryDate],DATE(2026,9,24),tblDaily[WardCode],"FAE")),"")</f>
        <v/>
      </c>
      <c r="L351" s="13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3" t="str">
        <f>IFERROR(IF(SUMIFS(tblDaily[TransfersIn],tblDaily[EntryDate],DATE(2026,9,24),tblDaily[WardCode],"FAE")=0,"",SUMIFS(tblDaily[TransfersIn],tblDaily[EntryDate],DATE(2026,9,24),tblDaily[WardCode],"FAE")),"")</f>
        <v/>
      </c>
      <c r="N351" s="13" t="str">
        <f>IFERROR(IF(SUMIFS(tblDaily[TransfersOut],tblDaily[EntryDate],DATE(2026,9,24),tblDaily[WardCode],"FAE")=0,"",SUMIFS(tblDaily[TransfersOut],tblDaily[EntryDate],DATE(2026,9,24),tblDaily[WardCode],"FAE")),"")</f>
        <v/>
      </c>
      <c r="O351" s="13" t="str">
        <f>IFERROR(IF(SUMIFS(tblDaily[Remaining],tblDaily[EntryDate],DATE(2026,9,24),tblDaily[WardCode],"FAE")=0,"",SUMIFS(tblDaily[Remaining],tblDaily[EntryDate],DATE(2026,9,24),tblDaily[WardCode],"FAE")),"")</f>
        <v/>
      </c>
    </row>
    <row r="352" spans="1:15" x14ac:dyDescent="0.25">
      <c r="A352" s="13">
        <v>25</v>
      </c>
      <c r="B352" s="13" t="str">
        <f>IFERROR(IF(SUMIFS(tblDaily[Admissions],tblDaily[EntryDate],DATE(2026,9,25),tblDaily[WardCode],"MAE")=0,"",SUMIFS(tblDaily[Admissions],tblDaily[EntryDate],DATE(2026,9,25),tblDaily[WardCode],"MAE")),"")</f>
        <v/>
      </c>
      <c r="C352" s="13" t="str">
        <f>IFERROR(IF(SUMIFS(tblDaily[Discharges],tblDaily[EntryDate],DATE(2026,9,25),tblDaily[WardCode],"MAE")=0,"",SUMIFS(tblDaily[Discharges],tblDaily[EntryDate],DATE(2026,9,25),tblDaily[WardCode],"MAE")),"")</f>
        <v/>
      </c>
      <c r="D352" s="13" t="str">
        <f>IFERROR(IF(SUMIFS(tblDaily[Deaths],tblDaily[EntryDate],DATE(2026,9,25),tblDaily[WardCode],"MAE")=0,"",SUMIFS(tblDaily[Deaths],tblDaily[EntryDate],DATE(2026,9,25),tblDaily[WardCode],"MAE")),"")</f>
        <v/>
      </c>
      <c r="E352" s="13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3" t="str">
        <f>IFERROR(IF(SUMIFS(tblDaily[TransfersIn],tblDaily[EntryDate],DATE(2026,9,25),tblDaily[WardCode],"MAE")=0,"",SUMIFS(tblDaily[TransfersIn],tblDaily[EntryDate],DATE(2026,9,25),tblDaily[WardCode],"MAE")),"")</f>
        <v/>
      </c>
      <c r="G352" s="13" t="str">
        <f>IFERROR(IF(SUMIFS(tblDaily[TransfersOut],tblDaily[EntryDate],DATE(2026,9,25),tblDaily[WardCode],"MAE")=0,"",SUMIFS(tblDaily[TransfersOut],tblDaily[EntryDate],DATE(2026,9,25),tblDaily[WardCode],"MAE")),"")</f>
        <v/>
      </c>
      <c r="H352" s="13" t="str">
        <f>IFERROR(IF(SUMIFS(tblDaily[Remaining],tblDaily[EntryDate],DATE(2026,9,25),tblDaily[WardCode],"MAE")=0,"",SUMIFS(tblDaily[Remaining],tblDaily[EntryDate],DATE(2026,9,25),tblDaily[WardCode],"MAE")),"")</f>
        <v/>
      </c>
      <c r="I352" s="13" t="str">
        <f>IFERROR(IF(SUMIFS(tblDaily[Admissions],tblDaily[EntryDate],DATE(2026,9,25),tblDaily[WardCode],"FAE")=0,"",SUMIFS(tblDaily[Admissions],tblDaily[EntryDate],DATE(2026,9,25),tblDaily[WardCode],"FAE")),"")</f>
        <v/>
      </c>
      <c r="J352" s="13" t="str">
        <f>IFERROR(IF(SUMIFS(tblDaily[Discharges],tblDaily[EntryDate],DATE(2026,9,25),tblDaily[WardCode],"FAE")=0,"",SUMIFS(tblDaily[Discharges],tblDaily[EntryDate],DATE(2026,9,25),tblDaily[WardCode],"FAE")),"")</f>
        <v/>
      </c>
      <c r="K352" s="13" t="str">
        <f>IFERROR(IF(SUMIFS(tblDaily[Deaths],tblDaily[EntryDate],DATE(2026,9,25),tblDaily[WardCode],"FAE")=0,"",SUMIFS(tblDaily[Deaths],tblDaily[EntryDate],DATE(2026,9,25),tblDaily[WardCode],"FAE")),"")</f>
        <v/>
      </c>
      <c r="L352" s="13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3" t="str">
        <f>IFERROR(IF(SUMIFS(tblDaily[TransfersIn],tblDaily[EntryDate],DATE(2026,9,25),tblDaily[WardCode],"FAE")=0,"",SUMIFS(tblDaily[TransfersIn],tblDaily[EntryDate],DATE(2026,9,25),tblDaily[WardCode],"FAE")),"")</f>
        <v/>
      </c>
      <c r="N352" s="13" t="str">
        <f>IFERROR(IF(SUMIFS(tblDaily[TransfersOut],tblDaily[EntryDate],DATE(2026,9,25),tblDaily[WardCode],"FAE")=0,"",SUMIFS(tblDaily[TransfersOut],tblDaily[EntryDate],DATE(2026,9,25),tblDaily[WardCode],"FAE")),"")</f>
        <v/>
      </c>
      <c r="O352" s="13" t="str">
        <f>IFERROR(IF(SUMIFS(tblDaily[Remaining],tblDaily[EntryDate],DATE(2026,9,25),tblDaily[WardCode],"FAE")=0,"",SUMIFS(tblDaily[Remaining],tblDaily[EntryDate],DATE(2026,9,25),tblDaily[WardCode],"FAE")),"")</f>
        <v/>
      </c>
    </row>
    <row r="353" spans="1:15" x14ac:dyDescent="0.25">
      <c r="A353" s="13">
        <v>26</v>
      </c>
      <c r="B353" s="13" t="str">
        <f>IFERROR(IF(SUMIFS(tblDaily[Admissions],tblDaily[EntryDate],DATE(2026,9,26),tblDaily[WardCode],"MAE")=0,"",SUMIFS(tblDaily[Admissions],tblDaily[EntryDate],DATE(2026,9,26),tblDaily[WardCode],"MAE")),"")</f>
        <v/>
      </c>
      <c r="C353" s="13" t="str">
        <f>IFERROR(IF(SUMIFS(tblDaily[Discharges],tblDaily[EntryDate],DATE(2026,9,26),tblDaily[WardCode],"MAE")=0,"",SUMIFS(tblDaily[Discharges],tblDaily[EntryDate],DATE(2026,9,26),tblDaily[WardCode],"MAE")),"")</f>
        <v/>
      </c>
      <c r="D353" s="13" t="str">
        <f>IFERROR(IF(SUMIFS(tblDaily[Deaths],tblDaily[EntryDate],DATE(2026,9,26),tblDaily[WardCode],"MAE")=0,"",SUMIFS(tblDaily[Deaths],tblDaily[EntryDate],DATE(2026,9,26),tblDaily[WardCode],"MAE")),"")</f>
        <v/>
      </c>
      <c r="E353" s="13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3" t="str">
        <f>IFERROR(IF(SUMIFS(tblDaily[TransfersIn],tblDaily[EntryDate],DATE(2026,9,26),tblDaily[WardCode],"MAE")=0,"",SUMIFS(tblDaily[TransfersIn],tblDaily[EntryDate],DATE(2026,9,26),tblDaily[WardCode],"MAE")),"")</f>
        <v/>
      </c>
      <c r="G353" s="13" t="str">
        <f>IFERROR(IF(SUMIFS(tblDaily[TransfersOut],tblDaily[EntryDate],DATE(2026,9,26),tblDaily[WardCode],"MAE")=0,"",SUMIFS(tblDaily[TransfersOut],tblDaily[EntryDate],DATE(2026,9,26),tblDaily[WardCode],"MAE")),"")</f>
        <v/>
      </c>
      <c r="H353" s="13" t="str">
        <f>IFERROR(IF(SUMIFS(tblDaily[Remaining],tblDaily[EntryDate],DATE(2026,9,26),tblDaily[WardCode],"MAE")=0,"",SUMIFS(tblDaily[Remaining],tblDaily[EntryDate],DATE(2026,9,26),tblDaily[WardCode],"MAE")),"")</f>
        <v/>
      </c>
      <c r="I353" s="13" t="str">
        <f>IFERROR(IF(SUMIFS(tblDaily[Admissions],tblDaily[EntryDate],DATE(2026,9,26),tblDaily[WardCode],"FAE")=0,"",SUMIFS(tblDaily[Admissions],tblDaily[EntryDate],DATE(2026,9,26),tblDaily[WardCode],"FAE")),"")</f>
        <v/>
      </c>
      <c r="J353" s="13" t="str">
        <f>IFERROR(IF(SUMIFS(tblDaily[Discharges],tblDaily[EntryDate],DATE(2026,9,26),tblDaily[WardCode],"FAE")=0,"",SUMIFS(tblDaily[Discharges],tblDaily[EntryDate],DATE(2026,9,26),tblDaily[WardCode],"FAE")),"")</f>
        <v/>
      </c>
      <c r="K353" s="13" t="str">
        <f>IFERROR(IF(SUMIFS(tblDaily[Deaths],tblDaily[EntryDate],DATE(2026,9,26),tblDaily[WardCode],"FAE")=0,"",SUMIFS(tblDaily[Deaths],tblDaily[EntryDate],DATE(2026,9,26),tblDaily[WardCode],"FAE")),"")</f>
        <v/>
      </c>
      <c r="L353" s="13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3" t="str">
        <f>IFERROR(IF(SUMIFS(tblDaily[TransfersIn],tblDaily[EntryDate],DATE(2026,9,26),tblDaily[WardCode],"FAE")=0,"",SUMIFS(tblDaily[TransfersIn],tblDaily[EntryDate],DATE(2026,9,26),tblDaily[WardCode],"FAE")),"")</f>
        <v/>
      </c>
      <c r="N353" s="13" t="str">
        <f>IFERROR(IF(SUMIFS(tblDaily[TransfersOut],tblDaily[EntryDate],DATE(2026,9,26),tblDaily[WardCode],"FAE")=0,"",SUMIFS(tblDaily[TransfersOut],tblDaily[EntryDate],DATE(2026,9,26),tblDaily[WardCode],"FAE")),"")</f>
        <v/>
      </c>
      <c r="O353" s="13" t="str">
        <f>IFERROR(IF(SUMIFS(tblDaily[Remaining],tblDaily[EntryDate],DATE(2026,9,26),tblDaily[WardCode],"FAE")=0,"",SUMIFS(tblDaily[Remaining],tblDaily[EntryDate],DATE(2026,9,26),tblDaily[WardCode],"FAE")),"")</f>
        <v/>
      </c>
    </row>
    <row r="354" spans="1:15" x14ac:dyDescent="0.25">
      <c r="A354" s="13">
        <v>27</v>
      </c>
      <c r="B354" s="13" t="str">
        <f>IFERROR(IF(SUMIFS(tblDaily[Admissions],tblDaily[EntryDate],DATE(2026,9,27),tblDaily[WardCode],"MAE")=0,"",SUMIFS(tblDaily[Admissions],tblDaily[EntryDate],DATE(2026,9,27),tblDaily[WardCode],"MAE")),"")</f>
        <v/>
      </c>
      <c r="C354" s="13" t="str">
        <f>IFERROR(IF(SUMIFS(tblDaily[Discharges],tblDaily[EntryDate],DATE(2026,9,27),tblDaily[WardCode],"MAE")=0,"",SUMIFS(tblDaily[Discharges],tblDaily[EntryDate],DATE(2026,9,27),tblDaily[WardCode],"MAE")),"")</f>
        <v/>
      </c>
      <c r="D354" s="13" t="str">
        <f>IFERROR(IF(SUMIFS(tblDaily[Deaths],tblDaily[EntryDate],DATE(2026,9,27),tblDaily[WardCode],"MAE")=0,"",SUMIFS(tblDaily[Deaths],tblDaily[EntryDate],DATE(2026,9,27),tblDaily[WardCode],"MAE")),"")</f>
        <v/>
      </c>
      <c r="E354" s="13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3" t="str">
        <f>IFERROR(IF(SUMIFS(tblDaily[TransfersIn],tblDaily[EntryDate],DATE(2026,9,27),tblDaily[WardCode],"MAE")=0,"",SUMIFS(tblDaily[TransfersIn],tblDaily[EntryDate],DATE(2026,9,27),tblDaily[WardCode],"MAE")),"")</f>
        <v/>
      </c>
      <c r="G354" s="13" t="str">
        <f>IFERROR(IF(SUMIFS(tblDaily[TransfersOut],tblDaily[EntryDate],DATE(2026,9,27),tblDaily[WardCode],"MAE")=0,"",SUMIFS(tblDaily[TransfersOut],tblDaily[EntryDate],DATE(2026,9,27),tblDaily[WardCode],"MAE")),"")</f>
        <v/>
      </c>
      <c r="H354" s="13" t="str">
        <f>IFERROR(IF(SUMIFS(tblDaily[Remaining],tblDaily[EntryDate],DATE(2026,9,27),tblDaily[WardCode],"MAE")=0,"",SUMIFS(tblDaily[Remaining],tblDaily[EntryDate],DATE(2026,9,27),tblDaily[WardCode],"MAE")),"")</f>
        <v/>
      </c>
      <c r="I354" s="13" t="str">
        <f>IFERROR(IF(SUMIFS(tblDaily[Admissions],tblDaily[EntryDate],DATE(2026,9,27),tblDaily[WardCode],"FAE")=0,"",SUMIFS(tblDaily[Admissions],tblDaily[EntryDate],DATE(2026,9,27),tblDaily[WardCode],"FAE")),"")</f>
        <v/>
      </c>
      <c r="J354" s="13" t="str">
        <f>IFERROR(IF(SUMIFS(tblDaily[Discharges],tblDaily[EntryDate],DATE(2026,9,27),tblDaily[WardCode],"FAE")=0,"",SUMIFS(tblDaily[Discharges],tblDaily[EntryDate],DATE(2026,9,27),tblDaily[WardCode],"FAE")),"")</f>
        <v/>
      </c>
      <c r="K354" s="13" t="str">
        <f>IFERROR(IF(SUMIFS(tblDaily[Deaths],tblDaily[EntryDate],DATE(2026,9,27),tblDaily[WardCode],"FAE")=0,"",SUMIFS(tblDaily[Deaths],tblDaily[EntryDate],DATE(2026,9,27),tblDaily[WardCode],"FAE")),"")</f>
        <v/>
      </c>
      <c r="L354" s="13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3" t="str">
        <f>IFERROR(IF(SUMIFS(tblDaily[TransfersIn],tblDaily[EntryDate],DATE(2026,9,27),tblDaily[WardCode],"FAE")=0,"",SUMIFS(tblDaily[TransfersIn],tblDaily[EntryDate],DATE(2026,9,27),tblDaily[WardCode],"FAE")),"")</f>
        <v/>
      </c>
      <c r="N354" s="13" t="str">
        <f>IFERROR(IF(SUMIFS(tblDaily[TransfersOut],tblDaily[EntryDate],DATE(2026,9,27),tblDaily[WardCode],"FAE")=0,"",SUMIFS(tblDaily[TransfersOut],tblDaily[EntryDate],DATE(2026,9,27),tblDaily[WardCode],"FAE")),"")</f>
        <v/>
      </c>
      <c r="O354" s="13" t="str">
        <f>IFERROR(IF(SUMIFS(tblDaily[Remaining],tblDaily[EntryDate],DATE(2026,9,27),tblDaily[WardCode],"FAE")=0,"",SUMIFS(tblDaily[Remaining],tblDaily[EntryDate],DATE(2026,9,27),tblDaily[WardCode],"FAE")),"")</f>
        <v/>
      </c>
    </row>
    <row r="355" spans="1:15" x14ac:dyDescent="0.25">
      <c r="A355" s="13">
        <v>28</v>
      </c>
      <c r="B355" s="13" t="str">
        <f>IFERROR(IF(SUMIFS(tblDaily[Admissions],tblDaily[EntryDate],DATE(2026,9,28),tblDaily[WardCode],"MAE")=0,"",SUMIFS(tblDaily[Admissions],tblDaily[EntryDate],DATE(2026,9,28),tblDaily[WardCode],"MAE")),"")</f>
        <v/>
      </c>
      <c r="C355" s="13" t="str">
        <f>IFERROR(IF(SUMIFS(tblDaily[Discharges],tblDaily[EntryDate],DATE(2026,9,28),tblDaily[WardCode],"MAE")=0,"",SUMIFS(tblDaily[Discharges],tblDaily[EntryDate],DATE(2026,9,28),tblDaily[WardCode],"MAE")),"")</f>
        <v/>
      </c>
      <c r="D355" s="13" t="str">
        <f>IFERROR(IF(SUMIFS(tblDaily[Deaths],tblDaily[EntryDate],DATE(2026,9,28),tblDaily[WardCode],"MAE")=0,"",SUMIFS(tblDaily[Deaths],tblDaily[EntryDate],DATE(2026,9,28),tblDaily[WardCode],"MAE")),"")</f>
        <v/>
      </c>
      <c r="E355" s="13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3" t="str">
        <f>IFERROR(IF(SUMIFS(tblDaily[TransfersIn],tblDaily[EntryDate],DATE(2026,9,28),tblDaily[WardCode],"MAE")=0,"",SUMIFS(tblDaily[TransfersIn],tblDaily[EntryDate],DATE(2026,9,28),tblDaily[WardCode],"MAE")),"")</f>
        <v/>
      </c>
      <c r="G355" s="13" t="str">
        <f>IFERROR(IF(SUMIFS(tblDaily[TransfersOut],tblDaily[EntryDate],DATE(2026,9,28),tblDaily[WardCode],"MAE")=0,"",SUMIFS(tblDaily[TransfersOut],tblDaily[EntryDate],DATE(2026,9,28),tblDaily[WardCode],"MAE")),"")</f>
        <v/>
      </c>
      <c r="H355" s="13" t="str">
        <f>IFERROR(IF(SUMIFS(tblDaily[Remaining],tblDaily[EntryDate],DATE(2026,9,28),tblDaily[WardCode],"MAE")=0,"",SUMIFS(tblDaily[Remaining],tblDaily[EntryDate],DATE(2026,9,28),tblDaily[WardCode],"MAE")),"")</f>
        <v/>
      </c>
      <c r="I355" s="13" t="str">
        <f>IFERROR(IF(SUMIFS(tblDaily[Admissions],tblDaily[EntryDate],DATE(2026,9,28),tblDaily[WardCode],"FAE")=0,"",SUMIFS(tblDaily[Admissions],tblDaily[EntryDate],DATE(2026,9,28),tblDaily[WardCode],"FAE")),"")</f>
        <v/>
      </c>
      <c r="J355" s="13" t="str">
        <f>IFERROR(IF(SUMIFS(tblDaily[Discharges],tblDaily[EntryDate],DATE(2026,9,28),tblDaily[WardCode],"FAE")=0,"",SUMIFS(tblDaily[Discharges],tblDaily[EntryDate],DATE(2026,9,28),tblDaily[WardCode],"FAE")),"")</f>
        <v/>
      </c>
      <c r="K355" s="13" t="str">
        <f>IFERROR(IF(SUMIFS(tblDaily[Deaths],tblDaily[EntryDate],DATE(2026,9,28),tblDaily[WardCode],"FAE")=0,"",SUMIFS(tblDaily[Deaths],tblDaily[EntryDate],DATE(2026,9,28),tblDaily[WardCode],"FAE")),"")</f>
        <v/>
      </c>
      <c r="L355" s="13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3" t="str">
        <f>IFERROR(IF(SUMIFS(tblDaily[TransfersIn],tblDaily[EntryDate],DATE(2026,9,28),tblDaily[WardCode],"FAE")=0,"",SUMIFS(tblDaily[TransfersIn],tblDaily[EntryDate],DATE(2026,9,28),tblDaily[WardCode],"FAE")),"")</f>
        <v/>
      </c>
      <c r="N355" s="13" t="str">
        <f>IFERROR(IF(SUMIFS(tblDaily[TransfersOut],tblDaily[EntryDate],DATE(2026,9,28),tblDaily[WardCode],"FAE")=0,"",SUMIFS(tblDaily[TransfersOut],tblDaily[EntryDate],DATE(2026,9,28),tblDaily[WardCode],"FAE")),"")</f>
        <v/>
      </c>
      <c r="O355" s="13" t="str">
        <f>IFERROR(IF(SUMIFS(tblDaily[Remaining],tblDaily[EntryDate],DATE(2026,9,28),tblDaily[WardCode],"FAE")=0,"",SUMIFS(tblDaily[Remaining],tblDaily[EntryDate],DATE(2026,9,28),tblDaily[WardCode],"FAE")),"")</f>
        <v/>
      </c>
    </row>
    <row r="356" spans="1:15" x14ac:dyDescent="0.25">
      <c r="A356" s="13">
        <v>29</v>
      </c>
      <c r="B356" s="13" t="str">
        <f>IFERROR(IF(SUMIFS(tblDaily[Admissions],tblDaily[EntryDate],DATE(2026,9,29),tblDaily[WardCode],"MAE")=0,"",SUMIFS(tblDaily[Admissions],tblDaily[EntryDate],DATE(2026,9,29),tblDaily[WardCode],"MAE")),"")</f>
        <v/>
      </c>
      <c r="C356" s="13" t="str">
        <f>IFERROR(IF(SUMIFS(tblDaily[Discharges],tblDaily[EntryDate],DATE(2026,9,29),tblDaily[WardCode],"MAE")=0,"",SUMIFS(tblDaily[Discharges],tblDaily[EntryDate],DATE(2026,9,29),tblDaily[WardCode],"MAE")),"")</f>
        <v/>
      </c>
      <c r="D356" s="13" t="str">
        <f>IFERROR(IF(SUMIFS(tblDaily[Deaths],tblDaily[EntryDate],DATE(2026,9,29),tblDaily[WardCode],"MAE")=0,"",SUMIFS(tblDaily[Deaths],tblDaily[EntryDate],DATE(2026,9,29),tblDaily[WardCode],"MAE")),"")</f>
        <v/>
      </c>
      <c r="E356" s="13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3" t="str">
        <f>IFERROR(IF(SUMIFS(tblDaily[TransfersIn],tblDaily[EntryDate],DATE(2026,9,29),tblDaily[WardCode],"MAE")=0,"",SUMIFS(tblDaily[TransfersIn],tblDaily[EntryDate],DATE(2026,9,29),tblDaily[WardCode],"MAE")),"")</f>
        <v/>
      </c>
      <c r="G356" s="13" t="str">
        <f>IFERROR(IF(SUMIFS(tblDaily[TransfersOut],tblDaily[EntryDate],DATE(2026,9,29),tblDaily[WardCode],"MAE")=0,"",SUMIFS(tblDaily[TransfersOut],tblDaily[EntryDate],DATE(2026,9,29),tblDaily[WardCode],"MAE")),"")</f>
        <v/>
      </c>
      <c r="H356" s="13" t="str">
        <f>IFERROR(IF(SUMIFS(tblDaily[Remaining],tblDaily[EntryDate],DATE(2026,9,29),tblDaily[WardCode],"MAE")=0,"",SUMIFS(tblDaily[Remaining],tblDaily[EntryDate],DATE(2026,9,29),tblDaily[WardCode],"MAE")),"")</f>
        <v/>
      </c>
      <c r="I356" s="13" t="str">
        <f>IFERROR(IF(SUMIFS(tblDaily[Admissions],tblDaily[EntryDate],DATE(2026,9,29),tblDaily[WardCode],"FAE")=0,"",SUMIFS(tblDaily[Admissions],tblDaily[EntryDate],DATE(2026,9,29),tblDaily[WardCode],"FAE")),"")</f>
        <v/>
      </c>
      <c r="J356" s="13" t="str">
        <f>IFERROR(IF(SUMIFS(tblDaily[Discharges],tblDaily[EntryDate],DATE(2026,9,29),tblDaily[WardCode],"FAE")=0,"",SUMIFS(tblDaily[Discharges],tblDaily[EntryDate],DATE(2026,9,29),tblDaily[WardCode],"FAE")),"")</f>
        <v/>
      </c>
      <c r="K356" s="13" t="str">
        <f>IFERROR(IF(SUMIFS(tblDaily[Deaths],tblDaily[EntryDate],DATE(2026,9,29),tblDaily[WardCode],"FAE")=0,"",SUMIFS(tblDaily[Deaths],tblDaily[EntryDate],DATE(2026,9,29),tblDaily[WardCode],"FAE")),"")</f>
        <v/>
      </c>
      <c r="L356" s="13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3" t="str">
        <f>IFERROR(IF(SUMIFS(tblDaily[TransfersIn],tblDaily[EntryDate],DATE(2026,9,29),tblDaily[WardCode],"FAE")=0,"",SUMIFS(tblDaily[TransfersIn],tblDaily[EntryDate],DATE(2026,9,29),tblDaily[WardCode],"FAE")),"")</f>
        <v/>
      </c>
      <c r="N356" s="13" t="str">
        <f>IFERROR(IF(SUMIFS(tblDaily[TransfersOut],tblDaily[EntryDate],DATE(2026,9,29),tblDaily[WardCode],"FAE")=0,"",SUMIFS(tblDaily[TransfersOut],tblDaily[EntryDate],DATE(2026,9,29),tblDaily[WardCode],"FAE")),"")</f>
        <v/>
      </c>
      <c r="O356" s="13" t="str">
        <f>IFERROR(IF(SUMIFS(tblDaily[Remaining],tblDaily[EntryDate],DATE(2026,9,29),tblDaily[WardCode],"FAE")=0,"",SUMIFS(tblDaily[Remaining],tblDaily[EntryDate],DATE(2026,9,29),tblDaily[WardCode],"FAE")),"")</f>
        <v/>
      </c>
    </row>
    <row r="357" spans="1:15" x14ac:dyDescent="0.25">
      <c r="A357" s="13">
        <v>30</v>
      </c>
      <c r="B357" s="13" t="str">
        <f>IFERROR(IF(SUMIFS(tblDaily[Admissions],tblDaily[EntryDate],DATE(2026,9,30),tblDaily[WardCode],"MAE")=0,"",SUMIFS(tblDaily[Admissions],tblDaily[EntryDate],DATE(2026,9,30),tblDaily[WardCode],"MAE")),"")</f>
        <v/>
      </c>
      <c r="C357" s="13" t="str">
        <f>IFERROR(IF(SUMIFS(tblDaily[Discharges],tblDaily[EntryDate],DATE(2026,9,30),tblDaily[WardCode],"MAE")=0,"",SUMIFS(tblDaily[Discharges],tblDaily[EntryDate],DATE(2026,9,30),tblDaily[WardCode],"MAE")),"")</f>
        <v/>
      </c>
      <c r="D357" s="13" t="str">
        <f>IFERROR(IF(SUMIFS(tblDaily[Deaths],tblDaily[EntryDate],DATE(2026,9,30),tblDaily[WardCode],"MAE")=0,"",SUMIFS(tblDaily[Deaths],tblDaily[EntryDate],DATE(2026,9,30),tblDaily[WardCode],"MAE")),"")</f>
        <v/>
      </c>
      <c r="E357" s="13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3" t="str">
        <f>IFERROR(IF(SUMIFS(tblDaily[TransfersIn],tblDaily[EntryDate],DATE(2026,9,30),tblDaily[WardCode],"MAE")=0,"",SUMIFS(tblDaily[TransfersIn],tblDaily[EntryDate],DATE(2026,9,30),tblDaily[WardCode],"MAE")),"")</f>
        <v/>
      </c>
      <c r="G357" s="13" t="str">
        <f>IFERROR(IF(SUMIFS(tblDaily[TransfersOut],tblDaily[EntryDate],DATE(2026,9,30),tblDaily[WardCode],"MAE")=0,"",SUMIFS(tblDaily[TransfersOut],tblDaily[EntryDate],DATE(2026,9,30),tblDaily[WardCode],"MAE")),"")</f>
        <v/>
      </c>
      <c r="H357" s="13" t="str">
        <f>IFERROR(IF(SUMIFS(tblDaily[Remaining],tblDaily[EntryDate],DATE(2026,9,30),tblDaily[WardCode],"MAE")=0,"",SUMIFS(tblDaily[Remaining],tblDaily[EntryDate],DATE(2026,9,30),tblDaily[WardCode],"MAE")),"")</f>
        <v/>
      </c>
      <c r="I357" s="13" t="str">
        <f>IFERROR(IF(SUMIFS(tblDaily[Admissions],tblDaily[EntryDate],DATE(2026,9,30),tblDaily[WardCode],"FAE")=0,"",SUMIFS(tblDaily[Admissions],tblDaily[EntryDate],DATE(2026,9,30),tblDaily[WardCode],"FAE")),"")</f>
        <v/>
      </c>
      <c r="J357" s="13" t="str">
        <f>IFERROR(IF(SUMIFS(tblDaily[Discharges],tblDaily[EntryDate],DATE(2026,9,30),tblDaily[WardCode],"FAE")=0,"",SUMIFS(tblDaily[Discharges],tblDaily[EntryDate],DATE(2026,9,30),tblDaily[WardCode],"FAE")),"")</f>
        <v/>
      </c>
      <c r="K357" s="13" t="str">
        <f>IFERROR(IF(SUMIFS(tblDaily[Deaths],tblDaily[EntryDate],DATE(2026,9,30),tblDaily[WardCode],"FAE")=0,"",SUMIFS(tblDaily[Deaths],tblDaily[EntryDate],DATE(2026,9,30),tblDaily[WardCode],"FAE")),"")</f>
        <v/>
      </c>
      <c r="L357" s="13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3" t="str">
        <f>IFERROR(IF(SUMIFS(tblDaily[TransfersIn],tblDaily[EntryDate],DATE(2026,9,30),tblDaily[WardCode],"FAE")=0,"",SUMIFS(tblDaily[TransfersIn],tblDaily[EntryDate],DATE(2026,9,30),tblDaily[WardCode],"FAE")),"")</f>
        <v/>
      </c>
      <c r="N357" s="13" t="str">
        <f>IFERROR(IF(SUMIFS(tblDaily[TransfersOut],tblDaily[EntryDate],DATE(2026,9,30),tblDaily[WardCode],"FAE")=0,"",SUMIFS(tblDaily[TransfersOut],tblDaily[EntryDate],DATE(2026,9,30),tblDaily[WardCode],"FAE")),"")</f>
        <v/>
      </c>
      <c r="O357" s="13" t="str">
        <f>IFERROR(IF(SUMIFS(tblDaily[Remaining],tblDaily[EntryDate],DATE(2026,9,30),tblDaily[WardCode],"FAE")=0,"",SUMIFS(tblDaily[Remaining],tblDaily[EntryDate],DATE(2026,9,30),tblDaily[WardCode],"FAE")),"")</f>
        <v/>
      </c>
    </row>
    <row r="358" spans="1:15" x14ac:dyDescent="0.25">
      <c r="A358" s="13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1:15" x14ac:dyDescent="0.25">
      <c r="A359" s="9" t="s">
        <v>110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</row>
    <row r="361" spans="1:15" ht="18.75" x14ac:dyDescent="0.25">
      <c r="A361" s="36" t="s">
        <v>0</v>
      </c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</row>
    <row r="362" spans="1:15" ht="15.75" x14ac:dyDescent="0.25">
      <c r="A362" s="34" t="s">
        <v>99</v>
      </c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</row>
    <row r="363" spans="1:15" x14ac:dyDescent="0.25">
      <c r="A363" s="1" t="s">
        <v>4</v>
      </c>
      <c r="B363" s="2" t="s">
        <v>2</v>
      </c>
      <c r="E363" s="1" t="s">
        <v>100</v>
      </c>
      <c r="F363" s="1" t="s">
        <v>119</v>
      </c>
      <c r="M363" s="1" t="s">
        <v>102</v>
      </c>
      <c r="N363" s="1" t="s">
        <v>67</v>
      </c>
    </row>
    <row r="364" spans="1:15" x14ac:dyDescent="0.25">
      <c r="A364" s="1" t="s">
        <v>103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5" x14ac:dyDescent="0.25">
      <c r="A365" s="1" t="s">
        <v>104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5" x14ac:dyDescent="0.25">
      <c r="A366" s="3" t="s">
        <v>120</v>
      </c>
      <c r="B366" s="35" t="s">
        <v>117</v>
      </c>
      <c r="C366" s="26"/>
      <c r="D366" s="26"/>
      <c r="E366" s="26"/>
      <c r="F366" s="26"/>
      <c r="G366" s="26"/>
      <c r="H366" s="26"/>
      <c r="I366" s="37" t="s">
        <v>118</v>
      </c>
      <c r="J366" s="26"/>
      <c r="K366" s="26"/>
      <c r="L366" s="26"/>
      <c r="M366" s="26"/>
      <c r="N366" s="26"/>
      <c r="O366" s="26"/>
    </row>
    <row r="367" spans="1:15" x14ac:dyDescent="0.25">
      <c r="A367" s="3" t="s">
        <v>120</v>
      </c>
      <c r="B367" s="3" t="s">
        <v>121</v>
      </c>
      <c r="C367" s="3" t="s">
        <v>122</v>
      </c>
      <c r="D367" s="3" t="s">
        <v>123</v>
      </c>
      <c r="E367" s="3" t="s">
        <v>124</v>
      </c>
      <c r="F367" s="3" t="s">
        <v>125</v>
      </c>
      <c r="G367" s="3" t="s">
        <v>126</v>
      </c>
      <c r="H367" s="3" t="s">
        <v>127</v>
      </c>
      <c r="I367" s="3" t="s">
        <v>121</v>
      </c>
      <c r="J367" s="3" t="s">
        <v>122</v>
      </c>
      <c r="K367" s="3" t="s">
        <v>123</v>
      </c>
      <c r="L367" s="3" t="s">
        <v>124</v>
      </c>
      <c r="M367" s="3" t="s">
        <v>125</v>
      </c>
      <c r="N367" s="3" t="s">
        <v>126</v>
      </c>
      <c r="O367" s="3" t="s">
        <v>127</v>
      </c>
    </row>
    <row r="368" spans="1:15" x14ac:dyDescent="0.25">
      <c r="A368" s="13">
        <v>1</v>
      </c>
      <c r="B368" s="13" t="str">
        <f>IFERROR(IF(SUMIFS(tblDaily[Admissions],tblDaily[EntryDate],DATE(2026,10,1),tblDaily[WardCode],"MAE")=0,"",SUMIFS(tblDaily[Admissions],tblDaily[EntryDate],DATE(2026,10,1),tblDaily[WardCode],"MAE")),"")</f>
        <v/>
      </c>
      <c r="C368" s="13" t="str">
        <f>IFERROR(IF(SUMIFS(tblDaily[Discharges],tblDaily[EntryDate],DATE(2026,10,1),tblDaily[WardCode],"MAE")=0,"",SUMIFS(tblDaily[Discharges],tblDaily[EntryDate],DATE(2026,10,1),tblDaily[WardCode],"MAE")),"")</f>
        <v/>
      </c>
      <c r="D368" s="13" t="str">
        <f>IFERROR(IF(SUMIFS(tblDaily[Deaths],tblDaily[EntryDate],DATE(2026,10,1),tblDaily[WardCode],"MAE")=0,"",SUMIFS(tblDaily[Deaths],tblDaily[EntryDate],DATE(2026,10,1),tblDaily[WardCode],"MAE")),"")</f>
        <v/>
      </c>
      <c r="E368" s="13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3" t="str">
        <f>IFERROR(IF(SUMIFS(tblDaily[TransfersIn],tblDaily[EntryDate],DATE(2026,10,1),tblDaily[WardCode],"MAE")=0,"",SUMIFS(tblDaily[TransfersIn],tblDaily[EntryDate],DATE(2026,10,1),tblDaily[WardCode],"MAE")),"")</f>
        <v/>
      </c>
      <c r="G368" s="13" t="str">
        <f>IFERROR(IF(SUMIFS(tblDaily[TransfersOut],tblDaily[EntryDate],DATE(2026,10,1),tblDaily[WardCode],"MAE")=0,"",SUMIFS(tblDaily[TransfersOut],tblDaily[EntryDate],DATE(2026,10,1),tblDaily[WardCode],"MAE")),"")</f>
        <v/>
      </c>
      <c r="H368" s="13" t="str">
        <f>IFERROR(IF(SUMIFS(tblDaily[Remaining],tblDaily[EntryDate],DATE(2026,10,1),tblDaily[WardCode],"MAE")=0,"",SUMIFS(tblDaily[Remaining],tblDaily[EntryDate],DATE(2026,10,1),tblDaily[WardCode],"MAE")),"")</f>
        <v/>
      </c>
      <c r="I368" s="13" t="str">
        <f>IFERROR(IF(SUMIFS(tblDaily[Admissions],tblDaily[EntryDate],DATE(2026,10,1),tblDaily[WardCode],"FAE")=0,"",SUMIFS(tblDaily[Admissions],tblDaily[EntryDate],DATE(2026,10,1),tblDaily[WardCode],"FAE")),"")</f>
        <v/>
      </c>
      <c r="J368" s="13" t="str">
        <f>IFERROR(IF(SUMIFS(tblDaily[Discharges],tblDaily[EntryDate],DATE(2026,10,1),tblDaily[WardCode],"FAE")=0,"",SUMIFS(tblDaily[Discharges],tblDaily[EntryDate],DATE(2026,10,1),tblDaily[WardCode],"FAE")),"")</f>
        <v/>
      </c>
      <c r="K368" s="13" t="str">
        <f>IFERROR(IF(SUMIFS(tblDaily[Deaths],tblDaily[EntryDate],DATE(2026,10,1),tblDaily[WardCode],"FAE")=0,"",SUMIFS(tblDaily[Deaths],tblDaily[EntryDate],DATE(2026,10,1),tblDaily[WardCode],"FAE")),"")</f>
        <v/>
      </c>
      <c r="L368" s="13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3" t="str">
        <f>IFERROR(IF(SUMIFS(tblDaily[TransfersIn],tblDaily[EntryDate],DATE(2026,10,1),tblDaily[WardCode],"FAE")=0,"",SUMIFS(tblDaily[TransfersIn],tblDaily[EntryDate],DATE(2026,10,1),tblDaily[WardCode],"FAE")),"")</f>
        <v/>
      </c>
      <c r="N368" s="13" t="str">
        <f>IFERROR(IF(SUMIFS(tblDaily[TransfersOut],tblDaily[EntryDate],DATE(2026,10,1),tblDaily[WardCode],"FAE")=0,"",SUMIFS(tblDaily[TransfersOut],tblDaily[EntryDate],DATE(2026,10,1),tblDaily[WardCode],"FAE")),"")</f>
        <v/>
      </c>
      <c r="O368" s="13" t="str">
        <f>IFERROR(IF(SUMIFS(tblDaily[Remaining],tblDaily[EntryDate],DATE(2026,10,1),tblDaily[WardCode],"FAE")=0,"",SUMIFS(tblDaily[Remaining],tblDaily[EntryDate],DATE(2026,10,1),tblDaily[WardCode],"FAE")),"")</f>
        <v/>
      </c>
    </row>
    <row r="369" spans="1:15" x14ac:dyDescent="0.25">
      <c r="A369" s="13">
        <v>2</v>
      </c>
      <c r="B369" s="13" t="str">
        <f>IFERROR(IF(SUMIFS(tblDaily[Admissions],tblDaily[EntryDate],DATE(2026,10,2),tblDaily[WardCode],"MAE")=0,"",SUMIFS(tblDaily[Admissions],tblDaily[EntryDate],DATE(2026,10,2),tblDaily[WardCode],"MAE")),"")</f>
        <v/>
      </c>
      <c r="C369" s="13" t="str">
        <f>IFERROR(IF(SUMIFS(tblDaily[Discharges],tblDaily[EntryDate],DATE(2026,10,2),tblDaily[WardCode],"MAE")=0,"",SUMIFS(tblDaily[Discharges],tblDaily[EntryDate],DATE(2026,10,2),tblDaily[WardCode],"MAE")),"")</f>
        <v/>
      </c>
      <c r="D369" s="13" t="str">
        <f>IFERROR(IF(SUMIFS(tblDaily[Deaths],tblDaily[EntryDate],DATE(2026,10,2),tblDaily[WardCode],"MAE")=0,"",SUMIFS(tblDaily[Deaths],tblDaily[EntryDate],DATE(2026,10,2),tblDaily[WardCode],"MAE")),"")</f>
        <v/>
      </c>
      <c r="E369" s="13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3" t="str">
        <f>IFERROR(IF(SUMIFS(tblDaily[TransfersIn],tblDaily[EntryDate],DATE(2026,10,2),tblDaily[WardCode],"MAE")=0,"",SUMIFS(tblDaily[TransfersIn],tblDaily[EntryDate],DATE(2026,10,2),tblDaily[WardCode],"MAE")),"")</f>
        <v/>
      </c>
      <c r="G369" s="13" t="str">
        <f>IFERROR(IF(SUMIFS(tblDaily[TransfersOut],tblDaily[EntryDate],DATE(2026,10,2),tblDaily[WardCode],"MAE")=0,"",SUMIFS(tblDaily[TransfersOut],tblDaily[EntryDate],DATE(2026,10,2),tblDaily[WardCode],"MAE")),"")</f>
        <v/>
      </c>
      <c r="H369" s="13" t="str">
        <f>IFERROR(IF(SUMIFS(tblDaily[Remaining],tblDaily[EntryDate],DATE(2026,10,2),tblDaily[WardCode],"MAE")=0,"",SUMIFS(tblDaily[Remaining],tblDaily[EntryDate],DATE(2026,10,2),tblDaily[WardCode],"MAE")),"")</f>
        <v/>
      </c>
      <c r="I369" s="13" t="str">
        <f>IFERROR(IF(SUMIFS(tblDaily[Admissions],tblDaily[EntryDate],DATE(2026,10,2),tblDaily[WardCode],"FAE")=0,"",SUMIFS(tblDaily[Admissions],tblDaily[EntryDate],DATE(2026,10,2),tblDaily[WardCode],"FAE")),"")</f>
        <v/>
      </c>
      <c r="J369" s="13" t="str">
        <f>IFERROR(IF(SUMIFS(tblDaily[Discharges],tblDaily[EntryDate],DATE(2026,10,2),tblDaily[WardCode],"FAE")=0,"",SUMIFS(tblDaily[Discharges],tblDaily[EntryDate],DATE(2026,10,2),tblDaily[WardCode],"FAE")),"")</f>
        <v/>
      </c>
      <c r="K369" s="13" t="str">
        <f>IFERROR(IF(SUMIFS(tblDaily[Deaths],tblDaily[EntryDate],DATE(2026,10,2),tblDaily[WardCode],"FAE")=0,"",SUMIFS(tblDaily[Deaths],tblDaily[EntryDate],DATE(2026,10,2),tblDaily[WardCode],"FAE")),"")</f>
        <v/>
      </c>
      <c r="L369" s="13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3" t="str">
        <f>IFERROR(IF(SUMIFS(tblDaily[TransfersIn],tblDaily[EntryDate],DATE(2026,10,2),tblDaily[WardCode],"FAE")=0,"",SUMIFS(tblDaily[TransfersIn],tblDaily[EntryDate],DATE(2026,10,2),tblDaily[WardCode],"FAE")),"")</f>
        <v/>
      </c>
      <c r="N369" s="13" t="str">
        <f>IFERROR(IF(SUMIFS(tblDaily[TransfersOut],tblDaily[EntryDate],DATE(2026,10,2),tblDaily[WardCode],"FAE")=0,"",SUMIFS(tblDaily[TransfersOut],tblDaily[EntryDate],DATE(2026,10,2),tblDaily[WardCode],"FAE")),"")</f>
        <v/>
      </c>
      <c r="O369" s="13" t="str">
        <f>IFERROR(IF(SUMIFS(tblDaily[Remaining],tblDaily[EntryDate],DATE(2026,10,2),tblDaily[WardCode],"FAE")=0,"",SUMIFS(tblDaily[Remaining],tblDaily[EntryDate],DATE(2026,10,2),tblDaily[WardCode],"FAE")),"")</f>
        <v/>
      </c>
    </row>
    <row r="370" spans="1:15" x14ac:dyDescent="0.25">
      <c r="A370" s="13">
        <v>3</v>
      </c>
      <c r="B370" s="13" t="str">
        <f>IFERROR(IF(SUMIFS(tblDaily[Admissions],tblDaily[EntryDate],DATE(2026,10,3),tblDaily[WardCode],"MAE")=0,"",SUMIFS(tblDaily[Admissions],tblDaily[EntryDate],DATE(2026,10,3),tblDaily[WardCode],"MAE")),"")</f>
        <v/>
      </c>
      <c r="C370" s="13" t="str">
        <f>IFERROR(IF(SUMIFS(tblDaily[Discharges],tblDaily[EntryDate],DATE(2026,10,3),tblDaily[WardCode],"MAE")=0,"",SUMIFS(tblDaily[Discharges],tblDaily[EntryDate],DATE(2026,10,3),tblDaily[WardCode],"MAE")),"")</f>
        <v/>
      </c>
      <c r="D370" s="13" t="str">
        <f>IFERROR(IF(SUMIFS(tblDaily[Deaths],tblDaily[EntryDate],DATE(2026,10,3),tblDaily[WardCode],"MAE")=0,"",SUMIFS(tblDaily[Deaths],tblDaily[EntryDate],DATE(2026,10,3),tblDaily[WardCode],"MAE")),"")</f>
        <v/>
      </c>
      <c r="E370" s="13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3" t="str">
        <f>IFERROR(IF(SUMIFS(tblDaily[TransfersIn],tblDaily[EntryDate],DATE(2026,10,3),tblDaily[WardCode],"MAE")=0,"",SUMIFS(tblDaily[TransfersIn],tblDaily[EntryDate],DATE(2026,10,3),tblDaily[WardCode],"MAE")),"")</f>
        <v/>
      </c>
      <c r="G370" s="13" t="str">
        <f>IFERROR(IF(SUMIFS(tblDaily[TransfersOut],tblDaily[EntryDate],DATE(2026,10,3),tblDaily[WardCode],"MAE")=0,"",SUMIFS(tblDaily[TransfersOut],tblDaily[EntryDate],DATE(2026,10,3),tblDaily[WardCode],"MAE")),"")</f>
        <v/>
      </c>
      <c r="H370" s="13" t="str">
        <f>IFERROR(IF(SUMIFS(tblDaily[Remaining],tblDaily[EntryDate],DATE(2026,10,3),tblDaily[WardCode],"MAE")=0,"",SUMIFS(tblDaily[Remaining],tblDaily[EntryDate],DATE(2026,10,3),tblDaily[WardCode],"MAE")),"")</f>
        <v/>
      </c>
      <c r="I370" s="13" t="str">
        <f>IFERROR(IF(SUMIFS(tblDaily[Admissions],tblDaily[EntryDate],DATE(2026,10,3),tblDaily[WardCode],"FAE")=0,"",SUMIFS(tblDaily[Admissions],tblDaily[EntryDate],DATE(2026,10,3),tblDaily[WardCode],"FAE")),"")</f>
        <v/>
      </c>
      <c r="J370" s="13" t="str">
        <f>IFERROR(IF(SUMIFS(tblDaily[Discharges],tblDaily[EntryDate],DATE(2026,10,3),tblDaily[WardCode],"FAE")=0,"",SUMIFS(tblDaily[Discharges],tblDaily[EntryDate],DATE(2026,10,3),tblDaily[WardCode],"FAE")),"")</f>
        <v/>
      </c>
      <c r="K370" s="13" t="str">
        <f>IFERROR(IF(SUMIFS(tblDaily[Deaths],tblDaily[EntryDate],DATE(2026,10,3),tblDaily[WardCode],"FAE")=0,"",SUMIFS(tblDaily[Deaths],tblDaily[EntryDate],DATE(2026,10,3),tblDaily[WardCode],"FAE")),"")</f>
        <v/>
      </c>
      <c r="L370" s="13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3" t="str">
        <f>IFERROR(IF(SUMIFS(tblDaily[TransfersIn],tblDaily[EntryDate],DATE(2026,10,3),tblDaily[WardCode],"FAE")=0,"",SUMIFS(tblDaily[TransfersIn],tblDaily[EntryDate],DATE(2026,10,3),tblDaily[WardCode],"FAE")),"")</f>
        <v/>
      </c>
      <c r="N370" s="13" t="str">
        <f>IFERROR(IF(SUMIFS(tblDaily[TransfersOut],tblDaily[EntryDate],DATE(2026,10,3),tblDaily[WardCode],"FAE")=0,"",SUMIFS(tblDaily[TransfersOut],tblDaily[EntryDate],DATE(2026,10,3),tblDaily[WardCode],"FAE")),"")</f>
        <v/>
      </c>
      <c r="O370" s="13" t="str">
        <f>IFERROR(IF(SUMIFS(tblDaily[Remaining],tblDaily[EntryDate],DATE(2026,10,3),tblDaily[WardCode],"FAE")=0,"",SUMIFS(tblDaily[Remaining],tblDaily[EntryDate],DATE(2026,10,3),tblDaily[WardCode],"FAE")),"")</f>
        <v/>
      </c>
    </row>
    <row r="371" spans="1:15" x14ac:dyDescent="0.25">
      <c r="A371" s="13">
        <v>4</v>
      </c>
      <c r="B371" s="13" t="str">
        <f>IFERROR(IF(SUMIFS(tblDaily[Admissions],tblDaily[EntryDate],DATE(2026,10,4),tblDaily[WardCode],"MAE")=0,"",SUMIFS(tblDaily[Admissions],tblDaily[EntryDate],DATE(2026,10,4),tblDaily[WardCode],"MAE")),"")</f>
        <v/>
      </c>
      <c r="C371" s="13" t="str">
        <f>IFERROR(IF(SUMIFS(tblDaily[Discharges],tblDaily[EntryDate],DATE(2026,10,4),tblDaily[WardCode],"MAE")=0,"",SUMIFS(tblDaily[Discharges],tblDaily[EntryDate],DATE(2026,10,4),tblDaily[WardCode],"MAE")),"")</f>
        <v/>
      </c>
      <c r="D371" s="13" t="str">
        <f>IFERROR(IF(SUMIFS(tblDaily[Deaths],tblDaily[EntryDate],DATE(2026,10,4),tblDaily[WardCode],"MAE")=0,"",SUMIFS(tblDaily[Deaths],tblDaily[EntryDate],DATE(2026,10,4),tblDaily[WardCode],"MAE")),"")</f>
        <v/>
      </c>
      <c r="E371" s="13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3" t="str">
        <f>IFERROR(IF(SUMIFS(tblDaily[TransfersIn],tblDaily[EntryDate],DATE(2026,10,4),tblDaily[WardCode],"MAE")=0,"",SUMIFS(tblDaily[TransfersIn],tblDaily[EntryDate],DATE(2026,10,4),tblDaily[WardCode],"MAE")),"")</f>
        <v/>
      </c>
      <c r="G371" s="13" t="str">
        <f>IFERROR(IF(SUMIFS(tblDaily[TransfersOut],tblDaily[EntryDate],DATE(2026,10,4),tblDaily[WardCode],"MAE")=0,"",SUMIFS(tblDaily[TransfersOut],tblDaily[EntryDate],DATE(2026,10,4),tblDaily[WardCode],"MAE")),"")</f>
        <v/>
      </c>
      <c r="H371" s="13" t="str">
        <f>IFERROR(IF(SUMIFS(tblDaily[Remaining],tblDaily[EntryDate],DATE(2026,10,4),tblDaily[WardCode],"MAE")=0,"",SUMIFS(tblDaily[Remaining],tblDaily[EntryDate],DATE(2026,10,4),tblDaily[WardCode],"MAE")),"")</f>
        <v/>
      </c>
      <c r="I371" s="13" t="str">
        <f>IFERROR(IF(SUMIFS(tblDaily[Admissions],tblDaily[EntryDate],DATE(2026,10,4),tblDaily[WardCode],"FAE")=0,"",SUMIFS(tblDaily[Admissions],tblDaily[EntryDate],DATE(2026,10,4),tblDaily[WardCode],"FAE")),"")</f>
        <v/>
      </c>
      <c r="J371" s="13" t="str">
        <f>IFERROR(IF(SUMIFS(tblDaily[Discharges],tblDaily[EntryDate],DATE(2026,10,4),tblDaily[WardCode],"FAE")=0,"",SUMIFS(tblDaily[Discharges],tblDaily[EntryDate],DATE(2026,10,4),tblDaily[WardCode],"FAE")),"")</f>
        <v/>
      </c>
      <c r="K371" s="13" t="str">
        <f>IFERROR(IF(SUMIFS(tblDaily[Deaths],tblDaily[EntryDate],DATE(2026,10,4),tblDaily[WardCode],"FAE")=0,"",SUMIFS(tblDaily[Deaths],tblDaily[EntryDate],DATE(2026,10,4),tblDaily[WardCode],"FAE")),"")</f>
        <v/>
      </c>
      <c r="L371" s="13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3" t="str">
        <f>IFERROR(IF(SUMIFS(tblDaily[TransfersIn],tblDaily[EntryDate],DATE(2026,10,4),tblDaily[WardCode],"FAE")=0,"",SUMIFS(tblDaily[TransfersIn],tblDaily[EntryDate],DATE(2026,10,4),tblDaily[WardCode],"FAE")),"")</f>
        <v/>
      </c>
      <c r="N371" s="13" t="str">
        <f>IFERROR(IF(SUMIFS(tblDaily[TransfersOut],tblDaily[EntryDate],DATE(2026,10,4),tblDaily[WardCode],"FAE")=0,"",SUMIFS(tblDaily[TransfersOut],tblDaily[EntryDate],DATE(2026,10,4),tblDaily[WardCode],"FAE")),"")</f>
        <v/>
      </c>
      <c r="O371" s="13" t="str">
        <f>IFERROR(IF(SUMIFS(tblDaily[Remaining],tblDaily[EntryDate],DATE(2026,10,4),tblDaily[WardCode],"FAE")=0,"",SUMIFS(tblDaily[Remaining],tblDaily[EntryDate],DATE(2026,10,4),tblDaily[WardCode],"FAE")),"")</f>
        <v/>
      </c>
    </row>
    <row r="372" spans="1:15" x14ac:dyDescent="0.25">
      <c r="A372" s="13">
        <v>5</v>
      </c>
      <c r="B372" s="13" t="str">
        <f>IFERROR(IF(SUMIFS(tblDaily[Admissions],tblDaily[EntryDate],DATE(2026,10,5),tblDaily[WardCode],"MAE")=0,"",SUMIFS(tblDaily[Admissions],tblDaily[EntryDate],DATE(2026,10,5),tblDaily[WardCode],"MAE")),"")</f>
        <v/>
      </c>
      <c r="C372" s="13" t="str">
        <f>IFERROR(IF(SUMIFS(tblDaily[Discharges],tblDaily[EntryDate],DATE(2026,10,5),tblDaily[WardCode],"MAE")=0,"",SUMIFS(tblDaily[Discharges],tblDaily[EntryDate],DATE(2026,10,5),tblDaily[WardCode],"MAE")),"")</f>
        <v/>
      </c>
      <c r="D372" s="13" t="str">
        <f>IFERROR(IF(SUMIFS(tblDaily[Deaths],tblDaily[EntryDate],DATE(2026,10,5),tblDaily[WardCode],"MAE")=0,"",SUMIFS(tblDaily[Deaths],tblDaily[EntryDate],DATE(2026,10,5),tblDaily[WardCode],"MAE")),"")</f>
        <v/>
      </c>
      <c r="E372" s="13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3" t="str">
        <f>IFERROR(IF(SUMIFS(tblDaily[TransfersIn],tblDaily[EntryDate],DATE(2026,10,5),tblDaily[WardCode],"MAE")=0,"",SUMIFS(tblDaily[TransfersIn],tblDaily[EntryDate],DATE(2026,10,5),tblDaily[WardCode],"MAE")),"")</f>
        <v/>
      </c>
      <c r="G372" s="13" t="str">
        <f>IFERROR(IF(SUMIFS(tblDaily[TransfersOut],tblDaily[EntryDate],DATE(2026,10,5),tblDaily[WardCode],"MAE")=0,"",SUMIFS(tblDaily[TransfersOut],tblDaily[EntryDate],DATE(2026,10,5),tblDaily[WardCode],"MAE")),"")</f>
        <v/>
      </c>
      <c r="H372" s="13" t="str">
        <f>IFERROR(IF(SUMIFS(tblDaily[Remaining],tblDaily[EntryDate],DATE(2026,10,5),tblDaily[WardCode],"MAE")=0,"",SUMIFS(tblDaily[Remaining],tblDaily[EntryDate],DATE(2026,10,5),tblDaily[WardCode],"MAE")),"")</f>
        <v/>
      </c>
      <c r="I372" s="13" t="str">
        <f>IFERROR(IF(SUMIFS(tblDaily[Admissions],tblDaily[EntryDate],DATE(2026,10,5),tblDaily[WardCode],"FAE")=0,"",SUMIFS(tblDaily[Admissions],tblDaily[EntryDate],DATE(2026,10,5),tblDaily[WardCode],"FAE")),"")</f>
        <v/>
      </c>
      <c r="J372" s="13" t="str">
        <f>IFERROR(IF(SUMIFS(tblDaily[Discharges],tblDaily[EntryDate],DATE(2026,10,5),tblDaily[WardCode],"FAE")=0,"",SUMIFS(tblDaily[Discharges],tblDaily[EntryDate],DATE(2026,10,5),tblDaily[WardCode],"FAE")),"")</f>
        <v/>
      </c>
      <c r="K372" s="13" t="str">
        <f>IFERROR(IF(SUMIFS(tblDaily[Deaths],tblDaily[EntryDate],DATE(2026,10,5),tblDaily[WardCode],"FAE")=0,"",SUMIFS(tblDaily[Deaths],tblDaily[EntryDate],DATE(2026,10,5),tblDaily[WardCode],"FAE")),"")</f>
        <v/>
      </c>
      <c r="L372" s="13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3" t="str">
        <f>IFERROR(IF(SUMIFS(tblDaily[TransfersIn],tblDaily[EntryDate],DATE(2026,10,5),tblDaily[WardCode],"FAE")=0,"",SUMIFS(tblDaily[TransfersIn],tblDaily[EntryDate],DATE(2026,10,5),tblDaily[WardCode],"FAE")),"")</f>
        <v/>
      </c>
      <c r="N372" s="13" t="str">
        <f>IFERROR(IF(SUMIFS(tblDaily[TransfersOut],tblDaily[EntryDate],DATE(2026,10,5),tblDaily[WardCode],"FAE")=0,"",SUMIFS(tblDaily[TransfersOut],tblDaily[EntryDate],DATE(2026,10,5),tblDaily[WardCode],"FAE")),"")</f>
        <v/>
      </c>
      <c r="O372" s="13" t="str">
        <f>IFERROR(IF(SUMIFS(tblDaily[Remaining],tblDaily[EntryDate],DATE(2026,10,5),tblDaily[WardCode],"FAE")=0,"",SUMIFS(tblDaily[Remaining],tblDaily[EntryDate],DATE(2026,10,5),tblDaily[WardCode],"FAE")),"")</f>
        <v/>
      </c>
    </row>
    <row r="373" spans="1:15" x14ac:dyDescent="0.25">
      <c r="A373" s="13">
        <v>6</v>
      </c>
      <c r="B373" s="13" t="str">
        <f>IFERROR(IF(SUMIFS(tblDaily[Admissions],tblDaily[EntryDate],DATE(2026,10,6),tblDaily[WardCode],"MAE")=0,"",SUMIFS(tblDaily[Admissions],tblDaily[EntryDate],DATE(2026,10,6),tblDaily[WardCode],"MAE")),"")</f>
        <v/>
      </c>
      <c r="C373" s="13" t="str">
        <f>IFERROR(IF(SUMIFS(tblDaily[Discharges],tblDaily[EntryDate],DATE(2026,10,6),tblDaily[WardCode],"MAE")=0,"",SUMIFS(tblDaily[Discharges],tblDaily[EntryDate],DATE(2026,10,6),tblDaily[WardCode],"MAE")),"")</f>
        <v/>
      </c>
      <c r="D373" s="13" t="str">
        <f>IFERROR(IF(SUMIFS(tblDaily[Deaths],tblDaily[EntryDate],DATE(2026,10,6),tblDaily[WardCode],"MAE")=0,"",SUMIFS(tblDaily[Deaths],tblDaily[EntryDate],DATE(2026,10,6),tblDaily[WardCode],"MAE")),"")</f>
        <v/>
      </c>
      <c r="E373" s="13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3" t="str">
        <f>IFERROR(IF(SUMIFS(tblDaily[TransfersIn],tblDaily[EntryDate],DATE(2026,10,6),tblDaily[WardCode],"MAE")=0,"",SUMIFS(tblDaily[TransfersIn],tblDaily[EntryDate],DATE(2026,10,6),tblDaily[WardCode],"MAE")),"")</f>
        <v/>
      </c>
      <c r="G373" s="13" t="str">
        <f>IFERROR(IF(SUMIFS(tblDaily[TransfersOut],tblDaily[EntryDate],DATE(2026,10,6),tblDaily[WardCode],"MAE")=0,"",SUMIFS(tblDaily[TransfersOut],tblDaily[EntryDate],DATE(2026,10,6),tblDaily[WardCode],"MAE")),"")</f>
        <v/>
      </c>
      <c r="H373" s="13" t="str">
        <f>IFERROR(IF(SUMIFS(tblDaily[Remaining],tblDaily[EntryDate],DATE(2026,10,6),tblDaily[WardCode],"MAE")=0,"",SUMIFS(tblDaily[Remaining],tblDaily[EntryDate],DATE(2026,10,6),tblDaily[WardCode],"MAE")),"")</f>
        <v/>
      </c>
      <c r="I373" s="13" t="str">
        <f>IFERROR(IF(SUMIFS(tblDaily[Admissions],tblDaily[EntryDate],DATE(2026,10,6),tblDaily[WardCode],"FAE")=0,"",SUMIFS(tblDaily[Admissions],tblDaily[EntryDate],DATE(2026,10,6),tblDaily[WardCode],"FAE")),"")</f>
        <v/>
      </c>
      <c r="J373" s="13" t="str">
        <f>IFERROR(IF(SUMIFS(tblDaily[Discharges],tblDaily[EntryDate],DATE(2026,10,6),tblDaily[WardCode],"FAE")=0,"",SUMIFS(tblDaily[Discharges],tblDaily[EntryDate],DATE(2026,10,6),tblDaily[WardCode],"FAE")),"")</f>
        <v/>
      </c>
      <c r="K373" s="13" t="str">
        <f>IFERROR(IF(SUMIFS(tblDaily[Deaths],tblDaily[EntryDate],DATE(2026,10,6),tblDaily[WardCode],"FAE")=0,"",SUMIFS(tblDaily[Deaths],tblDaily[EntryDate],DATE(2026,10,6),tblDaily[WardCode],"FAE")),"")</f>
        <v/>
      </c>
      <c r="L373" s="13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3" t="str">
        <f>IFERROR(IF(SUMIFS(tblDaily[TransfersIn],tblDaily[EntryDate],DATE(2026,10,6),tblDaily[WardCode],"FAE")=0,"",SUMIFS(tblDaily[TransfersIn],tblDaily[EntryDate],DATE(2026,10,6),tblDaily[WardCode],"FAE")),"")</f>
        <v/>
      </c>
      <c r="N373" s="13" t="str">
        <f>IFERROR(IF(SUMIFS(tblDaily[TransfersOut],tblDaily[EntryDate],DATE(2026,10,6),tblDaily[WardCode],"FAE")=0,"",SUMIFS(tblDaily[TransfersOut],tblDaily[EntryDate],DATE(2026,10,6),tblDaily[WardCode],"FAE")),"")</f>
        <v/>
      </c>
      <c r="O373" s="13" t="str">
        <f>IFERROR(IF(SUMIFS(tblDaily[Remaining],tblDaily[EntryDate],DATE(2026,10,6),tblDaily[WardCode],"FAE")=0,"",SUMIFS(tblDaily[Remaining],tblDaily[EntryDate],DATE(2026,10,6),tblDaily[WardCode],"FAE")),"")</f>
        <v/>
      </c>
    </row>
    <row r="374" spans="1:15" x14ac:dyDescent="0.25">
      <c r="A374" s="13">
        <v>7</v>
      </c>
      <c r="B374" s="13" t="str">
        <f>IFERROR(IF(SUMIFS(tblDaily[Admissions],tblDaily[EntryDate],DATE(2026,10,7),tblDaily[WardCode],"MAE")=0,"",SUMIFS(tblDaily[Admissions],tblDaily[EntryDate],DATE(2026,10,7),tblDaily[WardCode],"MAE")),"")</f>
        <v/>
      </c>
      <c r="C374" s="13" t="str">
        <f>IFERROR(IF(SUMIFS(tblDaily[Discharges],tblDaily[EntryDate],DATE(2026,10,7),tblDaily[WardCode],"MAE")=0,"",SUMIFS(tblDaily[Discharges],tblDaily[EntryDate],DATE(2026,10,7),tblDaily[WardCode],"MAE")),"")</f>
        <v/>
      </c>
      <c r="D374" s="13" t="str">
        <f>IFERROR(IF(SUMIFS(tblDaily[Deaths],tblDaily[EntryDate],DATE(2026,10,7),tblDaily[WardCode],"MAE")=0,"",SUMIFS(tblDaily[Deaths],tblDaily[EntryDate],DATE(2026,10,7),tblDaily[WardCode],"MAE")),"")</f>
        <v/>
      </c>
      <c r="E374" s="13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3" t="str">
        <f>IFERROR(IF(SUMIFS(tblDaily[TransfersIn],tblDaily[EntryDate],DATE(2026,10,7),tblDaily[WardCode],"MAE")=0,"",SUMIFS(tblDaily[TransfersIn],tblDaily[EntryDate],DATE(2026,10,7),tblDaily[WardCode],"MAE")),"")</f>
        <v/>
      </c>
      <c r="G374" s="13" t="str">
        <f>IFERROR(IF(SUMIFS(tblDaily[TransfersOut],tblDaily[EntryDate],DATE(2026,10,7),tblDaily[WardCode],"MAE")=0,"",SUMIFS(tblDaily[TransfersOut],tblDaily[EntryDate],DATE(2026,10,7),tblDaily[WardCode],"MAE")),"")</f>
        <v/>
      </c>
      <c r="H374" s="13" t="str">
        <f>IFERROR(IF(SUMIFS(tblDaily[Remaining],tblDaily[EntryDate],DATE(2026,10,7),tblDaily[WardCode],"MAE")=0,"",SUMIFS(tblDaily[Remaining],tblDaily[EntryDate],DATE(2026,10,7),tblDaily[WardCode],"MAE")),"")</f>
        <v/>
      </c>
      <c r="I374" s="13" t="str">
        <f>IFERROR(IF(SUMIFS(tblDaily[Admissions],tblDaily[EntryDate],DATE(2026,10,7),tblDaily[WardCode],"FAE")=0,"",SUMIFS(tblDaily[Admissions],tblDaily[EntryDate],DATE(2026,10,7),tblDaily[WardCode],"FAE")),"")</f>
        <v/>
      </c>
      <c r="J374" s="13" t="str">
        <f>IFERROR(IF(SUMIFS(tblDaily[Discharges],tblDaily[EntryDate],DATE(2026,10,7),tblDaily[WardCode],"FAE")=0,"",SUMIFS(tblDaily[Discharges],tblDaily[EntryDate],DATE(2026,10,7),tblDaily[WardCode],"FAE")),"")</f>
        <v/>
      </c>
      <c r="K374" s="13" t="str">
        <f>IFERROR(IF(SUMIFS(tblDaily[Deaths],tblDaily[EntryDate],DATE(2026,10,7),tblDaily[WardCode],"FAE")=0,"",SUMIFS(tblDaily[Deaths],tblDaily[EntryDate],DATE(2026,10,7),tblDaily[WardCode],"FAE")),"")</f>
        <v/>
      </c>
      <c r="L374" s="13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3" t="str">
        <f>IFERROR(IF(SUMIFS(tblDaily[TransfersIn],tblDaily[EntryDate],DATE(2026,10,7),tblDaily[WardCode],"FAE")=0,"",SUMIFS(tblDaily[TransfersIn],tblDaily[EntryDate],DATE(2026,10,7),tblDaily[WardCode],"FAE")),"")</f>
        <v/>
      </c>
      <c r="N374" s="13" t="str">
        <f>IFERROR(IF(SUMIFS(tblDaily[TransfersOut],tblDaily[EntryDate],DATE(2026,10,7),tblDaily[WardCode],"FAE")=0,"",SUMIFS(tblDaily[TransfersOut],tblDaily[EntryDate],DATE(2026,10,7),tblDaily[WardCode],"FAE")),"")</f>
        <v/>
      </c>
      <c r="O374" s="13" t="str">
        <f>IFERROR(IF(SUMIFS(tblDaily[Remaining],tblDaily[EntryDate],DATE(2026,10,7),tblDaily[WardCode],"FAE")=0,"",SUMIFS(tblDaily[Remaining],tblDaily[EntryDate],DATE(2026,10,7),tblDaily[WardCode],"FAE")),"")</f>
        <v/>
      </c>
    </row>
    <row r="375" spans="1:15" x14ac:dyDescent="0.25">
      <c r="A375" s="13">
        <v>8</v>
      </c>
      <c r="B375" s="13" t="str">
        <f>IFERROR(IF(SUMIFS(tblDaily[Admissions],tblDaily[EntryDate],DATE(2026,10,8),tblDaily[WardCode],"MAE")=0,"",SUMIFS(tblDaily[Admissions],tblDaily[EntryDate],DATE(2026,10,8),tblDaily[WardCode],"MAE")),"")</f>
        <v/>
      </c>
      <c r="C375" s="13" t="str">
        <f>IFERROR(IF(SUMIFS(tblDaily[Discharges],tblDaily[EntryDate],DATE(2026,10,8),tblDaily[WardCode],"MAE")=0,"",SUMIFS(tblDaily[Discharges],tblDaily[EntryDate],DATE(2026,10,8),tblDaily[WardCode],"MAE")),"")</f>
        <v/>
      </c>
      <c r="D375" s="13" t="str">
        <f>IFERROR(IF(SUMIFS(tblDaily[Deaths],tblDaily[EntryDate],DATE(2026,10,8),tblDaily[WardCode],"MAE")=0,"",SUMIFS(tblDaily[Deaths],tblDaily[EntryDate],DATE(2026,10,8),tblDaily[WardCode],"MAE")),"")</f>
        <v/>
      </c>
      <c r="E375" s="13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3" t="str">
        <f>IFERROR(IF(SUMIFS(tblDaily[TransfersIn],tblDaily[EntryDate],DATE(2026,10,8),tblDaily[WardCode],"MAE")=0,"",SUMIFS(tblDaily[TransfersIn],tblDaily[EntryDate],DATE(2026,10,8),tblDaily[WardCode],"MAE")),"")</f>
        <v/>
      </c>
      <c r="G375" s="13" t="str">
        <f>IFERROR(IF(SUMIFS(tblDaily[TransfersOut],tblDaily[EntryDate],DATE(2026,10,8),tblDaily[WardCode],"MAE")=0,"",SUMIFS(tblDaily[TransfersOut],tblDaily[EntryDate],DATE(2026,10,8),tblDaily[WardCode],"MAE")),"")</f>
        <v/>
      </c>
      <c r="H375" s="13" t="str">
        <f>IFERROR(IF(SUMIFS(tblDaily[Remaining],tblDaily[EntryDate],DATE(2026,10,8),tblDaily[WardCode],"MAE")=0,"",SUMIFS(tblDaily[Remaining],tblDaily[EntryDate],DATE(2026,10,8),tblDaily[WardCode],"MAE")),"")</f>
        <v/>
      </c>
      <c r="I375" s="13" t="str">
        <f>IFERROR(IF(SUMIFS(tblDaily[Admissions],tblDaily[EntryDate],DATE(2026,10,8),tblDaily[WardCode],"FAE")=0,"",SUMIFS(tblDaily[Admissions],tblDaily[EntryDate],DATE(2026,10,8),tblDaily[WardCode],"FAE")),"")</f>
        <v/>
      </c>
      <c r="J375" s="13" t="str">
        <f>IFERROR(IF(SUMIFS(tblDaily[Discharges],tblDaily[EntryDate],DATE(2026,10,8),tblDaily[WardCode],"FAE")=0,"",SUMIFS(tblDaily[Discharges],tblDaily[EntryDate],DATE(2026,10,8),tblDaily[WardCode],"FAE")),"")</f>
        <v/>
      </c>
      <c r="K375" s="13" t="str">
        <f>IFERROR(IF(SUMIFS(tblDaily[Deaths],tblDaily[EntryDate],DATE(2026,10,8),tblDaily[WardCode],"FAE")=0,"",SUMIFS(tblDaily[Deaths],tblDaily[EntryDate],DATE(2026,10,8),tblDaily[WardCode],"FAE")),"")</f>
        <v/>
      </c>
      <c r="L375" s="13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3" t="str">
        <f>IFERROR(IF(SUMIFS(tblDaily[TransfersIn],tblDaily[EntryDate],DATE(2026,10,8),tblDaily[WardCode],"FAE")=0,"",SUMIFS(tblDaily[TransfersIn],tblDaily[EntryDate],DATE(2026,10,8),tblDaily[WardCode],"FAE")),"")</f>
        <v/>
      </c>
      <c r="N375" s="13" t="str">
        <f>IFERROR(IF(SUMIFS(tblDaily[TransfersOut],tblDaily[EntryDate],DATE(2026,10,8),tblDaily[WardCode],"FAE")=0,"",SUMIFS(tblDaily[TransfersOut],tblDaily[EntryDate],DATE(2026,10,8),tblDaily[WardCode],"FAE")),"")</f>
        <v/>
      </c>
      <c r="O375" s="13" t="str">
        <f>IFERROR(IF(SUMIFS(tblDaily[Remaining],tblDaily[EntryDate],DATE(2026,10,8),tblDaily[WardCode],"FAE")=0,"",SUMIFS(tblDaily[Remaining],tblDaily[EntryDate],DATE(2026,10,8),tblDaily[WardCode],"FAE")),"")</f>
        <v/>
      </c>
    </row>
    <row r="376" spans="1:15" x14ac:dyDescent="0.25">
      <c r="A376" s="13">
        <v>9</v>
      </c>
      <c r="B376" s="13" t="str">
        <f>IFERROR(IF(SUMIFS(tblDaily[Admissions],tblDaily[EntryDate],DATE(2026,10,9),tblDaily[WardCode],"MAE")=0,"",SUMIFS(tblDaily[Admissions],tblDaily[EntryDate],DATE(2026,10,9),tblDaily[WardCode],"MAE")),"")</f>
        <v/>
      </c>
      <c r="C376" s="13" t="str">
        <f>IFERROR(IF(SUMIFS(tblDaily[Discharges],tblDaily[EntryDate],DATE(2026,10,9),tblDaily[WardCode],"MAE")=0,"",SUMIFS(tblDaily[Discharges],tblDaily[EntryDate],DATE(2026,10,9),tblDaily[WardCode],"MAE")),"")</f>
        <v/>
      </c>
      <c r="D376" s="13" t="str">
        <f>IFERROR(IF(SUMIFS(tblDaily[Deaths],tblDaily[EntryDate],DATE(2026,10,9),tblDaily[WardCode],"MAE")=0,"",SUMIFS(tblDaily[Deaths],tblDaily[EntryDate],DATE(2026,10,9),tblDaily[WardCode],"MAE")),"")</f>
        <v/>
      </c>
      <c r="E376" s="13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3" t="str">
        <f>IFERROR(IF(SUMIFS(tblDaily[TransfersIn],tblDaily[EntryDate],DATE(2026,10,9),tblDaily[WardCode],"MAE")=0,"",SUMIFS(tblDaily[TransfersIn],tblDaily[EntryDate],DATE(2026,10,9),tblDaily[WardCode],"MAE")),"")</f>
        <v/>
      </c>
      <c r="G376" s="13" t="str">
        <f>IFERROR(IF(SUMIFS(tblDaily[TransfersOut],tblDaily[EntryDate],DATE(2026,10,9),tblDaily[WardCode],"MAE")=0,"",SUMIFS(tblDaily[TransfersOut],tblDaily[EntryDate],DATE(2026,10,9),tblDaily[WardCode],"MAE")),"")</f>
        <v/>
      </c>
      <c r="H376" s="13" t="str">
        <f>IFERROR(IF(SUMIFS(tblDaily[Remaining],tblDaily[EntryDate],DATE(2026,10,9),tblDaily[WardCode],"MAE")=0,"",SUMIFS(tblDaily[Remaining],tblDaily[EntryDate],DATE(2026,10,9),tblDaily[WardCode],"MAE")),"")</f>
        <v/>
      </c>
      <c r="I376" s="13" t="str">
        <f>IFERROR(IF(SUMIFS(tblDaily[Admissions],tblDaily[EntryDate],DATE(2026,10,9),tblDaily[WardCode],"FAE")=0,"",SUMIFS(tblDaily[Admissions],tblDaily[EntryDate],DATE(2026,10,9),tblDaily[WardCode],"FAE")),"")</f>
        <v/>
      </c>
      <c r="J376" s="13" t="str">
        <f>IFERROR(IF(SUMIFS(tblDaily[Discharges],tblDaily[EntryDate],DATE(2026,10,9),tblDaily[WardCode],"FAE")=0,"",SUMIFS(tblDaily[Discharges],tblDaily[EntryDate],DATE(2026,10,9),tblDaily[WardCode],"FAE")),"")</f>
        <v/>
      </c>
      <c r="K376" s="13" t="str">
        <f>IFERROR(IF(SUMIFS(tblDaily[Deaths],tblDaily[EntryDate],DATE(2026,10,9),tblDaily[WardCode],"FAE")=0,"",SUMIFS(tblDaily[Deaths],tblDaily[EntryDate],DATE(2026,10,9),tblDaily[WardCode],"FAE")),"")</f>
        <v/>
      </c>
      <c r="L376" s="13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3" t="str">
        <f>IFERROR(IF(SUMIFS(tblDaily[TransfersIn],tblDaily[EntryDate],DATE(2026,10,9),tblDaily[WardCode],"FAE")=0,"",SUMIFS(tblDaily[TransfersIn],tblDaily[EntryDate],DATE(2026,10,9),tblDaily[WardCode],"FAE")),"")</f>
        <v/>
      </c>
      <c r="N376" s="13" t="str">
        <f>IFERROR(IF(SUMIFS(tblDaily[TransfersOut],tblDaily[EntryDate],DATE(2026,10,9),tblDaily[WardCode],"FAE")=0,"",SUMIFS(tblDaily[TransfersOut],tblDaily[EntryDate],DATE(2026,10,9),tblDaily[WardCode],"FAE")),"")</f>
        <v/>
      </c>
      <c r="O376" s="13" t="str">
        <f>IFERROR(IF(SUMIFS(tblDaily[Remaining],tblDaily[EntryDate],DATE(2026,10,9),tblDaily[WardCode],"FAE")=0,"",SUMIFS(tblDaily[Remaining],tblDaily[EntryDate],DATE(2026,10,9),tblDaily[WardCode],"FAE")),"")</f>
        <v/>
      </c>
    </row>
    <row r="377" spans="1:15" x14ac:dyDescent="0.25">
      <c r="A377" s="13">
        <v>10</v>
      </c>
      <c r="B377" s="13" t="str">
        <f>IFERROR(IF(SUMIFS(tblDaily[Admissions],tblDaily[EntryDate],DATE(2026,10,10),tblDaily[WardCode],"MAE")=0,"",SUMIFS(tblDaily[Admissions],tblDaily[EntryDate],DATE(2026,10,10),tblDaily[WardCode],"MAE")),"")</f>
        <v/>
      </c>
      <c r="C377" s="13" t="str">
        <f>IFERROR(IF(SUMIFS(tblDaily[Discharges],tblDaily[EntryDate],DATE(2026,10,10),tblDaily[WardCode],"MAE")=0,"",SUMIFS(tblDaily[Discharges],tblDaily[EntryDate],DATE(2026,10,10),tblDaily[WardCode],"MAE")),"")</f>
        <v/>
      </c>
      <c r="D377" s="13" t="str">
        <f>IFERROR(IF(SUMIFS(tblDaily[Deaths],tblDaily[EntryDate],DATE(2026,10,10),tblDaily[WardCode],"MAE")=0,"",SUMIFS(tblDaily[Deaths],tblDaily[EntryDate],DATE(2026,10,10),tblDaily[WardCode],"MAE")),"")</f>
        <v/>
      </c>
      <c r="E377" s="13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3" t="str">
        <f>IFERROR(IF(SUMIFS(tblDaily[TransfersIn],tblDaily[EntryDate],DATE(2026,10,10),tblDaily[WardCode],"MAE")=0,"",SUMIFS(tblDaily[TransfersIn],tblDaily[EntryDate],DATE(2026,10,10),tblDaily[WardCode],"MAE")),"")</f>
        <v/>
      </c>
      <c r="G377" s="13" t="str">
        <f>IFERROR(IF(SUMIFS(tblDaily[TransfersOut],tblDaily[EntryDate],DATE(2026,10,10),tblDaily[WardCode],"MAE")=0,"",SUMIFS(tblDaily[TransfersOut],tblDaily[EntryDate],DATE(2026,10,10),tblDaily[WardCode],"MAE")),"")</f>
        <v/>
      </c>
      <c r="H377" s="13" t="str">
        <f>IFERROR(IF(SUMIFS(tblDaily[Remaining],tblDaily[EntryDate],DATE(2026,10,10),tblDaily[WardCode],"MAE")=0,"",SUMIFS(tblDaily[Remaining],tblDaily[EntryDate],DATE(2026,10,10),tblDaily[WardCode],"MAE")),"")</f>
        <v/>
      </c>
      <c r="I377" s="13" t="str">
        <f>IFERROR(IF(SUMIFS(tblDaily[Admissions],tblDaily[EntryDate],DATE(2026,10,10),tblDaily[WardCode],"FAE")=0,"",SUMIFS(tblDaily[Admissions],tblDaily[EntryDate],DATE(2026,10,10),tblDaily[WardCode],"FAE")),"")</f>
        <v/>
      </c>
      <c r="J377" s="13" t="str">
        <f>IFERROR(IF(SUMIFS(tblDaily[Discharges],tblDaily[EntryDate],DATE(2026,10,10),tblDaily[WardCode],"FAE")=0,"",SUMIFS(tblDaily[Discharges],tblDaily[EntryDate],DATE(2026,10,10),tblDaily[WardCode],"FAE")),"")</f>
        <v/>
      </c>
      <c r="K377" s="13" t="str">
        <f>IFERROR(IF(SUMIFS(tblDaily[Deaths],tblDaily[EntryDate],DATE(2026,10,10),tblDaily[WardCode],"FAE")=0,"",SUMIFS(tblDaily[Deaths],tblDaily[EntryDate],DATE(2026,10,10),tblDaily[WardCode],"FAE")),"")</f>
        <v/>
      </c>
      <c r="L377" s="13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3" t="str">
        <f>IFERROR(IF(SUMIFS(tblDaily[TransfersIn],tblDaily[EntryDate],DATE(2026,10,10),tblDaily[WardCode],"FAE")=0,"",SUMIFS(tblDaily[TransfersIn],tblDaily[EntryDate],DATE(2026,10,10),tblDaily[WardCode],"FAE")),"")</f>
        <v/>
      </c>
      <c r="N377" s="13" t="str">
        <f>IFERROR(IF(SUMIFS(tblDaily[TransfersOut],tblDaily[EntryDate],DATE(2026,10,10),tblDaily[WardCode],"FAE")=0,"",SUMIFS(tblDaily[TransfersOut],tblDaily[EntryDate],DATE(2026,10,10),tblDaily[WardCode],"FAE")),"")</f>
        <v/>
      </c>
      <c r="O377" s="13" t="str">
        <f>IFERROR(IF(SUMIFS(tblDaily[Remaining],tblDaily[EntryDate],DATE(2026,10,10),tblDaily[WardCode],"FAE")=0,"",SUMIFS(tblDaily[Remaining],tblDaily[EntryDate],DATE(2026,10,10),tblDaily[WardCode],"FAE")),"")</f>
        <v/>
      </c>
    </row>
    <row r="378" spans="1:15" x14ac:dyDescent="0.25">
      <c r="A378" s="13">
        <v>11</v>
      </c>
      <c r="B378" s="13" t="str">
        <f>IFERROR(IF(SUMIFS(tblDaily[Admissions],tblDaily[EntryDate],DATE(2026,10,11),tblDaily[WardCode],"MAE")=0,"",SUMIFS(tblDaily[Admissions],tblDaily[EntryDate],DATE(2026,10,11),tblDaily[WardCode],"MAE")),"")</f>
        <v/>
      </c>
      <c r="C378" s="13" t="str">
        <f>IFERROR(IF(SUMIFS(tblDaily[Discharges],tblDaily[EntryDate],DATE(2026,10,11),tblDaily[WardCode],"MAE")=0,"",SUMIFS(tblDaily[Discharges],tblDaily[EntryDate],DATE(2026,10,11),tblDaily[WardCode],"MAE")),"")</f>
        <v/>
      </c>
      <c r="D378" s="13" t="str">
        <f>IFERROR(IF(SUMIFS(tblDaily[Deaths],tblDaily[EntryDate],DATE(2026,10,11),tblDaily[WardCode],"MAE")=0,"",SUMIFS(tblDaily[Deaths],tblDaily[EntryDate],DATE(2026,10,11),tblDaily[WardCode],"MAE")),"")</f>
        <v/>
      </c>
      <c r="E378" s="13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3" t="str">
        <f>IFERROR(IF(SUMIFS(tblDaily[TransfersIn],tblDaily[EntryDate],DATE(2026,10,11),tblDaily[WardCode],"MAE")=0,"",SUMIFS(tblDaily[TransfersIn],tblDaily[EntryDate],DATE(2026,10,11),tblDaily[WardCode],"MAE")),"")</f>
        <v/>
      </c>
      <c r="G378" s="13" t="str">
        <f>IFERROR(IF(SUMIFS(tblDaily[TransfersOut],tblDaily[EntryDate],DATE(2026,10,11),tblDaily[WardCode],"MAE")=0,"",SUMIFS(tblDaily[TransfersOut],tblDaily[EntryDate],DATE(2026,10,11),tblDaily[WardCode],"MAE")),"")</f>
        <v/>
      </c>
      <c r="H378" s="13" t="str">
        <f>IFERROR(IF(SUMIFS(tblDaily[Remaining],tblDaily[EntryDate],DATE(2026,10,11),tblDaily[WardCode],"MAE")=0,"",SUMIFS(tblDaily[Remaining],tblDaily[EntryDate],DATE(2026,10,11),tblDaily[WardCode],"MAE")),"")</f>
        <v/>
      </c>
      <c r="I378" s="13" t="str">
        <f>IFERROR(IF(SUMIFS(tblDaily[Admissions],tblDaily[EntryDate],DATE(2026,10,11),tblDaily[WardCode],"FAE")=0,"",SUMIFS(tblDaily[Admissions],tblDaily[EntryDate],DATE(2026,10,11),tblDaily[WardCode],"FAE")),"")</f>
        <v/>
      </c>
      <c r="J378" s="13" t="str">
        <f>IFERROR(IF(SUMIFS(tblDaily[Discharges],tblDaily[EntryDate],DATE(2026,10,11),tblDaily[WardCode],"FAE")=0,"",SUMIFS(tblDaily[Discharges],tblDaily[EntryDate],DATE(2026,10,11),tblDaily[WardCode],"FAE")),"")</f>
        <v/>
      </c>
      <c r="K378" s="13" t="str">
        <f>IFERROR(IF(SUMIFS(tblDaily[Deaths],tblDaily[EntryDate],DATE(2026,10,11),tblDaily[WardCode],"FAE")=0,"",SUMIFS(tblDaily[Deaths],tblDaily[EntryDate],DATE(2026,10,11),tblDaily[WardCode],"FAE")),"")</f>
        <v/>
      </c>
      <c r="L378" s="13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3" t="str">
        <f>IFERROR(IF(SUMIFS(tblDaily[TransfersIn],tblDaily[EntryDate],DATE(2026,10,11),tblDaily[WardCode],"FAE")=0,"",SUMIFS(tblDaily[TransfersIn],tblDaily[EntryDate],DATE(2026,10,11),tblDaily[WardCode],"FAE")),"")</f>
        <v/>
      </c>
      <c r="N378" s="13" t="str">
        <f>IFERROR(IF(SUMIFS(tblDaily[TransfersOut],tblDaily[EntryDate],DATE(2026,10,11),tblDaily[WardCode],"FAE")=0,"",SUMIFS(tblDaily[TransfersOut],tblDaily[EntryDate],DATE(2026,10,11),tblDaily[WardCode],"FAE")),"")</f>
        <v/>
      </c>
      <c r="O378" s="13" t="str">
        <f>IFERROR(IF(SUMIFS(tblDaily[Remaining],tblDaily[EntryDate],DATE(2026,10,11),tblDaily[WardCode],"FAE")=0,"",SUMIFS(tblDaily[Remaining],tblDaily[EntryDate],DATE(2026,10,11),tblDaily[WardCode],"FAE")),"")</f>
        <v/>
      </c>
    </row>
    <row r="379" spans="1:15" x14ac:dyDescent="0.25">
      <c r="A379" s="13">
        <v>12</v>
      </c>
      <c r="B379" s="13" t="str">
        <f>IFERROR(IF(SUMIFS(tblDaily[Admissions],tblDaily[EntryDate],DATE(2026,10,12),tblDaily[WardCode],"MAE")=0,"",SUMIFS(tblDaily[Admissions],tblDaily[EntryDate],DATE(2026,10,12),tblDaily[WardCode],"MAE")),"")</f>
        <v/>
      </c>
      <c r="C379" s="13" t="str">
        <f>IFERROR(IF(SUMIFS(tblDaily[Discharges],tblDaily[EntryDate],DATE(2026,10,12),tblDaily[WardCode],"MAE")=0,"",SUMIFS(tblDaily[Discharges],tblDaily[EntryDate],DATE(2026,10,12),tblDaily[WardCode],"MAE")),"")</f>
        <v/>
      </c>
      <c r="D379" s="13" t="str">
        <f>IFERROR(IF(SUMIFS(tblDaily[Deaths],tblDaily[EntryDate],DATE(2026,10,12),tblDaily[WardCode],"MAE")=0,"",SUMIFS(tblDaily[Deaths],tblDaily[EntryDate],DATE(2026,10,12),tblDaily[WardCode],"MAE")),"")</f>
        <v/>
      </c>
      <c r="E379" s="13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3" t="str">
        <f>IFERROR(IF(SUMIFS(tblDaily[TransfersIn],tblDaily[EntryDate],DATE(2026,10,12),tblDaily[WardCode],"MAE")=0,"",SUMIFS(tblDaily[TransfersIn],tblDaily[EntryDate],DATE(2026,10,12),tblDaily[WardCode],"MAE")),"")</f>
        <v/>
      </c>
      <c r="G379" s="13" t="str">
        <f>IFERROR(IF(SUMIFS(tblDaily[TransfersOut],tblDaily[EntryDate],DATE(2026,10,12),tblDaily[WardCode],"MAE")=0,"",SUMIFS(tblDaily[TransfersOut],tblDaily[EntryDate],DATE(2026,10,12),tblDaily[WardCode],"MAE")),"")</f>
        <v/>
      </c>
      <c r="H379" s="13" t="str">
        <f>IFERROR(IF(SUMIFS(tblDaily[Remaining],tblDaily[EntryDate],DATE(2026,10,12),tblDaily[WardCode],"MAE")=0,"",SUMIFS(tblDaily[Remaining],tblDaily[EntryDate],DATE(2026,10,12),tblDaily[WardCode],"MAE")),"")</f>
        <v/>
      </c>
      <c r="I379" s="13" t="str">
        <f>IFERROR(IF(SUMIFS(tblDaily[Admissions],tblDaily[EntryDate],DATE(2026,10,12),tblDaily[WardCode],"FAE")=0,"",SUMIFS(tblDaily[Admissions],tblDaily[EntryDate],DATE(2026,10,12),tblDaily[WardCode],"FAE")),"")</f>
        <v/>
      </c>
      <c r="J379" s="13" t="str">
        <f>IFERROR(IF(SUMIFS(tblDaily[Discharges],tblDaily[EntryDate],DATE(2026,10,12),tblDaily[WardCode],"FAE")=0,"",SUMIFS(tblDaily[Discharges],tblDaily[EntryDate],DATE(2026,10,12),tblDaily[WardCode],"FAE")),"")</f>
        <v/>
      </c>
      <c r="K379" s="13" t="str">
        <f>IFERROR(IF(SUMIFS(tblDaily[Deaths],tblDaily[EntryDate],DATE(2026,10,12),tblDaily[WardCode],"FAE")=0,"",SUMIFS(tblDaily[Deaths],tblDaily[EntryDate],DATE(2026,10,12),tblDaily[WardCode],"FAE")),"")</f>
        <v/>
      </c>
      <c r="L379" s="13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3" t="str">
        <f>IFERROR(IF(SUMIFS(tblDaily[TransfersIn],tblDaily[EntryDate],DATE(2026,10,12),tblDaily[WardCode],"FAE")=0,"",SUMIFS(tblDaily[TransfersIn],tblDaily[EntryDate],DATE(2026,10,12),tblDaily[WardCode],"FAE")),"")</f>
        <v/>
      </c>
      <c r="N379" s="13" t="str">
        <f>IFERROR(IF(SUMIFS(tblDaily[TransfersOut],tblDaily[EntryDate],DATE(2026,10,12),tblDaily[WardCode],"FAE")=0,"",SUMIFS(tblDaily[TransfersOut],tblDaily[EntryDate],DATE(2026,10,12),tblDaily[WardCode],"FAE")),"")</f>
        <v/>
      </c>
      <c r="O379" s="13" t="str">
        <f>IFERROR(IF(SUMIFS(tblDaily[Remaining],tblDaily[EntryDate],DATE(2026,10,12),tblDaily[WardCode],"FAE")=0,"",SUMIFS(tblDaily[Remaining],tblDaily[EntryDate],DATE(2026,10,12),tblDaily[WardCode],"FAE")),"")</f>
        <v/>
      </c>
    </row>
    <row r="380" spans="1:15" x14ac:dyDescent="0.25">
      <c r="A380" s="13">
        <v>13</v>
      </c>
      <c r="B380" s="13" t="str">
        <f>IFERROR(IF(SUMIFS(tblDaily[Admissions],tblDaily[EntryDate],DATE(2026,10,13),tblDaily[WardCode],"MAE")=0,"",SUMIFS(tblDaily[Admissions],tblDaily[EntryDate],DATE(2026,10,13),tblDaily[WardCode],"MAE")),"")</f>
        <v/>
      </c>
      <c r="C380" s="13" t="str">
        <f>IFERROR(IF(SUMIFS(tblDaily[Discharges],tblDaily[EntryDate],DATE(2026,10,13),tblDaily[WardCode],"MAE")=0,"",SUMIFS(tblDaily[Discharges],tblDaily[EntryDate],DATE(2026,10,13),tblDaily[WardCode],"MAE")),"")</f>
        <v/>
      </c>
      <c r="D380" s="13" t="str">
        <f>IFERROR(IF(SUMIFS(tblDaily[Deaths],tblDaily[EntryDate],DATE(2026,10,13),tblDaily[WardCode],"MAE")=0,"",SUMIFS(tblDaily[Deaths],tblDaily[EntryDate],DATE(2026,10,13),tblDaily[WardCode],"MAE")),"")</f>
        <v/>
      </c>
      <c r="E380" s="13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3" t="str">
        <f>IFERROR(IF(SUMIFS(tblDaily[TransfersIn],tblDaily[EntryDate],DATE(2026,10,13),tblDaily[WardCode],"MAE")=0,"",SUMIFS(tblDaily[TransfersIn],tblDaily[EntryDate],DATE(2026,10,13),tblDaily[WardCode],"MAE")),"")</f>
        <v/>
      </c>
      <c r="G380" s="13" t="str">
        <f>IFERROR(IF(SUMIFS(tblDaily[TransfersOut],tblDaily[EntryDate],DATE(2026,10,13),tblDaily[WardCode],"MAE")=0,"",SUMIFS(tblDaily[TransfersOut],tblDaily[EntryDate],DATE(2026,10,13),tblDaily[WardCode],"MAE")),"")</f>
        <v/>
      </c>
      <c r="H380" s="13" t="str">
        <f>IFERROR(IF(SUMIFS(tblDaily[Remaining],tblDaily[EntryDate],DATE(2026,10,13),tblDaily[WardCode],"MAE")=0,"",SUMIFS(tblDaily[Remaining],tblDaily[EntryDate],DATE(2026,10,13),tblDaily[WardCode],"MAE")),"")</f>
        <v/>
      </c>
      <c r="I380" s="13" t="str">
        <f>IFERROR(IF(SUMIFS(tblDaily[Admissions],tblDaily[EntryDate],DATE(2026,10,13),tblDaily[WardCode],"FAE")=0,"",SUMIFS(tblDaily[Admissions],tblDaily[EntryDate],DATE(2026,10,13),tblDaily[WardCode],"FAE")),"")</f>
        <v/>
      </c>
      <c r="J380" s="13" t="str">
        <f>IFERROR(IF(SUMIFS(tblDaily[Discharges],tblDaily[EntryDate],DATE(2026,10,13),tblDaily[WardCode],"FAE")=0,"",SUMIFS(tblDaily[Discharges],tblDaily[EntryDate],DATE(2026,10,13),tblDaily[WardCode],"FAE")),"")</f>
        <v/>
      </c>
      <c r="K380" s="13" t="str">
        <f>IFERROR(IF(SUMIFS(tblDaily[Deaths],tblDaily[EntryDate],DATE(2026,10,13),tblDaily[WardCode],"FAE")=0,"",SUMIFS(tblDaily[Deaths],tblDaily[EntryDate],DATE(2026,10,13),tblDaily[WardCode],"FAE")),"")</f>
        <v/>
      </c>
      <c r="L380" s="13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3" t="str">
        <f>IFERROR(IF(SUMIFS(tblDaily[TransfersIn],tblDaily[EntryDate],DATE(2026,10,13),tblDaily[WardCode],"FAE")=0,"",SUMIFS(tblDaily[TransfersIn],tblDaily[EntryDate],DATE(2026,10,13),tblDaily[WardCode],"FAE")),"")</f>
        <v/>
      </c>
      <c r="N380" s="13" t="str">
        <f>IFERROR(IF(SUMIFS(tblDaily[TransfersOut],tblDaily[EntryDate],DATE(2026,10,13),tblDaily[WardCode],"FAE")=0,"",SUMIFS(tblDaily[TransfersOut],tblDaily[EntryDate],DATE(2026,10,13),tblDaily[WardCode],"FAE")),"")</f>
        <v/>
      </c>
      <c r="O380" s="13" t="str">
        <f>IFERROR(IF(SUMIFS(tblDaily[Remaining],tblDaily[EntryDate],DATE(2026,10,13),tblDaily[WardCode],"FAE")=0,"",SUMIFS(tblDaily[Remaining],tblDaily[EntryDate],DATE(2026,10,13),tblDaily[WardCode],"FAE")),"")</f>
        <v/>
      </c>
    </row>
    <row r="381" spans="1:15" x14ac:dyDescent="0.25">
      <c r="A381" s="13">
        <v>14</v>
      </c>
      <c r="B381" s="13" t="str">
        <f>IFERROR(IF(SUMIFS(tblDaily[Admissions],tblDaily[EntryDate],DATE(2026,10,14),tblDaily[WardCode],"MAE")=0,"",SUMIFS(tblDaily[Admissions],tblDaily[EntryDate],DATE(2026,10,14),tblDaily[WardCode],"MAE")),"")</f>
        <v/>
      </c>
      <c r="C381" s="13" t="str">
        <f>IFERROR(IF(SUMIFS(tblDaily[Discharges],tblDaily[EntryDate],DATE(2026,10,14),tblDaily[WardCode],"MAE")=0,"",SUMIFS(tblDaily[Discharges],tblDaily[EntryDate],DATE(2026,10,14),tblDaily[WardCode],"MAE")),"")</f>
        <v/>
      </c>
      <c r="D381" s="13" t="str">
        <f>IFERROR(IF(SUMIFS(tblDaily[Deaths],tblDaily[EntryDate],DATE(2026,10,14),tblDaily[WardCode],"MAE")=0,"",SUMIFS(tblDaily[Deaths],tblDaily[EntryDate],DATE(2026,10,14),tblDaily[WardCode],"MAE")),"")</f>
        <v/>
      </c>
      <c r="E381" s="13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3" t="str">
        <f>IFERROR(IF(SUMIFS(tblDaily[TransfersIn],tblDaily[EntryDate],DATE(2026,10,14),tblDaily[WardCode],"MAE")=0,"",SUMIFS(tblDaily[TransfersIn],tblDaily[EntryDate],DATE(2026,10,14),tblDaily[WardCode],"MAE")),"")</f>
        <v/>
      </c>
      <c r="G381" s="13" t="str">
        <f>IFERROR(IF(SUMIFS(tblDaily[TransfersOut],tblDaily[EntryDate],DATE(2026,10,14),tblDaily[WardCode],"MAE")=0,"",SUMIFS(tblDaily[TransfersOut],tblDaily[EntryDate],DATE(2026,10,14),tblDaily[WardCode],"MAE")),"")</f>
        <v/>
      </c>
      <c r="H381" s="13" t="str">
        <f>IFERROR(IF(SUMIFS(tblDaily[Remaining],tblDaily[EntryDate],DATE(2026,10,14),tblDaily[WardCode],"MAE")=0,"",SUMIFS(tblDaily[Remaining],tblDaily[EntryDate],DATE(2026,10,14),tblDaily[WardCode],"MAE")),"")</f>
        <v/>
      </c>
      <c r="I381" s="13" t="str">
        <f>IFERROR(IF(SUMIFS(tblDaily[Admissions],tblDaily[EntryDate],DATE(2026,10,14),tblDaily[WardCode],"FAE")=0,"",SUMIFS(tblDaily[Admissions],tblDaily[EntryDate],DATE(2026,10,14),tblDaily[WardCode],"FAE")),"")</f>
        <v/>
      </c>
      <c r="J381" s="13" t="str">
        <f>IFERROR(IF(SUMIFS(tblDaily[Discharges],tblDaily[EntryDate],DATE(2026,10,14),tblDaily[WardCode],"FAE")=0,"",SUMIFS(tblDaily[Discharges],tblDaily[EntryDate],DATE(2026,10,14),tblDaily[WardCode],"FAE")),"")</f>
        <v/>
      </c>
      <c r="K381" s="13" t="str">
        <f>IFERROR(IF(SUMIFS(tblDaily[Deaths],tblDaily[EntryDate],DATE(2026,10,14),tblDaily[WardCode],"FAE")=0,"",SUMIFS(tblDaily[Deaths],tblDaily[EntryDate],DATE(2026,10,14),tblDaily[WardCode],"FAE")),"")</f>
        <v/>
      </c>
      <c r="L381" s="13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3" t="str">
        <f>IFERROR(IF(SUMIFS(tblDaily[TransfersIn],tblDaily[EntryDate],DATE(2026,10,14),tblDaily[WardCode],"FAE")=0,"",SUMIFS(tblDaily[TransfersIn],tblDaily[EntryDate],DATE(2026,10,14),tblDaily[WardCode],"FAE")),"")</f>
        <v/>
      </c>
      <c r="N381" s="13" t="str">
        <f>IFERROR(IF(SUMIFS(tblDaily[TransfersOut],tblDaily[EntryDate],DATE(2026,10,14),tblDaily[WardCode],"FAE")=0,"",SUMIFS(tblDaily[TransfersOut],tblDaily[EntryDate],DATE(2026,10,14),tblDaily[WardCode],"FAE")),"")</f>
        <v/>
      </c>
      <c r="O381" s="13" t="str">
        <f>IFERROR(IF(SUMIFS(tblDaily[Remaining],tblDaily[EntryDate],DATE(2026,10,14),tblDaily[WardCode],"FAE")=0,"",SUMIFS(tblDaily[Remaining],tblDaily[EntryDate],DATE(2026,10,14),tblDaily[WardCode],"FAE")),"")</f>
        <v/>
      </c>
    </row>
    <row r="382" spans="1:15" x14ac:dyDescent="0.25">
      <c r="A382" s="13">
        <v>15</v>
      </c>
      <c r="B382" s="13" t="str">
        <f>IFERROR(IF(SUMIFS(tblDaily[Admissions],tblDaily[EntryDate],DATE(2026,10,15),tblDaily[WardCode],"MAE")=0,"",SUMIFS(tblDaily[Admissions],tblDaily[EntryDate],DATE(2026,10,15),tblDaily[WardCode],"MAE")),"")</f>
        <v/>
      </c>
      <c r="C382" s="13" t="str">
        <f>IFERROR(IF(SUMIFS(tblDaily[Discharges],tblDaily[EntryDate],DATE(2026,10,15),tblDaily[WardCode],"MAE")=0,"",SUMIFS(tblDaily[Discharges],tblDaily[EntryDate],DATE(2026,10,15),tblDaily[WardCode],"MAE")),"")</f>
        <v/>
      </c>
      <c r="D382" s="13" t="str">
        <f>IFERROR(IF(SUMIFS(tblDaily[Deaths],tblDaily[EntryDate],DATE(2026,10,15),tblDaily[WardCode],"MAE")=0,"",SUMIFS(tblDaily[Deaths],tblDaily[EntryDate],DATE(2026,10,15),tblDaily[WardCode],"MAE")),"")</f>
        <v/>
      </c>
      <c r="E382" s="13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3" t="str">
        <f>IFERROR(IF(SUMIFS(tblDaily[TransfersIn],tblDaily[EntryDate],DATE(2026,10,15),tblDaily[WardCode],"MAE")=0,"",SUMIFS(tblDaily[TransfersIn],tblDaily[EntryDate],DATE(2026,10,15),tblDaily[WardCode],"MAE")),"")</f>
        <v/>
      </c>
      <c r="G382" s="13" t="str">
        <f>IFERROR(IF(SUMIFS(tblDaily[TransfersOut],tblDaily[EntryDate],DATE(2026,10,15),tblDaily[WardCode],"MAE")=0,"",SUMIFS(tblDaily[TransfersOut],tblDaily[EntryDate],DATE(2026,10,15),tblDaily[WardCode],"MAE")),"")</f>
        <v/>
      </c>
      <c r="H382" s="13" t="str">
        <f>IFERROR(IF(SUMIFS(tblDaily[Remaining],tblDaily[EntryDate],DATE(2026,10,15),tblDaily[WardCode],"MAE")=0,"",SUMIFS(tblDaily[Remaining],tblDaily[EntryDate],DATE(2026,10,15),tblDaily[WardCode],"MAE")),"")</f>
        <v/>
      </c>
      <c r="I382" s="13" t="str">
        <f>IFERROR(IF(SUMIFS(tblDaily[Admissions],tblDaily[EntryDate],DATE(2026,10,15),tblDaily[WardCode],"FAE")=0,"",SUMIFS(tblDaily[Admissions],tblDaily[EntryDate],DATE(2026,10,15),tblDaily[WardCode],"FAE")),"")</f>
        <v/>
      </c>
      <c r="J382" s="13" t="str">
        <f>IFERROR(IF(SUMIFS(tblDaily[Discharges],tblDaily[EntryDate],DATE(2026,10,15),tblDaily[WardCode],"FAE")=0,"",SUMIFS(tblDaily[Discharges],tblDaily[EntryDate],DATE(2026,10,15),tblDaily[WardCode],"FAE")),"")</f>
        <v/>
      </c>
      <c r="K382" s="13" t="str">
        <f>IFERROR(IF(SUMIFS(tblDaily[Deaths],tblDaily[EntryDate],DATE(2026,10,15),tblDaily[WardCode],"FAE")=0,"",SUMIFS(tblDaily[Deaths],tblDaily[EntryDate],DATE(2026,10,15),tblDaily[WardCode],"FAE")),"")</f>
        <v/>
      </c>
      <c r="L382" s="13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3" t="str">
        <f>IFERROR(IF(SUMIFS(tblDaily[TransfersIn],tblDaily[EntryDate],DATE(2026,10,15),tblDaily[WardCode],"FAE")=0,"",SUMIFS(tblDaily[TransfersIn],tblDaily[EntryDate],DATE(2026,10,15),tblDaily[WardCode],"FAE")),"")</f>
        <v/>
      </c>
      <c r="N382" s="13" t="str">
        <f>IFERROR(IF(SUMIFS(tblDaily[TransfersOut],tblDaily[EntryDate],DATE(2026,10,15),tblDaily[WardCode],"FAE")=0,"",SUMIFS(tblDaily[TransfersOut],tblDaily[EntryDate],DATE(2026,10,15),tblDaily[WardCode],"FAE")),"")</f>
        <v/>
      </c>
      <c r="O382" s="13" t="str">
        <f>IFERROR(IF(SUMIFS(tblDaily[Remaining],tblDaily[EntryDate],DATE(2026,10,15),tblDaily[WardCode],"FAE")=0,"",SUMIFS(tblDaily[Remaining],tblDaily[EntryDate],DATE(2026,10,15),tblDaily[WardCode],"FAE")),"")</f>
        <v/>
      </c>
    </row>
    <row r="383" spans="1:15" x14ac:dyDescent="0.25">
      <c r="A383" s="13">
        <v>16</v>
      </c>
      <c r="B383" s="13" t="str">
        <f>IFERROR(IF(SUMIFS(tblDaily[Admissions],tblDaily[EntryDate],DATE(2026,10,16),tblDaily[WardCode],"MAE")=0,"",SUMIFS(tblDaily[Admissions],tblDaily[EntryDate],DATE(2026,10,16),tblDaily[WardCode],"MAE")),"")</f>
        <v/>
      </c>
      <c r="C383" s="13" t="str">
        <f>IFERROR(IF(SUMIFS(tblDaily[Discharges],tblDaily[EntryDate],DATE(2026,10,16),tblDaily[WardCode],"MAE")=0,"",SUMIFS(tblDaily[Discharges],tblDaily[EntryDate],DATE(2026,10,16),tblDaily[WardCode],"MAE")),"")</f>
        <v/>
      </c>
      <c r="D383" s="13" t="str">
        <f>IFERROR(IF(SUMIFS(tblDaily[Deaths],tblDaily[EntryDate],DATE(2026,10,16),tblDaily[WardCode],"MAE")=0,"",SUMIFS(tblDaily[Deaths],tblDaily[EntryDate],DATE(2026,10,16),tblDaily[WardCode],"MAE")),"")</f>
        <v/>
      </c>
      <c r="E383" s="13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3" t="str">
        <f>IFERROR(IF(SUMIFS(tblDaily[TransfersIn],tblDaily[EntryDate],DATE(2026,10,16),tblDaily[WardCode],"MAE")=0,"",SUMIFS(tblDaily[TransfersIn],tblDaily[EntryDate],DATE(2026,10,16),tblDaily[WardCode],"MAE")),"")</f>
        <v/>
      </c>
      <c r="G383" s="13" t="str">
        <f>IFERROR(IF(SUMIFS(tblDaily[TransfersOut],tblDaily[EntryDate],DATE(2026,10,16),tblDaily[WardCode],"MAE")=0,"",SUMIFS(tblDaily[TransfersOut],tblDaily[EntryDate],DATE(2026,10,16),tblDaily[WardCode],"MAE")),"")</f>
        <v/>
      </c>
      <c r="H383" s="13" t="str">
        <f>IFERROR(IF(SUMIFS(tblDaily[Remaining],tblDaily[EntryDate],DATE(2026,10,16),tblDaily[WardCode],"MAE")=0,"",SUMIFS(tblDaily[Remaining],tblDaily[EntryDate],DATE(2026,10,16),tblDaily[WardCode],"MAE")),"")</f>
        <v/>
      </c>
      <c r="I383" s="13" t="str">
        <f>IFERROR(IF(SUMIFS(tblDaily[Admissions],tblDaily[EntryDate],DATE(2026,10,16),tblDaily[WardCode],"FAE")=0,"",SUMIFS(tblDaily[Admissions],tblDaily[EntryDate],DATE(2026,10,16),tblDaily[WardCode],"FAE")),"")</f>
        <v/>
      </c>
      <c r="J383" s="13" t="str">
        <f>IFERROR(IF(SUMIFS(tblDaily[Discharges],tblDaily[EntryDate],DATE(2026,10,16),tblDaily[WardCode],"FAE")=0,"",SUMIFS(tblDaily[Discharges],tblDaily[EntryDate],DATE(2026,10,16),tblDaily[WardCode],"FAE")),"")</f>
        <v/>
      </c>
      <c r="K383" s="13" t="str">
        <f>IFERROR(IF(SUMIFS(tblDaily[Deaths],tblDaily[EntryDate],DATE(2026,10,16),tblDaily[WardCode],"FAE")=0,"",SUMIFS(tblDaily[Deaths],tblDaily[EntryDate],DATE(2026,10,16),tblDaily[WardCode],"FAE")),"")</f>
        <v/>
      </c>
      <c r="L383" s="13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3" t="str">
        <f>IFERROR(IF(SUMIFS(tblDaily[TransfersIn],tblDaily[EntryDate],DATE(2026,10,16),tblDaily[WardCode],"FAE")=0,"",SUMIFS(tblDaily[TransfersIn],tblDaily[EntryDate],DATE(2026,10,16),tblDaily[WardCode],"FAE")),"")</f>
        <v/>
      </c>
      <c r="N383" s="13" t="str">
        <f>IFERROR(IF(SUMIFS(tblDaily[TransfersOut],tblDaily[EntryDate],DATE(2026,10,16),tblDaily[WardCode],"FAE")=0,"",SUMIFS(tblDaily[TransfersOut],tblDaily[EntryDate],DATE(2026,10,16),tblDaily[WardCode],"FAE")),"")</f>
        <v/>
      </c>
      <c r="O383" s="13" t="str">
        <f>IFERROR(IF(SUMIFS(tblDaily[Remaining],tblDaily[EntryDate],DATE(2026,10,16),tblDaily[WardCode],"FAE")=0,"",SUMIFS(tblDaily[Remaining],tblDaily[EntryDate],DATE(2026,10,16),tblDaily[WardCode],"FAE")),"")</f>
        <v/>
      </c>
    </row>
    <row r="384" spans="1:15" x14ac:dyDescent="0.25">
      <c r="A384" s="13">
        <v>17</v>
      </c>
      <c r="B384" s="13" t="str">
        <f>IFERROR(IF(SUMIFS(tblDaily[Admissions],tblDaily[EntryDate],DATE(2026,10,17),tblDaily[WardCode],"MAE")=0,"",SUMIFS(tblDaily[Admissions],tblDaily[EntryDate],DATE(2026,10,17),tblDaily[WardCode],"MAE")),"")</f>
        <v/>
      </c>
      <c r="C384" s="13" t="str">
        <f>IFERROR(IF(SUMIFS(tblDaily[Discharges],tblDaily[EntryDate],DATE(2026,10,17),tblDaily[WardCode],"MAE")=0,"",SUMIFS(tblDaily[Discharges],tblDaily[EntryDate],DATE(2026,10,17),tblDaily[WardCode],"MAE")),"")</f>
        <v/>
      </c>
      <c r="D384" s="13" t="str">
        <f>IFERROR(IF(SUMIFS(tblDaily[Deaths],tblDaily[EntryDate],DATE(2026,10,17),tblDaily[WardCode],"MAE")=0,"",SUMIFS(tblDaily[Deaths],tblDaily[EntryDate],DATE(2026,10,17),tblDaily[WardCode],"MAE")),"")</f>
        <v/>
      </c>
      <c r="E384" s="13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3" t="str">
        <f>IFERROR(IF(SUMIFS(tblDaily[TransfersIn],tblDaily[EntryDate],DATE(2026,10,17),tblDaily[WardCode],"MAE")=0,"",SUMIFS(tblDaily[TransfersIn],tblDaily[EntryDate],DATE(2026,10,17),tblDaily[WardCode],"MAE")),"")</f>
        <v/>
      </c>
      <c r="G384" s="13" t="str">
        <f>IFERROR(IF(SUMIFS(tblDaily[TransfersOut],tblDaily[EntryDate],DATE(2026,10,17),tblDaily[WardCode],"MAE")=0,"",SUMIFS(tblDaily[TransfersOut],tblDaily[EntryDate],DATE(2026,10,17),tblDaily[WardCode],"MAE")),"")</f>
        <v/>
      </c>
      <c r="H384" s="13" t="str">
        <f>IFERROR(IF(SUMIFS(tblDaily[Remaining],tblDaily[EntryDate],DATE(2026,10,17),tblDaily[WardCode],"MAE")=0,"",SUMIFS(tblDaily[Remaining],tblDaily[EntryDate],DATE(2026,10,17),tblDaily[WardCode],"MAE")),"")</f>
        <v/>
      </c>
      <c r="I384" s="13" t="str">
        <f>IFERROR(IF(SUMIFS(tblDaily[Admissions],tblDaily[EntryDate],DATE(2026,10,17),tblDaily[WardCode],"FAE")=0,"",SUMIFS(tblDaily[Admissions],tblDaily[EntryDate],DATE(2026,10,17),tblDaily[WardCode],"FAE")),"")</f>
        <v/>
      </c>
      <c r="J384" s="13" t="str">
        <f>IFERROR(IF(SUMIFS(tblDaily[Discharges],tblDaily[EntryDate],DATE(2026,10,17),tblDaily[WardCode],"FAE")=0,"",SUMIFS(tblDaily[Discharges],tblDaily[EntryDate],DATE(2026,10,17),tblDaily[WardCode],"FAE")),"")</f>
        <v/>
      </c>
      <c r="K384" s="13" t="str">
        <f>IFERROR(IF(SUMIFS(tblDaily[Deaths],tblDaily[EntryDate],DATE(2026,10,17),tblDaily[WardCode],"FAE")=0,"",SUMIFS(tblDaily[Deaths],tblDaily[EntryDate],DATE(2026,10,17),tblDaily[WardCode],"FAE")),"")</f>
        <v/>
      </c>
      <c r="L384" s="13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3" t="str">
        <f>IFERROR(IF(SUMIFS(tblDaily[TransfersIn],tblDaily[EntryDate],DATE(2026,10,17),tblDaily[WardCode],"FAE")=0,"",SUMIFS(tblDaily[TransfersIn],tblDaily[EntryDate],DATE(2026,10,17),tblDaily[WardCode],"FAE")),"")</f>
        <v/>
      </c>
      <c r="N384" s="13" t="str">
        <f>IFERROR(IF(SUMIFS(tblDaily[TransfersOut],tblDaily[EntryDate],DATE(2026,10,17),tblDaily[WardCode],"FAE")=0,"",SUMIFS(tblDaily[TransfersOut],tblDaily[EntryDate],DATE(2026,10,17),tblDaily[WardCode],"FAE")),"")</f>
        <v/>
      </c>
      <c r="O384" s="13" t="str">
        <f>IFERROR(IF(SUMIFS(tblDaily[Remaining],tblDaily[EntryDate],DATE(2026,10,17),tblDaily[WardCode],"FAE")=0,"",SUMIFS(tblDaily[Remaining],tblDaily[EntryDate],DATE(2026,10,17),tblDaily[WardCode],"FAE")),"")</f>
        <v/>
      </c>
    </row>
    <row r="385" spans="1:15" x14ac:dyDescent="0.25">
      <c r="A385" s="13">
        <v>18</v>
      </c>
      <c r="B385" s="13" t="str">
        <f>IFERROR(IF(SUMIFS(tblDaily[Admissions],tblDaily[EntryDate],DATE(2026,10,18),tblDaily[WardCode],"MAE")=0,"",SUMIFS(tblDaily[Admissions],tblDaily[EntryDate],DATE(2026,10,18),tblDaily[WardCode],"MAE")),"")</f>
        <v/>
      </c>
      <c r="C385" s="13" t="str">
        <f>IFERROR(IF(SUMIFS(tblDaily[Discharges],tblDaily[EntryDate],DATE(2026,10,18),tblDaily[WardCode],"MAE")=0,"",SUMIFS(tblDaily[Discharges],tblDaily[EntryDate],DATE(2026,10,18),tblDaily[WardCode],"MAE")),"")</f>
        <v/>
      </c>
      <c r="D385" s="13" t="str">
        <f>IFERROR(IF(SUMIFS(tblDaily[Deaths],tblDaily[EntryDate],DATE(2026,10,18),tblDaily[WardCode],"MAE")=0,"",SUMIFS(tblDaily[Deaths],tblDaily[EntryDate],DATE(2026,10,18),tblDaily[WardCode],"MAE")),"")</f>
        <v/>
      </c>
      <c r="E385" s="13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3" t="str">
        <f>IFERROR(IF(SUMIFS(tblDaily[TransfersIn],tblDaily[EntryDate],DATE(2026,10,18),tblDaily[WardCode],"MAE")=0,"",SUMIFS(tblDaily[TransfersIn],tblDaily[EntryDate],DATE(2026,10,18),tblDaily[WardCode],"MAE")),"")</f>
        <v/>
      </c>
      <c r="G385" s="13" t="str">
        <f>IFERROR(IF(SUMIFS(tblDaily[TransfersOut],tblDaily[EntryDate],DATE(2026,10,18),tblDaily[WardCode],"MAE")=0,"",SUMIFS(tblDaily[TransfersOut],tblDaily[EntryDate],DATE(2026,10,18),tblDaily[WardCode],"MAE")),"")</f>
        <v/>
      </c>
      <c r="H385" s="13" t="str">
        <f>IFERROR(IF(SUMIFS(tblDaily[Remaining],tblDaily[EntryDate],DATE(2026,10,18),tblDaily[WardCode],"MAE")=0,"",SUMIFS(tblDaily[Remaining],tblDaily[EntryDate],DATE(2026,10,18),tblDaily[WardCode],"MAE")),"")</f>
        <v/>
      </c>
      <c r="I385" s="13" t="str">
        <f>IFERROR(IF(SUMIFS(tblDaily[Admissions],tblDaily[EntryDate],DATE(2026,10,18),tblDaily[WardCode],"FAE")=0,"",SUMIFS(tblDaily[Admissions],tblDaily[EntryDate],DATE(2026,10,18),tblDaily[WardCode],"FAE")),"")</f>
        <v/>
      </c>
      <c r="J385" s="13" t="str">
        <f>IFERROR(IF(SUMIFS(tblDaily[Discharges],tblDaily[EntryDate],DATE(2026,10,18),tblDaily[WardCode],"FAE")=0,"",SUMIFS(tblDaily[Discharges],tblDaily[EntryDate],DATE(2026,10,18),tblDaily[WardCode],"FAE")),"")</f>
        <v/>
      </c>
      <c r="K385" s="13" t="str">
        <f>IFERROR(IF(SUMIFS(tblDaily[Deaths],tblDaily[EntryDate],DATE(2026,10,18),tblDaily[WardCode],"FAE")=0,"",SUMIFS(tblDaily[Deaths],tblDaily[EntryDate],DATE(2026,10,18),tblDaily[WardCode],"FAE")),"")</f>
        <v/>
      </c>
      <c r="L385" s="13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3" t="str">
        <f>IFERROR(IF(SUMIFS(tblDaily[TransfersIn],tblDaily[EntryDate],DATE(2026,10,18),tblDaily[WardCode],"FAE")=0,"",SUMIFS(tblDaily[TransfersIn],tblDaily[EntryDate],DATE(2026,10,18),tblDaily[WardCode],"FAE")),"")</f>
        <v/>
      </c>
      <c r="N385" s="13" t="str">
        <f>IFERROR(IF(SUMIFS(tblDaily[TransfersOut],tblDaily[EntryDate],DATE(2026,10,18),tblDaily[WardCode],"FAE")=0,"",SUMIFS(tblDaily[TransfersOut],tblDaily[EntryDate],DATE(2026,10,18),tblDaily[WardCode],"FAE")),"")</f>
        <v/>
      </c>
      <c r="O385" s="13" t="str">
        <f>IFERROR(IF(SUMIFS(tblDaily[Remaining],tblDaily[EntryDate],DATE(2026,10,18),tblDaily[WardCode],"FAE")=0,"",SUMIFS(tblDaily[Remaining],tblDaily[EntryDate],DATE(2026,10,18),tblDaily[WardCode],"FAE")),"")</f>
        <v/>
      </c>
    </row>
    <row r="386" spans="1:15" x14ac:dyDescent="0.25">
      <c r="A386" s="13">
        <v>19</v>
      </c>
      <c r="B386" s="13" t="str">
        <f>IFERROR(IF(SUMIFS(tblDaily[Admissions],tblDaily[EntryDate],DATE(2026,10,19),tblDaily[WardCode],"MAE")=0,"",SUMIFS(tblDaily[Admissions],tblDaily[EntryDate],DATE(2026,10,19),tblDaily[WardCode],"MAE")),"")</f>
        <v/>
      </c>
      <c r="C386" s="13" t="str">
        <f>IFERROR(IF(SUMIFS(tblDaily[Discharges],tblDaily[EntryDate],DATE(2026,10,19),tblDaily[WardCode],"MAE")=0,"",SUMIFS(tblDaily[Discharges],tblDaily[EntryDate],DATE(2026,10,19),tblDaily[WardCode],"MAE")),"")</f>
        <v/>
      </c>
      <c r="D386" s="13" t="str">
        <f>IFERROR(IF(SUMIFS(tblDaily[Deaths],tblDaily[EntryDate],DATE(2026,10,19),tblDaily[WardCode],"MAE")=0,"",SUMIFS(tblDaily[Deaths],tblDaily[EntryDate],DATE(2026,10,19),tblDaily[WardCode],"MAE")),"")</f>
        <v/>
      </c>
      <c r="E386" s="13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3" t="str">
        <f>IFERROR(IF(SUMIFS(tblDaily[TransfersIn],tblDaily[EntryDate],DATE(2026,10,19),tblDaily[WardCode],"MAE")=0,"",SUMIFS(tblDaily[TransfersIn],tblDaily[EntryDate],DATE(2026,10,19),tblDaily[WardCode],"MAE")),"")</f>
        <v/>
      </c>
      <c r="G386" s="13" t="str">
        <f>IFERROR(IF(SUMIFS(tblDaily[TransfersOut],tblDaily[EntryDate],DATE(2026,10,19),tblDaily[WardCode],"MAE")=0,"",SUMIFS(tblDaily[TransfersOut],tblDaily[EntryDate],DATE(2026,10,19),tblDaily[WardCode],"MAE")),"")</f>
        <v/>
      </c>
      <c r="H386" s="13" t="str">
        <f>IFERROR(IF(SUMIFS(tblDaily[Remaining],tblDaily[EntryDate],DATE(2026,10,19),tblDaily[WardCode],"MAE")=0,"",SUMIFS(tblDaily[Remaining],tblDaily[EntryDate],DATE(2026,10,19),tblDaily[WardCode],"MAE")),"")</f>
        <v/>
      </c>
      <c r="I386" s="13" t="str">
        <f>IFERROR(IF(SUMIFS(tblDaily[Admissions],tblDaily[EntryDate],DATE(2026,10,19),tblDaily[WardCode],"FAE")=0,"",SUMIFS(tblDaily[Admissions],tblDaily[EntryDate],DATE(2026,10,19),tblDaily[WardCode],"FAE")),"")</f>
        <v/>
      </c>
      <c r="J386" s="13" t="str">
        <f>IFERROR(IF(SUMIFS(tblDaily[Discharges],tblDaily[EntryDate],DATE(2026,10,19),tblDaily[WardCode],"FAE")=0,"",SUMIFS(tblDaily[Discharges],tblDaily[EntryDate],DATE(2026,10,19),tblDaily[WardCode],"FAE")),"")</f>
        <v/>
      </c>
      <c r="K386" s="13" t="str">
        <f>IFERROR(IF(SUMIFS(tblDaily[Deaths],tblDaily[EntryDate],DATE(2026,10,19),tblDaily[WardCode],"FAE")=0,"",SUMIFS(tblDaily[Deaths],tblDaily[EntryDate],DATE(2026,10,19),tblDaily[WardCode],"FAE")),"")</f>
        <v/>
      </c>
      <c r="L386" s="13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3" t="str">
        <f>IFERROR(IF(SUMIFS(tblDaily[TransfersIn],tblDaily[EntryDate],DATE(2026,10,19),tblDaily[WardCode],"FAE")=0,"",SUMIFS(tblDaily[TransfersIn],tblDaily[EntryDate],DATE(2026,10,19),tblDaily[WardCode],"FAE")),"")</f>
        <v/>
      </c>
      <c r="N386" s="13" t="str">
        <f>IFERROR(IF(SUMIFS(tblDaily[TransfersOut],tblDaily[EntryDate],DATE(2026,10,19),tblDaily[WardCode],"FAE")=0,"",SUMIFS(tblDaily[TransfersOut],tblDaily[EntryDate],DATE(2026,10,19),tblDaily[WardCode],"FAE")),"")</f>
        <v/>
      </c>
      <c r="O386" s="13" t="str">
        <f>IFERROR(IF(SUMIFS(tblDaily[Remaining],tblDaily[EntryDate],DATE(2026,10,19),tblDaily[WardCode],"FAE")=0,"",SUMIFS(tblDaily[Remaining],tblDaily[EntryDate],DATE(2026,10,19),tblDaily[WardCode],"FAE")),"")</f>
        <v/>
      </c>
    </row>
    <row r="387" spans="1:15" x14ac:dyDescent="0.25">
      <c r="A387" s="13">
        <v>20</v>
      </c>
      <c r="B387" s="13" t="str">
        <f>IFERROR(IF(SUMIFS(tblDaily[Admissions],tblDaily[EntryDate],DATE(2026,10,20),tblDaily[WardCode],"MAE")=0,"",SUMIFS(tblDaily[Admissions],tblDaily[EntryDate],DATE(2026,10,20),tblDaily[WardCode],"MAE")),"")</f>
        <v/>
      </c>
      <c r="C387" s="13" t="str">
        <f>IFERROR(IF(SUMIFS(tblDaily[Discharges],tblDaily[EntryDate],DATE(2026,10,20),tblDaily[WardCode],"MAE")=0,"",SUMIFS(tblDaily[Discharges],tblDaily[EntryDate],DATE(2026,10,20),tblDaily[WardCode],"MAE")),"")</f>
        <v/>
      </c>
      <c r="D387" s="13" t="str">
        <f>IFERROR(IF(SUMIFS(tblDaily[Deaths],tblDaily[EntryDate],DATE(2026,10,20),tblDaily[WardCode],"MAE")=0,"",SUMIFS(tblDaily[Deaths],tblDaily[EntryDate],DATE(2026,10,20),tblDaily[WardCode],"MAE")),"")</f>
        <v/>
      </c>
      <c r="E387" s="13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3" t="str">
        <f>IFERROR(IF(SUMIFS(tblDaily[TransfersIn],tblDaily[EntryDate],DATE(2026,10,20),tblDaily[WardCode],"MAE")=0,"",SUMIFS(tblDaily[TransfersIn],tblDaily[EntryDate],DATE(2026,10,20),tblDaily[WardCode],"MAE")),"")</f>
        <v/>
      </c>
      <c r="G387" s="13" t="str">
        <f>IFERROR(IF(SUMIFS(tblDaily[TransfersOut],tblDaily[EntryDate],DATE(2026,10,20),tblDaily[WardCode],"MAE")=0,"",SUMIFS(tblDaily[TransfersOut],tblDaily[EntryDate],DATE(2026,10,20),tblDaily[WardCode],"MAE")),"")</f>
        <v/>
      </c>
      <c r="H387" s="13" t="str">
        <f>IFERROR(IF(SUMIFS(tblDaily[Remaining],tblDaily[EntryDate],DATE(2026,10,20),tblDaily[WardCode],"MAE")=0,"",SUMIFS(tblDaily[Remaining],tblDaily[EntryDate],DATE(2026,10,20),tblDaily[WardCode],"MAE")),"")</f>
        <v/>
      </c>
      <c r="I387" s="13" t="str">
        <f>IFERROR(IF(SUMIFS(tblDaily[Admissions],tblDaily[EntryDate],DATE(2026,10,20),tblDaily[WardCode],"FAE")=0,"",SUMIFS(tblDaily[Admissions],tblDaily[EntryDate],DATE(2026,10,20),tblDaily[WardCode],"FAE")),"")</f>
        <v/>
      </c>
      <c r="J387" s="13" t="str">
        <f>IFERROR(IF(SUMIFS(tblDaily[Discharges],tblDaily[EntryDate],DATE(2026,10,20),tblDaily[WardCode],"FAE")=0,"",SUMIFS(tblDaily[Discharges],tblDaily[EntryDate],DATE(2026,10,20),tblDaily[WardCode],"FAE")),"")</f>
        <v/>
      </c>
      <c r="K387" s="13" t="str">
        <f>IFERROR(IF(SUMIFS(tblDaily[Deaths],tblDaily[EntryDate],DATE(2026,10,20),tblDaily[WardCode],"FAE")=0,"",SUMIFS(tblDaily[Deaths],tblDaily[EntryDate],DATE(2026,10,20),tblDaily[WardCode],"FAE")),"")</f>
        <v/>
      </c>
      <c r="L387" s="13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3" t="str">
        <f>IFERROR(IF(SUMIFS(tblDaily[TransfersIn],tblDaily[EntryDate],DATE(2026,10,20),tblDaily[WardCode],"FAE")=0,"",SUMIFS(tblDaily[TransfersIn],tblDaily[EntryDate],DATE(2026,10,20),tblDaily[WardCode],"FAE")),"")</f>
        <v/>
      </c>
      <c r="N387" s="13" t="str">
        <f>IFERROR(IF(SUMIFS(tblDaily[TransfersOut],tblDaily[EntryDate],DATE(2026,10,20),tblDaily[WardCode],"FAE")=0,"",SUMIFS(tblDaily[TransfersOut],tblDaily[EntryDate],DATE(2026,10,20),tblDaily[WardCode],"FAE")),"")</f>
        <v/>
      </c>
      <c r="O387" s="13" t="str">
        <f>IFERROR(IF(SUMIFS(tblDaily[Remaining],tblDaily[EntryDate],DATE(2026,10,20),tblDaily[WardCode],"FAE")=0,"",SUMIFS(tblDaily[Remaining],tblDaily[EntryDate],DATE(2026,10,20),tblDaily[WardCode],"FAE")),"")</f>
        <v/>
      </c>
    </row>
    <row r="388" spans="1:15" x14ac:dyDescent="0.25">
      <c r="A388" s="13">
        <v>21</v>
      </c>
      <c r="B388" s="13" t="str">
        <f>IFERROR(IF(SUMIFS(tblDaily[Admissions],tblDaily[EntryDate],DATE(2026,10,21),tblDaily[WardCode],"MAE")=0,"",SUMIFS(tblDaily[Admissions],tblDaily[EntryDate],DATE(2026,10,21),tblDaily[WardCode],"MAE")),"")</f>
        <v/>
      </c>
      <c r="C388" s="13" t="str">
        <f>IFERROR(IF(SUMIFS(tblDaily[Discharges],tblDaily[EntryDate],DATE(2026,10,21),tblDaily[WardCode],"MAE")=0,"",SUMIFS(tblDaily[Discharges],tblDaily[EntryDate],DATE(2026,10,21),tblDaily[WardCode],"MAE")),"")</f>
        <v/>
      </c>
      <c r="D388" s="13" t="str">
        <f>IFERROR(IF(SUMIFS(tblDaily[Deaths],tblDaily[EntryDate],DATE(2026,10,21),tblDaily[WardCode],"MAE")=0,"",SUMIFS(tblDaily[Deaths],tblDaily[EntryDate],DATE(2026,10,21),tblDaily[WardCode],"MAE")),"")</f>
        <v/>
      </c>
      <c r="E388" s="13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3" t="str">
        <f>IFERROR(IF(SUMIFS(tblDaily[TransfersIn],tblDaily[EntryDate],DATE(2026,10,21),tblDaily[WardCode],"MAE")=0,"",SUMIFS(tblDaily[TransfersIn],tblDaily[EntryDate],DATE(2026,10,21),tblDaily[WardCode],"MAE")),"")</f>
        <v/>
      </c>
      <c r="G388" s="13" t="str">
        <f>IFERROR(IF(SUMIFS(tblDaily[TransfersOut],tblDaily[EntryDate],DATE(2026,10,21),tblDaily[WardCode],"MAE")=0,"",SUMIFS(tblDaily[TransfersOut],tblDaily[EntryDate],DATE(2026,10,21),tblDaily[WardCode],"MAE")),"")</f>
        <v/>
      </c>
      <c r="H388" s="13" t="str">
        <f>IFERROR(IF(SUMIFS(tblDaily[Remaining],tblDaily[EntryDate],DATE(2026,10,21),tblDaily[WardCode],"MAE")=0,"",SUMIFS(tblDaily[Remaining],tblDaily[EntryDate],DATE(2026,10,21),tblDaily[WardCode],"MAE")),"")</f>
        <v/>
      </c>
      <c r="I388" s="13" t="str">
        <f>IFERROR(IF(SUMIFS(tblDaily[Admissions],tblDaily[EntryDate],DATE(2026,10,21),tblDaily[WardCode],"FAE")=0,"",SUMIFS(tblDaily[Admissions],tblDaily[EntryDate],DATE(2026,10,21),tblDaily[WardCode],"FAE")),"")</f>
        <v/>
      </c>
      <c r="J388" s="13" t="str">
        <f>IFERROR(IF(SUMIFS(tblDaily[Discharges],tblDaily[EntryDate],DATE(2026,10,21),tblDaily[WardCode],"FAE")=0,"",SUMIFS(tblDaily[Discharges],tblDaily[EntryDate],DATE(2026,10,21),tblDaily[WardCode],"FAE")),"")</f>
        <v/>
      </c>
      <c r="K388" s="13" t="str">
        <f>IFERROR(IF(SUMIFS(tblDaily[Deaths],tblDaily[EntryDate],DATE(2026,10,21),tblDaily[WardCode],"FAE")=0,"",SUMIFS(tblDaily[Deaths],tblDaily[EntryDate],DATE(2026,10,21),tblDaily[WardCode],"FAE")),"")</f>
        <v/>
      </c>
      <c r="L388" s="13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3" t="str">
        <f>IFERROR(IF(SUMIFS(tblDaily[TransfersIn],tblDaily[EntryDate],DATE(2026,10,21),tblDaily[WardCode],"FAE")=0,"",SUMIFS(tblDaily[TransfersIn],tblDaily[EntryDate],DATE(2026,10,21),tblDaily[WardCode],"FAE")),"")</f>
        <v/>
      </c>
      <c r="N388" s="13" t="str">
        <f>IFERROR(IF(SUMIFS(tblDaily[TransfersOut],tblDaily[EntryDate],DATE(2026,10,21),tblDaily[WardCode],"FAE")=0,"",SUMIFS(tblDaily[TransfersOut],tblDaily[EntryDate],DATE(2026,10,21),tblDaily[WardCode],"FAE")),"")</f>
        <v/>
      </c>
      <c r="O388" s="13" t="str">
        <f>IFERROR(IF(SUMIFS(tblDaily[Remaining],tblDaily[EntryDate],DATE(2026,10,21),tblDaily[WardCode],"FAE")=0,"",SUMIFS(tblDaily[Remaining],tblDaily[EntryDate],DATE(2026,10,21),tblDaily[WardCode],"FAE")),"")</f>
        <v/>
      </c>
    </row>
    <row r="389" spans="1:15" x14ac:dyDescent="0.25">
      <c r="A389" s="13">
        <v>22</v>
      </c>
      <c r="B389" s="13" t="str">
        <f>IFERROR(IF(SUMIFS(tblDaily[Admissions],tblDaily[EntryDate],DATE(2026,10,22),tblDaily[WardCode],"MAE")=0,"",SUMIFS(tblDaily[Admissions],tblDaily[EntryDate],DATE(2026,10,22),tblDaily[WardCode],"MAE")),"")</f>
        <v/>
      </c>
      <c r="C389" s="13" t="str">
        <f>IFERROR(IF(SUMIFS(tblDaily[Discharges],tblDaily[EntryDate],DATE(2026,10,22),tblDaily[WardCode],"MAE")=0,"",SUMIFS(tblDaily[Discharges],tblDaily[EntryDate],DATE(2026,10,22),tblDaily[WardCode],"MAE")),"")</f>
        <v/>
      </c>
      <c r="D389" s="13" t="str">
        <f>IFERROR(IF(SUMIFS(tblDaily[Deaths],tblDaily[EntryDate],DATE(2026,10,22),tblDaily[WardCode],"MAE")=0,"",SUMIFS(tblDaily[Deaths],tblDaily[EntryDate],DATE(2026,10,22),tblDaily[WardCode],"MAE")),"")</f>
        <v/>
      </c>
      <c r="E389" s="13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3" t="str">
        <f>IFERROR(IF(SUMIFS(tblDaily[TransfersIn],tblDaily[EntryDate],DATE(2026,10,22),tblDaily[WardCode],"MAE")=0,"",SUMIFS(tblDaily[TransfersIn],tblDaily[EntryDate],DATE(2026,10,22),tblDaily[WardCode],"MAE")),"")</f>
        <v/>
      </c>
      <c r="G389" s="13" t="str">
        <f>IFERROR(IF(SUMIFS(tblDaily[TransfersOut],tblDaily[EntryDate],DATE(2026,10,22),tblDaily[WardCode],"MAE")=0,"",SUMIFS(tblDaily[TransfersOut],tblDaily[EntryDate],DATE(2026,10,22),tblDaily[WardCode],"MAE")),"")</f>
        <v/>
      </c>
      <c r="H389" s="13" t="str">
        <f>IFERROR(IF(SUMIFS(tblDaily[Remaining],tblDaily[EntryDate],DATE(2026,10,22),tblDaily[WardCode],"MAE")=0,"",SUMIFS(tblDaily[Remaining],tblDaily[EntryDate],DATE(2026,10,22),tblDaily[WardCode],"MAE")),"")</f>
        <v/>
      </c>
      <c r="I389" s="13" t="str">
        <f>IFERROR(IF(SUMIFS(tblDaily[Admissions],tblDaily[EntryDate],DATE(2026,10,22),tblDaily[WardCode],"FAE")=0,"",SUMIFS(tblDaily[Admissions],tblDaily[EntryDate],DATE(2026,10,22),tblDaily[WardCode],"FAE")),"")</f>
        <v/>
      </c>
      <c r="J389" s="13" t="str">
        <f>IFERROR(IF(SUMIFS(tblDaily[Discharges],tblDaily[EntryDate],DATE(2026,10,22),tblDaily[WardCode],"FAE")=0,"",SUMIFS(tblDaily[Discharges],tblDaily[EntryDate],DATE(2026,10,22),tblDaily[WardCode],"FAE")),"")</f>
        <v/>
      </c>
      <c r="K389" s="13" t="str">
        <f>IFERROR(IF(SUMIFS(tblDaily[Deaths],tblDaily[EntryDate],DATE(2026,10,22),tblDaily[WardCode],"FAE")=0,"",SUMIFS(tblDaily[Deaths],tblDaily[EntryDate],DATE(2026,10,22),tblDaily[WardCode],"FAE")),"")</f>
        <v/>
      </c>
      <c r="L389" s="13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3" t="str">
        <f>IFERROR(IF(SUMIFS(tblDaily[TransfersIn],tblDaily[EntryDate],DATE(2026,10,22),tblDaily[WardCode],"FAE")=0,"",SUMIFS(tblDaily[TransfersIn],tblDaily[EntryDate],DATE(2026,10,22),tblDaily[WardCode],"FAE")),"")</f>
        <v/>
      </c>
      <c r="N389" s="13" t="str">
        <f>IFERROR(IF(SUMIFS(tblDaily[TransfersOut],tblDaily[EntryDate],DATE(2026,10,22),tblDaily[WardCode],"FAE")=0,"",SUMIFS(tblDaily[TransfersOut],tblDaily[EntryDate],DATE(2026,10,22),tblDaily[WardCode],"FAE")),"")</f>
        <v/>
      </c>
      <c r="O389" s="13" t="str">
        <f>IFERROR(IF(SUMIFS(tblDaily[Remaining],tblDaily[EntryDate],DATE(2026,10,22),tblDaily[WardCode],"FAE")=0,"",SUMIFS(tblDaily[Remaining],tblDaily[EntryDate],DATE(2026,10,22),tblDaily[WardCode],"FAE")),"")</f>
        <v/>
      </c>
    </row>
    <row r="390" spans="1:15" x14ac:dyDescent="0.25">
      <c r="A390" s="13">
        <v>23</v>
      </c>
      <c r="B390" s="13" t="str">
        <f>IFERROR(IF(SUMIFS(tblDaily[Admissions],tblDaily[EntryDate],DATE(2026,10,23),tblDaily[WardCode],"MAE")=0,"",SUMIFS(tblDaily[Admissions],tblDaily[EntryDate],DATE(2026,10,23),tblDaily[WardCode],"MAE")),"")</f>
        <v/>
      </c>
      <c r="C390" s="13" t="str">
        <f>IFERROR(IF(SUMIFS(tblDaily[Discharges],tblDaily[EntryDate],DATE(2026,10,23),tblDaily[WardCode],"MAE")=0,"",SUMIFS(tblDaily[Discharges],tblDaily[EntryDate],DATE(2026,10,23),tblDaily[WardCode],"MAE")),"")</f>
        <v/>
      </c>
      <c r="D390" s="13" t="str">
        <f>IFERROR(IF(SUMIFS(tblDaily[Deaths],tblDaily[EntryDate],DATE(2026,10,23),tblDaily[WardCode],"MAE")=0,"",SUMIFS(tblDaily[Deaths],tblDaily[EntryDate],DATE(2026,10,23),tblDaily[WardCode],"MAE")),"")</f>
        <v/>
      </c>
      <c r="E390" s="13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3" t="str">
        <f>IFERROR(IF(SUMIFS(tblDaily[TransfersIn],tblDaily[EntryDate],DATE(2026,10,23),tblDaily[WardCode],"MAE")=0,"",SUMIFS(tblDaily[TransfersIn],tblDaily[EntryDate],DATE(2026,10,23),tblDaily[WardCode],"MAE")),"")</f>
        <v/>
      </c>
      <c r="G390" s="13" t="str">
        <f>IFERROR(IF(SUMIFS(tblDaily[TransfersOut],tblDaily[EntryDate],DATE(2026,10,23),tblDaily[WardCode],"MAE")=0,"",SUMIFS(tblDaily[TransfersOut],tblDaily[EntryDate],DATE(2026,10,23),tblDaily[WardCode],"MAE")),"")</f>
        <v/>
      </c>
      <c r="H390" s="13" t="str">
        <f>IFERROR(IF(SUMIFS(tblDaily[Remaining],tblDaily[EntryDate],DATE(2026,10,23),tblDaily[WardCode],"MAE")=0,"",SUMIFS(tblDaily[Remaining],tblDaily[EntryDate],DATE(2026,10,23),tblDaily[WardCode],"MAE")),"")</f>
        <v/>
      </c>
      <c r="I390" s="13" t="str">
        <f>IFERROR(IF(SUMIFS(tblDaily[Admissions],tblDaily[EntryDate],DATE(2026,10,23),tblDaily[WardCode],"FAE")=0,"",SUMIFS(tblDaily[Admissions],tblDaily[EntryDate],DATE(2026,10,23),tblDaily[WardCode],"FAE")),"")</f>
        <v/>
      </c>
      <c r="J390" s="13" t="str">
        <f>IFERROR(IF(SUMIFS(tblDaily[Discharges],tblDaily[EntryDate],DATE(2026,10,23),tblDaily[WardCode],"FAE")=0,"",SUMIFS(tblDaily[Discharges],tblDaily[EntryDate],DATE(2026,10,23),tblDaily[WardCode],"FAE")),"")</f>
        <v/>
      </c>
      <c r="K390" s="13" t="str">
        <f>IFERROR(IF(SUMIFS(tblDaily[Deaths],tblDaily[EntryDate],DATE(2026,10,23),tblDaily[WardCode],"FAE")=0,"",SUMIFS(tblDaily[Deaths],tblDaily[EntryDate],DATE(2026,10,23),tblDaily[WardCode],"FAE")),"")</f>
        <v/>
      </c>
      <c r="L390" s="13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3" t="str">
        <f>IFERROR(IF(SUMIFS(tblDaily[TransfersIn],tblDaily[EntryDate],DATE(2026,10,23),tblDaily[WardCode],"FAE")=0,"",SUMIFS(tblDaily[TransfersIn],tblDaily[EntryDate],DATE(2026,10,23),tblDaily[WardCode],"FAE")),"")</f>
        <v/>
      </c>
      <c r="N390" s="13" t="str">
        <f>IFERROR(IF(SUMIFS(tblDaily[TransfersOut],tblDaily[EntryDate],DATE(2026,10,23),tblDaily[WardCode],"FAE")=0,"",SUMIFS(tblDaily[TransfersOut],tblDaily[EntryDate],DATE(2026,10,23),tblDaily[WardCode],"FAE")),"")</f>
        <v/>
      </c>
      <c r="O390" s="13" t="str">
        <f>IFERROR(IF(SUMIFS(tblDaily[Remaining],tblDaily[EntryDate],DATE(2026,10,23),tblDaily[WardCode],"FAE")=0,"",SUMIFS(tblDaily[Remaining],tblDaily[EntryDate],DATE(2026,10,23),tblDaily[WardCode],"FAE")),"")</f>
        <v/>
      </c>
    </row>
    <row r="391" spans="1:15" x14ac:dyDescent="0.25">
      <c r="A391" s="13">
        <v>24</v>
      </c>
      <c r="B391" s="13" t="str">
        <f>IFERROR(IF(SUMIFS(tblDaily[Admissions],tblDaily[EntryDate],DATE(2026,10,24),tblDaily[WardCode],"MAE")=0,"",SUMIFS(tblDaily[Admissions],tblDaily[EntryDate],DATE(2026,10,24),tblDaily[WardCode],"MAE")),"")</f>
        <v/>
      </c>
      <c r="C391" s="13" t="str">
        <f>IFERROR(IF(SUMIFS(tblDaily[Discharges],tblDaily[EntryDate],DATE(2026,10,24),tblDaily[WardCode],"MAE")=0,"",SUMIFS(tblDaily[Discharges],tblDaily[EntryDate],DATE(2026,10,24),tblDaily[WardCode],"MAE")),"")</f>
        <v/>
      </c>
      <c r="D391" s="13" t="str">
        <f>IFERROR(IF(SUMIFS(tblDaily[Deaths],tblDaily[EntryDate],DATE(2026,10,24),tblDaily[WardCode],"MAE")=0,"",SUMIFS(tblDaily[Deaths],tblDaily[EntryDate],DATE(2026,10,24),tblDaily[WardCode],"MAE")),"")</f>
        <v/>
      </c>
      <c r="E391" s="13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3" t="str">
        <f>IFERROR(IF(SUMIFS(tblDaily[TransfersIn],tblDaily[EntryDate],DATE(2026,10,24),tblDaily[WardCode],"MAE")=0,"",SUMIFS(tblDaily[TransfersIn],tblDaily[EntryDate],DATE(2026,10,24),tblDaily[WardCode],"MAE")),"")</f>
        <v/>
      </c>
      <c r="G391" s="13" t="str">
        <f>IFERROR(IF(SUMIFS(tblDaily[TransfersOut],tblDaily[EntryDate],DATE(2026,10,24),tblDaily[WardCode],"MAE")=0,"",SUMIFS(tblDaily[TransfersOut],tblDaily[EntryDate],DATE(2026,10,24),tblDaily[WardCode],"MAE")),"")</f>
        <v/>
      </c>
      <c r="H391" s="13" t="str">
        <f>IFERROR(IF(SUMIFS(tblDaily[Remaining],tblDaily[EntryDate],DATE(2026,10,24),tblDaily[WardCode],"MAE")=0,"",SUMIFS(tblDaily[Remaining],tblDaily[EntryDate],DATE(2026,10,24),tblDaily[WardCode],"MAE")),"")</f>
        <v/>
      </c>
      <c r="I391" s="13" t="str">
        <f>IFERROR(IF(SUMIFS(tblDaily[Admissions],tblDaily[EntryDate],DATE(2026,10,24),tblDaily[WardCode],"FAE")=0,"",SUMIFS(tblDaily[Admissions],tblDaily[EntryDate],DATE(2026,10,24),tblDaily[WardCode],"FAE")),"")</f>
        <v/>
      </c>
      <c r="J391" s="13" t="str">
        <f>IFERROR(IF(SUMIFS(tblDaily[Discharges],tblDaily[EntryDate],DATE(2026,10,24),tblDaily[WardCode],"FAE")=0,"",SUMIFS(tblDaily[Discharges],tblDaily[EntryDate],DATE(2026,10,24),tblDaily[WardCode],"FAE")),"")</f>
        <v/>
      </c>
      <c r="K391" s="13" t="str">
        <f>IFERROR(IF(SUMIFS(tblDaily[Deaths],tblDaily[EntryDate],DATE(2026,10,24),tblDaily[WardCode],"FAE")=0,"",SUMIFS(tblDaily[Deaths],tblDaily[EntryDate],DATE(2026,10,24),tblDaily[WardCode],"FAE")),"")</f>
        <v/>
      </c>
      <c r="L391" s="13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3" t="str">
        <f>IFERROR(IF(SUMIFS(tblDaily[TransfersIn],tblDaily[EntryDate],DATE(2026,10,24),tblDaily[WardCode],"FAE")=0,"",SUMIFS(tblDaily[TransfersIn],tblDaily[EntryDate],DATE(2026,10,24),tblDaily[WardCode],"FAE")),"")</f>
        <v/>
      </c>
      <c r="N391" s="13" t="str">
        <f>IFERROR(IF(SUMIFS(tblDaily[TransfersOut],tblDaily[EntryDate],DATE(2026,10,24),tblDaily[WardCode],"FAE")=0,"",SUMIFS(tblDaily[TransfersOut],tblDaily[EntryDate],DATE(2026,10,24),tblDaily[WardCode],"FAE")),"")</f>
        <v/>
      </c>
      <c r="O391" s="13" t="str">
        <f>IFERROR(IF(SUMIFS(tblDaily[Remaining],tblDaily[EntryDate],DATE(2026,10,24),tblDaily[WardCode],"FAE")=0,"",SUMIFS(tblDaily[Remaining],tblDaily[EntryDate],DATE(2026,10,24),tblDaily[WardCode],"FAE")),"")</f>
        <v/>
      </c>
    </row>
    <row r="392" spans="1:15" x14ac:dyDescent="0.25">
      <c r="A392" s="13">
        <v>25</v>
      </c>
      <c r="B392" s="13" t="str">
        <f>IFERROR(IF(SUMIFS(tblDaily[Admissions],tblDaily[EntryDate],DATE(2026,10,25),tblDaily[WardCode],"MAE")=0,"",SUMIFS(tblDaily[Admissions],tblDaily[EntryDate],DATE(2026,10,25),tblDaily[WardCode],"MAE")),"")</f>
        <v/>
      </c>
      <c r="C392" s="13" t="str">
        <f>IFERROR(IF(SUMIFS(tblDaily[Discharges],tblDaily[EntryDate],DATE(2026,10,25),tblDaily[WardCode],"MAE")=0,"",SUMIFS(tblDaily[Discharges],tblDaily[EntryDate],DATE(2026,10,25),tblDaily[WardCode],"MAE")),"")</f>
        <v/>
      </c>
      <c r="D392" s="13" t="str">
        <f>IFERROR(IF(SUMIFS(tblDaily[Deaths],tblDaily[EntryDate],DATE(2026,10,25),tblDaily[WardCode],"MAE")=0,"",SUMIFS(tblDaily[Deaths],tblDaily[EntryDate],DATE(2026,10,25),tblDaily[WardCode],"MAE")),"")</f>
        <v/>
      </c>
      <c r="E392" s="13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3" t="str">
        <f>IFERROR(IF(SUMIFS(tblDaily[TransfersIn],tblDaily[EntryDate],DATE(2026,10,25),tblDaily[WardCode],"MAE")=0,"",SUMIFS(tblDaily[TransfersIn],tblDaily[EntryDate],DATE(2026,10,25),tblDaily[WardCode],"MAE")),"")</f>
        <v/>
      </c>
      <c r="G392" s="13" t="str">
        <f>IFERROR(IF(SUMIFS(tblDaily[TransfersOut],tblDaily[EntryDate],DATE(2026,10,25),tblDaily[WardCode],"MAE")=0,"",SUMIFS(tblDaily[TransfersOut],tblDaily[EntryDate],DATE(2026,10,25),tblDaily[WardCode],"MAE")),"")</f>
        <v/>
      </c>
      <c r="H392" s="13" t="str">
        <f>IFERROR(IF(SUMIFS(tblDaily[Remaining],tblDaily[EntryDate],DATE(2026,10,25),tblDaily[WardCode],"MAE")=0,"",SUMIFS(tblDaily[Remaining],tblDaily[EntryDate],DATE(2026,10,25),tblDaily[WardCode],"MAE")),"")</f>
        <v/>
      </c>
      <c r="I392" s="13" t="str">
        <f>IFERROR(IF(SUMIFS(tblDaily[Admissions],tblDaily[EntryDate],DATE(2026,10,25),tblDaily[WardCode],"FAE")=0,"",SUMIFS(tblDaily[Admissions],tblDaily[EntryDate],DATE(2026,10,25),tblDaily[WardCode],"FAE")),"")</f>
        <v/>
      </c>
      <c r="J392" s="13" t="str">
        <f>IFERROR(IF(SUMIFS(tblDaily[Discharges],tblDaily[EntryDate],DATE(2026,10,25),tblDaily[WardCode],"FAE")=0,"",SUMIFS(tblDaily[Discharges],tblDaily[EntryDate],DATE(2026,10,25),tblDaily[WardCode],"FAE")),"")</f>
        <v/>
      </c>
      <c r="K392" s="13" t="str">
        <f>IFERROR(IF(SUMIFS(tblDaily[Deaths],tblDaily[EntryDate],DATE(2026,10,25),tblDaily[WardCode],"FAE")=0,"",SUMIFS(tblDaily[Deaths],tblDaily[EntryDate],DATE(2026,10,25),tblDaily[WardCode],"FAE")),"")</f>
        <v/>
      </c>
      <c r="L392" s="13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3" t="str">
        <f>IFERROR(IF(SUMIFS(tblDaily[TransfersIn],tblDaily[EntryDate],DATE(2026,10,25),tblDaily[WardCode],"FAE")=0,"",SUMIFS(tblDaily[TransfersIn],tblDaily[EntryDate],DATE(2026,10,25),tblDaily[WardCode],"FAE")),"")</f>
        <v/>
      </c>
      <c r="N392" s="13" t="str">
        <f>IFERROR(IF(SUMIFS(tblDaily[TransfersOut],tblDaily[EntryDate],DATE(2026,10,25),tblDaily[WardCode],"FAE")=0,"",SUMIFS(tblDaily[TransfersOut],tblDaily[EntryDate],DATE(2026,10,25),tblDaily[WardCode],"FAE")),"")</f>
        <v/>
      </c>
      <c r="O392" s="13" t="str">
        <f>IFERROR(IF(SUMIFS(tblDaily[Remaining],tblDaily[EntryDate],DATE(2026,10,25),tblDaily[WardCode],"FAE")=0,"",SUMIFS(tblDaily[Remaining],tblDaily[EntryDate],DATE(2026,10,25),tblDaily[WardCode],"FAE")),"")</f>
        <v/>
      </c>
    </row>
    <row r="393" spans="1:15" x14ac:dyDescent="0.25">
      <c r="A393" s="13">
        <v>26</v>
      </c>
      <c r="B393" s="13" t="str">
        <f>IFERROR(IF(SUMIFS(tblDaily[Admissions],tblDaily[EntryDate],DATE(2026,10,26),tblDaily[WardCode],"MAE")=0,"",SUMIFS(tblDaily[Admissions],tblDaily[EntryDate],DATE(2026,10,26),tblDaily[WardCode],"MAE")),"")</f>
        <v/>
      </c>
      <c r="C393" s="13" t="str">
        <f>IFERROR(IF(SUMIFS(tblDaily[Discharges],tblDaily[EntryDate],DATE(2026,10,26),tblDaily[WardCode],"MAE")=0,"",SUMIFS(tblDaily[Discharges],tblDaily[EntryDate],DATE(2026,10,26),tblDaily[WardCode],"MAE")),"")</f>
        <v/>
      </c>
      <c r="D393" s="13" t="str">
        <f>IFERROR(IF(SUMIFS(tblDaily[Deaths],tblDaily[EntryDate],DATE(2026,10,26),tblDaily[WardCode],"MAE")=0,"",SUMIFS(tblDaily[Deaths],tblDaily[EntryDate],DATE(2026,10,26),tblDaily[WardCode],"MAE")),"")</f>
        <v/>
      </c>
      <c r="E393" s="13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3" t="str">
        <f>IFERROR(IF(SUMIFS(tblDaily[TransfersIn],tblDaily[EntryDate],DATE(2026,10,26),tblDaily[WardCode],"MAE")=0,"",SUMIFS(tblDaily[TransfersIn],tblDaily[EntryDate],DATE(2026,10,26),tblDaily[WardCode],"MAE")),"")</f>
        <v/>
      </c>
      <c r="G393" s="13" t="str">
        <f>IFERROR(IF(SUMIFS(tblDaily[TransfersOut],tblDaily[EntryDate],DATE(2026,10,26),tblDaily[WardCode],"MAE")=0,"",SUMIFS(tblDaily[TransfersOut],tblDaily[EntryDate],DATE(2026,10,26),tblDaily[WardCode],"MAE")),"")</f>
        <v/>
      </c>
      <c r="H393" s="13" t="str">
        <f>IFERROR(IF(SUMIFS(tblDaily[Remaining],tblDaily[EntryDate],DATE(2026,10,26),tblDaily[WardCode],"MAE")=0,"",SUMIFS(tblDaily[Remaining],tblDaily[EntryDate],DATE(2026,10,26),tblDaily[WardCode],"MAE")),"")</f>
        <v/>
      </c>
      <c r="I393" s="13" t="str">
        <f>IFERROR(IF(SUMIFS(tblDaily[Admissions],tblDaily[EntryDate],DATE(2026,10,26),tblDaily[WardCode],"FAE")=0,"",SUMIFS(tblDaily[Admissions],tblDaily[EntryDate],DATE(2026,10,26),tblDaily[WardCode],"FAE")),"")</f>
        <v/>
      </c>
      <c r="J393" s="13" t="str">
        <f>IFERROR(IF(SUMIFS(tblDaily[Discharges],tblDaily[EntryDate],DATE(2026,10,26),tblDaily[WardCode],"FAE")=0,"",SUMIFS(tblDaily[Discharges],tblDaily[EntryDate],DATE(2026,10,26),tblDaily[WardCode],"FAE")),"")</f>
        <v/>
      </c>
      <c r="K393" s="13" t="str">
        <f>IFERROR(IF(SUMIFS(tblDaily[Deaths],tblDaily[EntryDate],DATE(2026,10,26),tblDaily[WardCode],"FAE")=0,"",SUMIFS(tblDaily[Deaths],tblDaily[EntryDate],DATE(2026,10,26),tblDaily[WardCode],"FAE")),"")</f>
        <v/>
      </c>
      <c r="L393" s="13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3" t="str">
        <f>IFERROR(IF(SUMIFS(tblDaily[TransfersIn],tblDaily[EntryDate],DATE(2026,10,26),tblDaily[WardCode],"FAE")=0,"",SUMIFS(tblDaily[TransfersIn],tblDaily[EntryDate],DATE(2026,10,26),tblDaily[WardCode],"FAE")),"")</f>
        <v/>
      </c>
      <c r="N393" s="13" t="str">
        <f>IFERROR(IF(SUMIFS(tblDaily[TransfersOut],tblDaily[EntryDate],DATE(2026,10,26),tblDaily[WardCode],"FAE")=0,"",SUMIFS(tblDaily[TransfersOut],tblDaily[EntryDate],DATE(2026,10,26),tblDaily[WardCode],"FAE")),"")</f>
        <v/>
      </c>
      <c r="O393" s="13" t="str">
        <f>IFERROR(IF(SUMIFS(tblDaily[Remaining],tblDaily[EntryDate],DATE(2026,10,26),tblDaily[WardCode],"FAE")=0,"",SUMIFS(tblDaily[Remaining],tblDaily[EntryDate],DATE(2026,10,26),tblDaily[WardCode],"FAE")),"")</f>
        <v/>
      </c>
    </row>
    <row r="394" spans="1:15" x14ac:dyDescent="0.25">
      <c r="A394" s="13">
        <v>27</v>
      </c>
      <c r="B394" s="13" t="str">
        <f>IFERROR(IF(SUMIFS(tblDaily[Admissions],tblDaily[EntryDate],DATE(2026,10,27),tblDaily[WardCode],"MAE")=0,"",SUMIFS(tblDaily[Admissions],tblDaily[EntryDate],DATE(2026,10,27),tblDaily[WardCode],"MAE")),"")</f>
        <v/>
      </c>
      <c r="C394" s="13" t="str">
        <f>IFERROR(IF(SUMIFS(tblDaily[Discharges],tblDaily[EntryDate],DATE(2026,10,27),tblDaily[WardCode],"MAE")=0,"",SUMIFS(tblDaily[Discharges],tblDaily[EntryDate],DATE(2026,10,27),tblDaily[WardCode],"MAE")),"")</f>
        <v/>
      </c>
      <c r="D394" s="13" t="str">
        <f>IFERROR(IF(SUMIFS(tblDaily[Deaths],tblDaily[EntryDate],DATE(2026,10,27),tblDaily[WardCode],"MAE")=0,"",SUMIFS(tblDaily[Deaths],tblDaily[EntryDate],DATE(2026,10,27),tblDaily[WardCode],"MAE")),"")</f>
        <v/>
      </c>
      <c r="E394" s="13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3" t="str">
        <f>IFERROR(IF(SUMIFS(tblDaily[TransfersIn],tblDaily[EntryDate],DATE(2026,10,27),tblDaily[WardCode],"MAE")=0,"",SUMIFS(tblDaily[TransfersIn],tblDaily[EntryDate],DATE(2026,10,27),tblDaily[WardCode],"MAE")),"")</f>
        <v/>
      </c>
      <c r="G394" s="13" t="str">
        <f>IFERROR(IF(SUMIFS(tblDaily[TransfersOut],tblDaily[EntryDate],DATE(2026,10,27),tblDaily[WardCode],"MAE")=0,"",SUMIFS(tblDaily[TransfersOut],tblDaily[EntryDate],DATE(2026,10,27),tblDaily[WardCode],"MAE")),"")</f>
        <v/>
      </c>
      <c r="H394" s="13" t="str">
        <f>IFERROR(IF(SUMIFS(tblDaily[Remaining],tblDaily[EntryDate],DATE(2026,10,27),tblDaily[WardCode],"MAE")=0,"",SUMIFS(tblDaily[Remaining],tblDaily[EntryDate],DATE(2026,10,27),tblDaily[WardCode],"MAE")),"")</f>
        <v/>
      </c>
      <c r="I394" s="13" t="str">
        <f>IFERROR(IF(SUMIFS(tblDaily[Admissions],tblDaily[EntryDate],DATE(2026,10,27),tblDaily[WardCode],"FAE")=0,"",SUMIFS(tblDaily[Admissions],tblDaily[EntryDate],DATE(2026,10,27),tblDaily[WardCode],"FAE")),"")</f>
        <v/>
      </c>
      <c r="J394" s="13" t="str">
        <f>IFERROR(IF(SUMIFS(tblDaily[Discharges],tblDaily[EntryDate],DATE(2026,10,27),tblDaily[WardCode],"FAE")=0,"",SUMIFS(tblDaily[Discharges],tblDaily[EntryDate],DATE(2026,10,27),tblDaily[WardCode],"FAE")),"")</f>
        <v/>
      </c>
      <c r="K394" s="13" t="str">
        <f>IFERROR(IF(SUMIFS(tblDaily[Deaths],tblDaily[EntryDate],DATE(2026,10,27),tblDaily[WardCode],"FAE")=0,"",SUMIFS(tblDaily[Deaths],tblDaily[EntryDate],DATE(2026,10,27),tblDaily[WardCode],"FAE")),"")</f>
        <v/>
      </c>
      <c r="L394" s="13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3" t="str">
        <f>IFERROR(IF(SUMIFS(tblDaily[TransfersIn],tblDaily[EntryDate],DATE(2026,10,27),tblDaily[WardCode],"FAE")=0,"",SUMIFS(tblDaily[TransfersIn],tblDaily[EntryDate],DATE(2026,10,27),tblDaily[WardCode],"FAE")),"")</f>
        <v/>
      </c>
      <c r="N394" s="13" t="str">
        <f>IFERROR(IF(SUMIFS(tblDaily[TransfersOut],tblDaily[EntryDate],DATE(2026,10,27),tblDaily[WardCode],"FAE")=0,"",SUMIFS(tblDaily[TransfersOut],tblDaily[EntryDate],DATE(2026,10,27),tblDaily[WardCode],"FAE")),"")</f>
        <v/>
      </c>
      <c r="O394" s="13" t="str">
        <f>IFERROR(IF(SUMIFS(tblDaily[Remaining],tblDaily[EntryDate],DATE(2026,10,27),tblDaily[WardCode],"FAE")=0,"",SUMIFS(tblDaily[Remaining],tblDaily[EntryDate],DATE(2026,10,27),tblDaily[WardCode],"FAE")),"")</f>
        <v/>
      </c>
    </row>
    <row r="395" spans="1:15" x14ac:dyDescent="0.25">
      <c r="A395" s="13">
        <v>28</v>
      </c>
      <c r="B395" s="13" t="str">
        <f>IFERROR(IF(SUMIFS(tblDaily[Admissions],tblDaily[EntryDate],DATE(2026,10,28),tblDaily[WardCode],"MAE")=0,"",SUMIFS(tblDaily[Admissions],tblDaily[EntryDate],DATE(2026,10,28),tblDaily[WardCode],"MAE")),"")</f>
        <v/>
      </c>
      <c r="C395" s="13" t="str">
        <f>IFERROR(IF(SUMIFS(tblDaily[Discharges],tblDaily[EntryDate],DATE(2026,10,28),tblDaily[WardCode],"MAE")=0,"",SUMIFS(tblDaily[Discharges],tblDaily[EntryDate],DATE(2026,10,28),tblDaily[WardCode],"MAE")),"")</f>
        <v/>
      </c>
      <c r="D395" s="13" t="str">
        <f>IFERROR(IF(SUMIFS(tblDaily[Deaths],tblDaily[EntryDate],DATE(2026,10,28),tblDaily[WardCode],"MAE")=0,"",SUMIFS(tblDaily[Deaths],tblDaily[EntryDate],DATE(2026,10,28),tblDaily[WardCode],"MAE")),"")</f>
        <v/>
      </c>
      <c r="E395" s="13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3" t="str">
        <f>IFERROR(IF(SUMIFS(tblDaily[TransfersIn],tblDaily[EntryDate],DATE(2026,10,28),tblDaily[WardCode],"MAE")=0,"",SUMIFS(tblDaily[TransfersIn],tblDaily[EntryDate],DATE(2026,10,28),tblDaily[WardCode],"MAE")),"")</f>
        <v/>
      </c>
      <c r="G395" s="13" t="str">
        <f>IFERROR(IF(SUMIFS(tblDaily[TransfersOut],tblDaily[EntryDate],DATE(2026,10,28),tblDaily[WardCode],"MAE")=0,"",SUMIFS(tblDaily[TransfersOut],tblDaily[EntryDate],DATE(2026,10,28),tblDaily[WardCode],"MAE")),"")</f>
        <v/>
      </c>
      <c r="H395" s="13" t="str">
        <f>IFERROR(IF(SUMIFS(tblDaily[Remaining],tblDaily[EntryDate],DATE(2026,10,28),tblDaily[WardCode],"MAE")=0,"",SUMIFS(tblDaily[Remaining],tblDaily[EntryDate],DATE(2026,10,28),tblDaily[WardCode],"MAE")),"")</f>
        <v/>
      </c>
      <c r="I395" s="13" t="str">
        <f>IFERROR(IF(SUMIFS(tblDaily[Admissions],tblDaily[EntryDate],DATE(2026,10,28),tblDaily[WardCode],"FAE")=0,"",SUMIFS(tblDaily[Admissions],tblDaily[EntryDate],DATE(2026,10,28),tblDaily[WardCode],"FAE")),"")</f>
        <v/>
      </c>
      <c r="J395" s="13" t="str">
        <f>IFERROR(IF(SUMIFS(tblDaily[Discharges],tblDaily[EntryDate],DATE(2026,10,28),tblDaily[WardCode],"FAE")=0,"",SUMIFS(tblDaily[Discharges],tblDaily[EntryDate],DATE(2026,10,28),tblDaily[WardCode],"FAE")),"")</f>
        <v/>
      </c>
      <c r="K395" s="13" t="str">
        <f>IFERROR(IF(SUMIFS(tblDaily[Deaths],tblDaily[EntryDate],DATE(2026,10,28),tblDaily[WardCode],"FAE")=0,"",SUMIFS(tblDaily[Deaths],tblDaily[EntryDate],DATE(2026,10,28),tblDaily[WardCode],"FAE")),"")</f>
        <v/>
      </c>
      <c r="L395" s="13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3" t="str">
        <f>IFERROR(IF(SUMIFS(tblDaily[TransfersIn],tblDaily[EntryDate],DATE(2026,10,28),tblDaily[WardCode],"FAE")=0,"",SUMIFS(tblDaily[TransfersIn],tblDaily[EntryDate],DATE(2026,10,28),tblDaily[WardCode],"FAE")),"")</f>
        <v/>
      </c>
      <c r="N395" s="13" t="str">
        <f>IFERROR(IF(SUMIFS(tblDaily[TransfersOut],tblDaily[EntryDate],DATE(2026,10,28),tblDaily[WardCode],"FAE")=0,"",SUMIFS(tblDaily[TransfersOut],tblDaily[EntryDate],DATE(2026,10,28),tblDaily[WardCode],"FAE")),"")</f>
        <v/>
      </c>
      <c r="O395" s="13" t="str">
        <f>IFERROR(IF(SUMIFS(tblDaily[Remaining],tblDaily[EntryDate],DATE(2026,10,28),tblDaily[WardCode],"FAE")=0,"",SUMIFS(tblDaily[Remaining],tblDaily[EntryDate],DATE(2026,10,28),tblDaily[WardCode],"FAE")),"")</f>
        <v/>
      </c>
    </row>
    <row r="396" spans="1:15" x14ac:dyDescent="0.25">
      <c r="A396" s="13">
        <v>29</v>
      </c>
      <c r="B396" s="13" t="str">
        <f>IFERROR(IF(SUMIFS(tblDaily[Admissions],tblDaily[EntryDate],DATE(2026,10,29),tblDaily[WardCode],"MAE")=0,"",SUMIFS(tblDaily[Admissions],tblDaily[EntryDate],DATE(2026,10,29),tblDaily[WardCode],"MAE")),"")</f>
        <v/>
      </c>
      <c r="C396" s="13" t="str">
        <f>IFERROR(IF(SUMIFS(tblDaily[Discharges],tblDaily[EntryDate],DATE(2026,10,29),tblDaily[WardCode],"MAE")=0,"",SUMIFS(tblDaily[Discharges],tblDaily[EntryDate],DATE(2026,10,29),tblDaily[WardCode],"MAE")),"")</f>
        <v/>
      </c>
      <c r="D396" s="13" t="str">
        <f>IFERROR(IF(SUMIFS(tblDaily[Deaths],tblDaily[EntryDate],DATE(2026,10,29),tblDaily[WardCode],"MAE")=0,"",SUMIFS(tblDaily[Deaths],tblDaily[EntryDate],DATE(2026,10,29),tblDaily[WardCode],"MAE")),"")</f>
        <v/>
      </c>
      <c r="E396" s="13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3" t="str">
        <f>IFERROR(IF(SUMIFS(tblDaily[TransfersIn],tblDaily[EntryDate],DATE(2026,10,29),tblDaily[WardCode],"MAE")=0,"",SUMIFS(tblDaily[TransfersIn],tblDaily[EntryDate],DATE(2026,10,29),tblDaily[WardCode],"MAE")),"")</f>
        <v/>
      </c>
      <c r="G396" s="13" t="str">
        <f>IFERROR(IF(SUMIFS(tblDaily[TransfersOut],tblDaily[EntryDate],DATE(2026,10,29),tblDaily[WardCode],"MAE")=0,"",SUMIFS(tblDaily[TransfersOut],tblDaily[EntryDate],DATE(2026,10,29),tblDaily[WardCode],"MAE")),"")</f>
        <v/>
      </c>
      <c r="H396" s="13" t="str">
        <f>IFERROR(IF(SUMIFS(tblDaily[Remaining],tblDaily[EntryDate],DATE(2026,10,29),tblDaily[WardCode],"MAE")=0,"",SUMIFS(tblDaily[Remaining],tblDaily[EntryDate],DATE(2026,10,29),tblDaily[WardCode],"MAE")),"")</f>
        <v/>
      </c>
      <c r="I396" s="13" t="str">
        <f>IFERROR(IF(SUMIFS(tblDaily[Admissions],tblDaily[EntryDate],DATE(2026,10,29),tblDaily[WardCode],"FAE")=0,"",SUMIFS(tblDaily[Admissions],tblDaily[EntryDate],DATE(2026,10,29),tblDaily[WardCode],"FAE")),"")</f>
        <v/>
      </c>
      <c r="J396" s="13" t="str">
        <f>IFERROR(IF(SUMIFS(tblDaily[Discharges],tblDaily[EntryDate],DATE(2026,10,29),tblDaily[WardCode],"FAE")=0,"",SUMIFS(tblDaily[Discharges],tblDaily[EntryDate],DATE(2026,10,29),tblDaily[WardCode],"FAE")),"")</f>
        <v/>
      </c>
      <c r="K396" s="13" t="str">
        <f>IFERROR(IF(SUMIFS(tblDaily[Deaths],tblDaily[EntryDate],DATE(2026,10,29),tblDaily[WardCode],"FAE")=0,"",SUMIFS(tblDaily[Deaths],tblDaily[EntryDate],DATE(2026,10,29),tblDaily[WardCode],"FAE")),"")</f>
        <v/>
      </c>
      <c r="L396" s="13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3" t="str">
        <f>IFERROR(IF(SUMIFS(tblDaily[TransfersIn],tblDaily[EntryDate],DATE(2026,10,29),tblDaily[WardCode],"FAE")=0,"",SUMIFS(tblDaily[TransfersIn],tblDaily[EntryDate],DATE(2026,10,29),tblDaily[WardCode],"FAE")),"")</f>
        <v/>
      </c>
      <c r="N396" s="13" t="str">
        <f>IFERROR(IF(SUMIFS(tblDaily[TransfersOut],tblDaily[EntryDate],DATE(2026,10,29),tblDaily[WardCode],"FAE")=0,"",SUMIFS(tblDaily[TransfersOut],tblDaily[EntryDate],DATE(2026,10,29),tblDaily[WardCode],"FAE")),"")</f>
        <v/>
      </c>
      <c r="O396" s="13" t="str">
        <f>IFERROR(IF(SUMIFS(tblDaily[Remaining],tblDaily[EntryDate],DATE(2026,10,29),tblDaily[WardCode],"FAE")=0,"",SUMIFS(tblDaily[Remaining],tblDaily[EntryDate],DATE(2026,10,29),tblDaily[WardCode],"FAE")),"")</f>
        <v/>
      </c>
    </row>
    <row r="397" spans="1:15" x14ac:dyDescent="0.25">
      <c r="A397" s="13">
        <v>30</v>
      </c>
      <c r="B397" s="13" t="str">
        <f>IFERROR(IF(SUMIFS(tblDaily[Admissions],tblDaily[EntryDate],DATE(2026,10,30),tblDaily[WardCode],"MAE")=0,"",SUMIFS(tblDaily[Admissions],tblDaily[EntryDate],DATE(2026,10,30),tblDaily[WardCode],"MAE")),"")</f>
        <v/>
      </c>
      <c r="C397" s="13" t="str">
        <f>IFERROR(IF(SUMIFS(tblDaily[Discharges],tblDaily[EntryDate],DATE(2026,10,30),tblDaily[WardCode],"MAE")=0,"",SUMIFS(tblDaily[Discharges],tblDaily[EntryDate],DATE(2026,10,30),tblDaily[WardCode],"MAE")),"")</f>
        <v/>
      </c>
      <c r="D397" s="13" t="str">
        <f>IFERROR(IF(SUMIFS(tblDaily[Deaths],tblDaily[EntryDate],DATE(2026,10,30),tblDaily[WardCode],"MAE")=0,"",SUMIFS(tblDaily[Deaths],tblDaily[EntryDate],DATE(2026,10,30),tblDaily[WardCode],"MAE")),"")</f>
        <v/>
      </c>
      <c r="E397" s="13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3" t="str">
        <f>IFERROR(IF(SUMIFS(tblDaily[TransfersIn],tblDaily[EntryDate],DATE(2026,10,30),tblDaily[WardCode],"MAE")=0,"",SUMIFS(tblDaily[TransfersIn],tblDaily[EntryDate],DATE(2026,10,30),tblDaily[WardCode],"MAE")),"")</f>
        <v/>
      </c>
      <c r="G397" s="13" t="str">
        <f>IFERROR(IF(SUMIFS(tblDaily[TransfersOut],tblDaily[EntryDate],DATE(2026,10,30),tblDaily[WardCode],"MAE")=0,"",SUMIFS(tblDaily[TransfersOut],tblDaily[EntryDate],DATE(2026,10,30),tblDaily[WardCode],"MAE")),"")</f>
        <v/>
      </c>
      <c r="H397" s="13" t="str">
        <f>IFERROR(IF(SUMIFS(tblDaily[Remaining],tblDaily[EntryDate],DATE(2026,10,30),tblDaily[WardCode],"MAE")=0,"",SUMIFS(tblDaily[Remaining],tblDaily[EntryDate],DATE(2026,10,30),tblDaily[WardCode],"MAE")),"")</f>
        <v/>
      </c>
      <c r="I397" s="13" t="str">
        <f>IFERROR(IF(SUMIFS(tblDaily[Admissions],tblDaily[EntryDate],DATE(2026,10,30),tblDaily[WardCode],"FAE")=0,"",SUMIFS(tblDaily[Admissions],tblDaily[EntryDate],DATE(2026,10,30),tblDaily[WardCode],"FAE")),"")</f>
        <v/>
      </c>
      <c r="J397" s="13" t="str">
        <f>IFERROR(IF(SUMIFS(tblDaily[Discharges],tblDaily[EntryDate],DATE(2026,10,30),tblDaily[WardCode],"FAE")=0,"",SUMIFS(tblDaily[Discharges],tblDaily[EntryDate],DATE(2026,10,30),tblDaily[WardCode],"FAE")),"")</f>
        <v/>
      </c>
      <c r="K397" s="13" t="str">
        <f>IFERROR(IF(SUMIFS(tblDaily[Deaths],tblDaily[EntryDate],DATE(2026,10,30),tblDaily[WardCode],"FAE")=0,"",SUMIFS(tblDaily[Deaths],tblDaily[EntryDate],DATE(2026,10,30),tblDaily[WardCode],"FAE")),"")</f>
        <v/>
      </c>
      <c r="L397" s="13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3" t="str">
        <f>IFERROR(IF(SUMIFS(tblDaily[TransfersIn],tblDaily[EntryDate],DATE(2026,10,30),tblDaily[WardCode],"FAE")=0,"",SUMIFS(tblDaily[TransfersIn],tblDaily[EntryDate],DATE(2026,10,30),tblDaily[WardCode],"FAE")),"")</f>
        <v/>
      </c>
      <c r="N397" s="13" t="str">
        <f>IFERROR(IF(SUMIFS(tblDaily[TransfersOut],tblDaily[EntryDate],DATE(2026,10,30),tblDaily[WardCode],"FAE")=0,"",SUMIFS(tblDaily[TransfersOut],tblDaily[EntryDate],DATE(2026,10,30),tblDaily[WardCode],"FAE")),"")</f>
        <v/>
      </c>
      <c r="O397" s="13" t="str">
        <f>IFERROR(IF(SUMIFS(tblDaily[Remaining],tblDaily[EntryDate],DATE(2026,10,30),tblDaily[WardCode],"FAE")=0,"",SUMIFS(tblDaily[Remaining],tblDaily[EntryDate],DATE(2026,10,30),tblDaily[WardCode],"FAE")),"")</f>
        <v/>
      </c>
    </row>
    <row r="398" spans="1:15" x14ac:dyDescent="0.25">
      <c r="A398" s="13">
        <v>31</v>
      </c>
      <c r="B398" s="13" t="str">
        <f>IFERROR(IF(SUMIFS(tblDaily[Admissions],tblDaily[EntryDate],DATE(2026,10,31),tblDaily[WardCode],"MAE")=0,"",SUMIFS(tblDaily[Admissions],tblDaily[EntryDate],DATE(2026,10,31),tblDaily[WardCode],"MAE")),"")</f>
        <v/>
      </c>
      <c r="C398" s="13" t="str">
        <f>IFERROR(IF(SUMIFS(tblDaily[Discharges],tblDaily[EntryDate],DATE(2026,10,31),tblDaily[WardCode],"MAE")=0,"",SUMIFS(tblDaily[Discharges],tblDaily[EntryDate],DATE(2026,10,31),tblDaily[WardCode],"MAE")),"")</f>
        <v/>
      </c>
      <c r="D398" s="13" t="str">
        <f>IFERROR(IF(SUMIFS(tblDaily[Deaths],tblDaily[EntryDate],DATE(2026,10,31),tblDaily[WardCode],"MAE")=0,"",SUMIFS(tblDaily[Deaths],tblDaily[EntryDate],DATE(2026,10,31),tblDaily[WardCode],"MAE")),"")</f>
        <v/>
      </c>
      <c r="E398" s="13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3" t="str">
        <f>IFERROR(IF(SUMIFS(tblDaily[TransfersIn],tblDaily[EntryDate],DATE(2026,10,31),tblDaily[WardCode],"MAE")=0,"",SUMIFS(tblDaily[TransfersIn],tblDaily[EntryDate],DATE(2026,10,31),tblDaily[WardCode],"MAE")),"")</f>
        <v/>
      </c>
      <c r="G398" s="13" t="str">
        <f>IFERROR(IF(SUMIFS(tblDaily[TransfersOut],tblDaily[EntryDate],DATE(2026,10,31),tblDaily[WardCode],"MAE")=0,"",SUMIFS(tblDaily[TransfersOut],tblDaily[EntryDate],DATE(2026,10,31),tblDaily[WardCode],"MAE")),"")</f>
        <v/>
      </c>
      <c r="H398" s="13" t="str">
        <f>IFERROR(IF(SUMIFS(tblDaily[Remaining],tblDaily[EntryDate],DATE(2026,10,31),tblDaily[WardCode],"MAE")=0,"",SUMIFS(tblDaily[Remaining],tblDaily[EntryDate],DATE(2026,10,31),tblDaily[WardCode],"MAE")),"")</f>
        <v/>
      </c>
      <c r="I398" s="13" t="str">
        <f>IFERROR(IF(SUMIFS(tblDaily[Admissions],tblDaily[EntryDate],DATE(2026,10,31),tblDaily[WardCode],"FAE")=0,"",SUMIFS(tblDaily[Admissions],tblDaily[EntryDate],DATE(2026,10,31),tblDaily[WardCode],"FAE")),"")</f>
        <v/>
      </c>
      <c r="J398" s="13" t="str">
        <f>IFERROR(IF(SUMIFS(tblDaily[Discharges],tblDaily[EntryDate],DATE(2026,10,31),tblDaily[WardCode],"FAE")=0,"",SUMIFS(tblDaily[Discharges],tblDaily[EntryDate],DATE(2026,10,31),tblDaily[WardCode],"FAE")),"")</f>
        <v/>
      </c>
      <c r="K398" s="13" t="str">
        <f>IFERROR(IF(SUMIFS(tblDaily[Deaths],tblDaily[EntryDate],DATE(2026,10,31),tblDaily[WardCode],"FAE")=0,"",SUMIFS(tblDaily[Deaths],tblDaily[EntryDate],DATE(2026,10,31),tblDaily[WardCode],"FAE")),"")</f>
        <v/>
      </c>
      <c r="L398" s="13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3" t="str">
        <f>IFERROR(IF(SUMIFS(tblDaily[TransfersIn],tblDaily[EntryDate],DATE(2026,10,31),tblDaily[WardCode],"FAE")=0,"",SUMIFS(tblDaily[TransfersIn],tblDaily[EntryDate],DATE(2026,10,31),tblDaily[WardCode],"FAE")),"")</f>
        <v/>
      </c>
      <c r="N398" s="13" t="str">
        <f>IFERROR(IF(SUMIFS(tblDaily[TransfersOut],tblDaily[EntryDate],DATE(2026,10,31),tblDaily[WardCode],"FAE")=0,"",SUMIFS(tblDaily[TransfersOut],tblDaily[EntryDate],DATE(2026,10,31),tblDaily[WardCode],"FAE")),"")</f>
        <v/>
      </c>
      <c r="O398" s="13" t="str">
        <f>IFERROR(IF(SUMIFS(tblDaily[Remaining],tblDaily[EntryDate],DATE(2026,10,31),tblDaily[WardCode],"FAE")=0,"",SUMIFS(tblDaily[Remaining],tblDaily[EntryDate],DATE(2026,10,31),tblDaily[WardCode],"FAE")),"")</f>
        <v/>
      </c>
    </row>
    <row r="399" spans="1:15" x14ac:dyDescent="0.25">
      <c r="A399" s="9" t="s">
        <v>110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</row>
    <row r="401" spans="1:15" ht="18.75" x14ac:dyDescent="0.25">
      <c r="A401" s="36" t="s">
        <v>0</v>
      </c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</row>
    <row r="402" spans="1:15" ht="15.75" x14ac:dyDescent="0.25">
      <c r="A402" s="34" t="s">
        <v>99</v>
      </c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</row>
    <row r="403" spans="1:15" x14ac:dyDescent="0.25">
      <c r="A403" s="1" t="s">
        <v>4</v>
      </c>
      <c r="B403" s="2" t="s">
        <v>2</v>
      </c>
      <c r="E403" s="1" t="s">
        <v>100</v>
      </c>
      <c r="F403" s="1" t="s">
        <v>119</v>
      </c>
      <c r="M403" s="1" t="s">
        <v>102</v>
      </c>
      <c r="N403" s="1" t="s">
        <v>68</v>
      </c>
    </row>
    <row r="404" spans="1:15" x14ac:dyDescent="0.25">
      <c r="A404" s="1" t="s">
        <v>103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5" x14ac:dyDescent="0.25">
      <c r="A405" s="1" t="s">
        <v>104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5" x14ac:dyDescent="0.25">
      <c r="A406" s="3" t="s">
        <v>120</v>
      </c>
      <c r="B406" s="35" t="s">
        <v>117</v>
      </c>
      <c r="C406" s="26"/>
      <c r="D406" s="26"/>
      <c r="E406" s="26"/>
      <c r="F406" s="26"/>
      <c r="G406" s="26"/>
      <c r="H406" s="26"/>
      <c r="I406" s="37" t="s">
        <v>118</v>
      </c>
      <c r="J406" s="26"/>
      <c r="K406" s="26"/>
      <c r="L406" s="26"/>
      <c r="M406" s="26"/>
      <c r="N406" s="26"/>
      <c r="O406" s="26"/>
    </row>
    <row r="407" spans="1:15" x14ac:dyDescent="0.25">
      <c r="A407" s="3" t="s">
        <v>120</v>
      </c>
      <c r="B407" s="3" t="s">
        <v>121</v>
      </c>
      <c r="C407" s="3" t="s">
        <v>122</v>
      </c>
      <c r="D407" s="3" t="s">
        <v>123</v>
      </c>
      <c r="E407" s="3" t="s">
        <v>124</v>
      </c>
      <c r="F407" s="3" t="s">
        <v>125</v>
      </c>
      <c r="G407" s="3" t="s">
        <v>126</v>
      </c>
      <c r="H407" s="3" t="s">
        <v>127</v>
      </c>
      <c r="I407" s="3" t="s">
        <v>121</v>
      </c>
      <c r="J407" s="3" t="s">
        <v>122</v>
      </c>
      <c r="K407" s="3" t="s">
        <v>123</v>
      </c>
      <c r="L407" s="3" t="s">
        <v>124</v>
      </c>
      <c r="M407" s="3" t="s">
        <v>125</v>
      </c>
      <c r="N407" s="3" t="s">
        <v>126</v>
      </c>
      <c r="O407" s="3" t="s">
        <v>127</v>
      </c>
    </row>
    <row r="408" spans="1:15" x14ac:dyDescent="0.25">
      <c r="A408" s="13">
        <v>1</v>
      </c>
      <c r="B408" s="13" t="str">
        <f>IFERROR(IF(SUMIFS(tblDaily[Admissions],tblDaily[EntryDate],DATE(2026,11,1),tblDaily[WardCode],"MAE")=0,"",SUMIFS(tblDaily[Admissions],tblDaily[EntryDate],DATE(2026,11,1),tblDaily[WardCode],"MAE")),"")</f>
        <v/>
      </c>
      <c r="C408" s="13" t="str">
        <f>IFERROR(IF(SUMIFS(tblDaily[Discharges],tblDaily[EntryDate],DATE(2026,11,1),tblDaily[WardCode],"MAE")=0,"",SUMIFS(tblDaily[Discharges],tblDaily[EntryDate],DATE(2026,11,1),tblDaily[WardCode],"MAE")),"")</f>
        <v/>
      </c>
      <c r="D408" s="13" t="str">
        <f>IFERROR(IF(SUMIFS(tblDaily[Deaths],tblDaily[EntryDate],DATE(2026,11,1),tblDaily[WardCode],"MAE")=0,"",SUMIFS(tblDaily[Deaths],tblDaily[EntryDate],DATE(2026,11,1),tblDaily[WardCode],"MAE")),"")</f>
        <v/>
      </c>
      <c r="E408" s="13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3" t="str">
        <f>IFERROR(IF(SUMIFS(tblDaily[TransfersIn],tblDaily[EntryDate],DATE(2026,11,1),tblDaily[WardCode],"MAE")=0,"",SUMIFS(tblDaily[TransfersIn],tblDaily[EntryDate],DATE(2026,11,1),tblDaily[WardCode],"MAE")),"")</f>
        <v/>
      </c>
      <c r="G408" s="13" t="str">
        <f>IFERROR(IF(SUMIFS(tblDaily[TransfersOut],tblDaily[EntryDate],DATE(2026,11,1),tblDaily[WardCode],"MAE")=0,"",SUMIFS(tblDaily[TransfersOut],tblDaily[EntryDate],DATE(2026,11,1),tblDaily[WardCode],"MAE")),"")</f>
        <v/>
      </c>
      <c r="H408" s="13" t="str">
        <f>IFERROR(IF(SUMIFS(tblDaily[Remaining],tblDaily[EntryDate],DATE(2026,11,1),tblDaily[WardCode],"MAE")=0,"",SUMIFS(tblDaily[Remaining],tblDaily[EntryDate],DATE(2026,11,1),tblDaily[WardCode],"MAE")),"")</f>
        <v/>
      </c>
      <c r="I408" s="13" t="str">
        <f>IFERROR(IF(SUMIFS(tblDaily[Admissions],tblDaily[EntryDate],DATE(2026,11,1),tblDaily[WardCode],"FAE")=0,"",SUMIFS(tblDaily[Admissions],tblDaily[EntryDate],DATE(2026,11,1),tblDaily[WardCode],"FAE")),"")</f>
        <v/>
      </c>
      <c r="J408" s="13" t="str">
        <f>IFERROR(IF(SUMIFS(tblDaily[Discharges],tblDaily[EntryDate],DATE(2026,11,1),tblDaily[WardCode],"FAE")=0,"",SUMIFS(tblDaily[Discharges],tblDaily[EntryDate],DATE(2026,11,1),tblDaily[WardCode],"FAE")),"")</f>
        <v/>
      </c>
      <c r="K408" s="13" t="str">
        <f>IFERROR(IF(SUMIFS(tblDaily[Deaths],tblDaily[EntryDate],DATE(2026,11,1),tblDaily[WardCode],"FAE")=0,"",SUMIFS(tblDaily[Deaths],tblDaily[EntryDate],DATE(2026,11,1),tblDaily[WardCode],"FAE")),"")</f>
        <v/>
      </c>
      <c r="L408" s="13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3" t="str">
        <f>IFERROR(IF(SUMIFS(tblDaily[TransfersIn],tblDaily[EntryDate],DATE(2026,11,1),tblDaily[WardCode],"FAE")=0,"",SUMIFS(tblDaily[TransfersIn],tblDaily[EntryDate],DATE(2026,11,1),tblDaily[WardCode],"FAE")),"")</f>
        <v/>
      </c>
      <c r="N408" s="13" t="str">
        <f>IFERROR(IF(SUMIFS(tblDaily[TransfersOut],tblDaily[EntryDate],DATE(2026,11,1),tblDaily[WardCode],"FAE")=0,"",SUMIFS(tblDaily[TransfersOut],tblDaily[EntryDate],DATE(2026,11,1),tblDaily[WardCode],"FAE")),"")</f>
        <v/>
      </c>
      <c r="O408" s="13" t="str">
        <f>IFERROR(IF(SUMIFS(tblDaily[Remaining],tblDaily[EntryDate],DATE(2026,11,1),tblDaily[WardCode],"FAE")=0,"",SUMIFS(tblDaily[Remaining],tblDaily[EntryDate],DATE(2026,11,1),tblDaily[WardCode],"FAE")),"")</f>
        <v/>
      </c>
    </row>
    <row r="409" spans="1:15" x14ac:dyDescent="0.25">
      <c r="A409" s="13">
        <v>2</v>
      </c>
      <c r="B409" s="13" t="str">
        <f>IFERROR(IF(SUMIFS(tblDaily[Admissions],tblDaily[EntryDate],DATE(2026,11,2),tblDaily[WardCode],"MAE")=0,"",SUMIFS(tblDaily[Admissions],tblDaily[EntryDate],DATE(2026,11,2),tblDaily[WardCode],"MAE")),"")</f>
        <v/>
      </c>
      <c r="C409" s="13" t="str">
        <f>IFERROR(IF(SUMIFS(tblDaily[Discharges],tblDaily[EntryDate],DATE(2026,11,2),tblDaily[WardCode],"MAE")=0,"",SUMIFS(tblDaily[Discharges],tblDaily[EntryDate],DATE(2026,11,2),tblDaily[WardCode],"MAE")),"")</f>
        <v/>
      </c>
      <c r="D409" s="13" t="str">
        <f>IFERROR(IF(SUMIFS(tblDaily[Deaths],tblDaily[EntryDate],DATE(2026,11,2),tblDaily[WardCode],"MAE")=0,"",SUMIFS(tblDaily[Deaths],tblDaily[EntryDate],DATE(2026,11,2),tblDaily[WardCode],"MAE")),"")</f>
        <v/>
      </c>
      <c r="E409" s="13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3" t="str">
        <f>IFERROR(IF(SUMIFS(tblDaily[TransfersIn],tblDaily[EntryDate],DATE(2026,11,2),tblDaily[WardCode],"MAE")=0,"",SUMIFS(tblDaily[TransfersIn],tblDaily[EntryDate],DATE(2026,11,2),tblDaily[WardCode],"MAE")),"")</f>
        <v/>
      </c>
      <c r="G409" s="13" t="str">
        <f>IFERROR(IF(SUMIFS(tblDaily[TransfersOut],tblDaily[EntryDate],DATE(2026,11,2),tblDaily[WardCode],"MAE")=0,"",SUMIFS(tblDaily[TransfersOut],tblDaily[EntryDate],DATE(2026,11,2),tblDaily[WardCode],"MAE")),"")</f>
        <v/>
      </c>
      <c r="H409" s="13" t="str">
        <f>IFERROR(IF(SUMIFS(tblDaily[Remaining],tblDaily[EntryDate],DATE(2026,11,2),tblDaily[WardCode],"MAE")=0,"",SUMIFS(tblDaily[Remaining],tblDaily[EntryDate],DATE(2026,11,2),tblDaily[WardCode],"MAE")),"")</f>
        <v/>
      </c>
      <c r="I409" s="13" t="str">
        <f>IFERROR(IF(SUMIFS(tblDaily[Admissions],tblDaily[EntryDate],DATE(2026,11,2),tblDaily[WardCode],"FAE")=0,"",SUMIFS(tblDaily[Admissions],tblDaily[EntryDate],DATE(2026,11,2),tblDaily[WardCode],"FAE")),"")</f>
        <v/>
      </c>
      <c r="J409" s="13" t="str">
        <f>IFERROR(IF(SUMIFS(tblDaily[Discharges],tblDaily[EntryDate],DATE(2026,11,2),tblDaily[WardCode],"FAE")=0,"",SUMIFS(tblDaily[Discharges],tblDaily[EntryDate],DATE(2026,11,2),tblDaily[WardCode],"FAE")),"")</f>
        <v/>
      </c>
      <c r="K409" s="13" t="str">
        <f>IFERROR(IF(SUMIFS(tblDaily[Deaths],tblDaily[EntryDate],DATE(2026,11,2),tblDaily[WardCode],"FAE")=0,"",SUMIFS(tblDaily[Deaths],tblDaily[EntryDate],DATE(2026,11,2),tblDaily[WardCode],"FAE")),"")</f>
        <v/>
      </c>
      <c r="L409" s="13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3" t="str">
        <f>IFERROR(IF(SUMIFS(tblDaily[TransfersIn],tblDaily[EntryDate],DATE(2026,11,2),tblDaily[WardCode],"FAE")=0,"",SUMIFS(tblDaily[TransfersIn],tblDaily[EntryDate],DATE(2026,11,2),tblDaily[WardCode],"FAE")),"")</f>
        <v/>
      </c>
      <c r="N409" s="13" t="str">
        <f>IFERROR(IF(SUMIFS(tblDaily[TransfersOut],tblDaily[EntryDate],DATE(2026,11,2),tblDaily[WardCode],"FAE")=0,"",SUMIFS(tblDaily[TransfersOut],tblDaily[EntryDate],DATE(2026,11,2),tblDaily[WardCode],"FAE")),"")</f>
        <v/>
      </c>
      <c r="O409" s="13" t="str">
        <f>IFERROR(IF(SUMIFS(tblDaily[Remaining],tblDaily[EntryDate],DATE(2026,11,2),tblDaily[WardCode],"FAE")=0,"",SUMIFS(tblDaily[Remaining],tblDaily[EntryDate],DATE(2026,11,2),tblDaily[WardCode],"FAE")),"")</f>
        <v/>
      </c>
    </row>
    <row r="410" spans="1:15" x14ac:dyDescent="0.25">
      <c r="A410" s="13">
        <v>3</v>
      </c>
      <c r="B410" s="13" t="str">
        <f>IFERROR(IF(SUMIFS(tblDaily[Admissions],tblDaily[EntryDate],DATE(2026,11,3),tblDaily[WardCode],"MAE")=0,"",SUMIFS(tblDaily[Admissions],tblDaily[EntryDate],DATE(2026,11,3),tblDaily[WardCode],"MAE")),"")</f>
        <v/>
      </c>
      <c r="C410" s="13" t="str">
        <f>IFERROR(IF(SUMIFS(tblDaily[Discharges],tblDaily[EntryDate],DATE(2026,11,3),tblDaily[WardCode],"MAE")=0,"",SUMIFS(tblDaily[Discharges],tblDaily[EntryDate],DATE(2026,11,3),tblDaily[WardCode],"MAE")),"")</f>
        <v/>
      </c>
      <c r="D410" s="13" t="str">
        <f>IFERROR(IF(SUMIFS(tblDaily[Deaths],tblDaily[EntryDate],DATE(2026,11,3),tblDaily[WardCode],"MAE")=0,"",SUMIFS(tblDaily[Deaths],tblDaily[EntryDate],DATE(2026,11,3),tblDaily[WardCode],"MAE")),"")</f>
        <v/>
      </c>
      <c r="E410" s="13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3" t="str">
        <f>IFERROR(IF(SUMIFS(tblDaily[TransfersIn],tblDaily[EntryDate],DATE(2026,11,3),tblDaily[WardCode],"MAE")=0,"",SUMIFS(tblDaily[TransfersIn],tblDaily[EntryDate],DATE(2026,11,3),tblDaily[WardCode],"MAE")),"")</f>
        <v/>
      </c>
      <c r="G410" s="13" t="str">
        <f>IFERROR(IF(SUMIFS(tblDaily[TransfersOut],tblDaily[EntryDate],DATE(2026,11,3),tblDaily[WardCode],"MAE")=0,"",SUMIFS(tblDaily[TransfersOut],tblDaily[EntryDate],DATE(2026,11,3),tblDaily[WardCode],"MAE")),"")</f>
        <v/>
      </c>
      <c r="H410" s="13" t="str">
        <f>IFERROR(IF(SUMIFS(tblDaily[Remaining],tblDaily[EntryDate],DATE(2026,11,3),tblDaily[WardCode],"MAE")=0,"",SUMIFS(tblDaily[Remaining],tblDaily[EntryDate],DATE(2026,11,3),tblDaily[WardCode],"MAE")),"")</f>
        <v/>
      </c>
      <c r="I410" s="13" t="str">
        <f>IFERROR(IF(SUMIFS(tblDaily[Admissions],tblDaily[EntryDate],DATE(2026,11,3),tblDaily[WardCode],"FAE")=0,"",SUMIFS(tblDaily[Admissions],tblDaily[EntryDate],DATE(2026,11,3),tblDaily[WardCode],"FAE")),"")</f>
        <v/>
      </c>
      <c r="J410" s="13" t="str">
        <f>IFERROR(IF(SUMIFS(tblDaily[Discharges],tblDaily[EntryDate],DATE(2026,11,3),tblDaily[WardCode],"FAE")=0,"",SUMIFS(tblDaily[Discharges],tblDaily[EntryDate],DATE(2026,11,3),tblDaily[WardCode],"FAE")),"")</f>
        <v/>
      </c>
      <c r="K410" s="13" t="str">
        <f>IFERROR(IF(SUMIFS(tblDaily[Deaths],tblDaily[EntryDate],DATE(2026,11,3),tblDaily[WardCode],"FAE")=0,"",SUMIFS(tblDaily[Deaths],tblDaily[EntryDate],DATE(2026,11,3),tblDaily[WardCode],"FAE")),"")</f>
        <v/>
      </c>
      <c r="L410" s="13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3" t="str">
        <f>IFERROR(IF(SUMIFS(tblDaily[TransfersIn],tblDaily[EntryDate],DATE(2026,11,3),tblDaily[WardCode],"FAE")=0,"",SUMIFS(tblDaily[TransfersIn],tblDaily[EntryDate],DATE(2026,11,3),tblDaily[WardCode],"FAE")),"")</f>
        <v/>
      </c>
      <c r="N410" s="13" t="str">
        <f>IFERROR(IF(SUMIFS(tblDaily[TransfersOut],tblDaily[EntryDate],DATE(2026,11,3),tblDaily[WardCode],"FAE")=0,"",SUMIFS(tblDaily[TransfersOut],tblDaily[EntryDate],DATE(2026,11,3),tblDaily[WardCode],"FAE")),"")</f>
        <v/>
      </c>
      <c r="O410" s="13" t="str">
        <f>IFERROR(IF(SUMIFS(tblDaily[Remaining],tblDaily[EntryDate],DATE(2026,11,3),tblDaily[WardCode],"FAE")=0,"",SUMIFS(tblDaily[Remaining],tblDaily[EntryDate],DATE(2026,11,3),tblDaily[WardCode],"FAE")),"")</f>
        <v/>
      </c>
    </row>
    <row r="411" spans="1:15" x14ac:dyDescent="0.25">
      <c r="A411" s="13">
        <v>4</v>
      </c>
      <c r="B411" s="13" t="str">
        <f>IFERROR(IF(SUMIFS(tblDaily[Admissions],tblDaily[EntryDate],DATE(2026,11,4),tblDaily[WardCode],"MAE")=0,"",SUMIFS(tblDaily[Admissions],tblDaily[EntryDate],DATE(2026,11,4),tblDaily[WardCode],"MAE")),"")</f>
        <v/>
      </c>
      <c r="C411" s="13" t="str">
        <f>IFERROR(IF(SUMIFS(tblDaily[Discharges],tblDaily[EntryDate],DATE(2026,11,4),tblDaily[WardCode],"MAE")=0,"",SUMIFS(tblDaily[Discharges],tblDaily[EntryDate],DATE(2026,11,4),tblDaily[WardCode],"MAE")),"")</f>
        <v/>
      </c>
      <c r="D411" s="13" t="str">
        <f>IFERROR(IF(SUMIFS(tblDaily[Deaths],tblDaily[EntryDate],DATE(2026,11,4),tblDaily[WardCode],"MAE")=0,"",SUMIFS(tblDaily[Deaths],tblDaily[EntryDate],DATE(2026,11,4),tblDaily[WardCode],"MAE")),"")</f>
        <v/>
      </c>
      <c r="E411" s="13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3" t="str">
        <f>IFERROR(IF(SUMIFS(tblDaily[TransfersIn],tblDaily[EntryDate],DATE(2026,11,4),tblDaily[WardCode],"MAE")=0,"",SUMIFS(tblDaily[TransfersIn],tblDaily[EntryDate],DATE(2026,11,4),tblDaily[WardCode],"MAE")),"")</f>
        <v/>
      </c>
      <c r="G411" s="13" t="str">
        <f>IFERROR(IF(SUMIFS(tblDaily[TransfersOut],tblDaily[EntryDate],DATE(2026,11,4),tblDaily[WardCode],"MAE")=0,"",SUMIFS(tblDaily[TransfersOut],tblDaily[EntryDate],DATE(2026,11,4),tblDaily[WardCode],"MAE")),"")</f>
        <v/>
      </c>
      <c r="H411" s="13" t="str">
        <f>IFERROR(IF(SUMIFS(tblDaily[Remaining],tblDaily[EntryDate],DATE(2026,11,4),tblDaily[WardCode],"MAE")=0,"",SUMIFS(tblDaily[Remaining],tblDaily[EntryDate],DATE(2026,11,4),tblDaily[WardCode],"MAE")),"")</f>
        <v/>
      </c>
      <c r="I411" s="13" t="str">
        <f>IFERROR(IF(SUMIFS(tblDaily[Admissions],tblDaily[EntryDate],DATE(2026,11,4),tblDaily[WardCode],"FAE")=0,"",SUMIFS(tblDaily[Admissions],tblDaily[EntryDate],DATE(2026,11,4),tblDaily[WardCode],"FAE")),"")</f>
        <v/>
      </c>
      <c r="J411" s="13" t="str">
        <f>IFERROR(IF(SUMIFS(tblDaily[Discharges],tblDaily[EntryDate],DATE(2026,11,4),tblDaily[WardCode],"FAE")=0,"",SUMIFS(tblDaily[Discharges],tblDaily[EntryDate],DATE(2026,11,4),tblDaily[WardCode],"FAE")),"")</f>
        <v/>
      </c>
      <c r="K411" s="13" t="str">
        <f>IFERROR(IF(SUMIFS(tblDaily[Deaths],tblDaily[EntryDate],DATE(2026,11,4),tblDaily[WardCode],"FAE")=0,"",SUMIFS(tblDaily[Deaths],tblDaily[EntryDate],DATE(2026,11,4),tblDaily[WardCode],"FAE")),"")</f>
        <v/>
      </c>
      <c r="L411" s="13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3" t="str">
        <f>IFERROR(IF(SUMIFS(tblDaily[TransfersIn],tblDaily[EntryDate],DATE(2026,11,4),tblDaily[WardCode],"FAE")=0,"",SUMIFS(tblDaily[TransfersIn],tblDaily[EntryDate],DATE(2026,11,4),tblDaily[WardCode],"FAE")),"")</f>
        <v/>
      </c>
      <c r="N411" s="13" t="str">
        <f>IFERROR(IF(SUMIFS(tblDaily[TransfersOut],tblDaily[EntryDate],DATE(2026,11,4),tblDaily[WardCode],"FAE")=0,"",SUMIFS(tblDaily[TransfersOut],tblDaily[EntryDate],DATE(2026,11,4),tblDaily[WardCode],"FAE")),"")</f>
        <v/>
      </c>
      <c r="O411" s="13" t="str">
        <f>IFERROR(IF(SUMIFS(tblDaily[Remaining],tblDaily[EntryDate],DATE(2026,11,4),tblDaily[WardCode],"FAE")=0,"",SUMIFS(tblDaily[Remaining],tblDaily[EntryDate],DATE(2026,11,4),tblDaily[WardCode],"FAE")),"")</f>
        <v/>
      </c>
    </row>
    <row r="412" spans="1:15" x14ac:dyDescent="0.25">
      <c r="A412" s="13">
        <v>5</v>
      </c>
      <c r="B412" s="13" t="str">
        <f>IFERROR(IF(SUMIFS(tblDaily[Admissions],tblDaily[EntryDate],DATE(2026,11,5),tblDaily[WardCode],"MAE")=0,"",SUMIFS(tblDaily[Admissions],tblDaily[EntryDate],DATE(2026,11,5),tblDaily[WardCode],"MAE")),"")</f>
        <v/>
      </c>
      <c r="C412" s="13" t="str">
        <f>IFERROR(IF(SUMIFS(tblDaily[Discharges],tblDaily[EntryDate],DATE(2026,11,5),tblDaily[WardCode],"MAE")=0,"",SUMIFS(tblDaily[Discharges],tblDaily[EntryDate],DATE(2026,11,5),tblDaily[WardCode],"MAE")),"")</f>
        <v/>
      </c>
      <c r="D412" s="13" t="str">
        <f>IFERROR(IF(SUMIFS(tblDaily[Deaths],tblDaily[EntryDate],DATE(2026,11,5),tblDaily[WardCode],"MAE")=0,"",SUMIFS(tblDaily[Deaths],tblDaily[EntryDate],DATE(2026,11,5),tblDaily[WardCode],"MAE")),"")</f>
        <v/>
      </c>
      <c r="E412" s="13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3" t="str">
        <f>IFERROR(IF(SUMIFS(tblDaily[TransfersIn],tblDaily[EntryDate],DATE(2026,11,5),tblDaily[WardCode],"MAE")=0,"",SUMIFS(tblDaily[TransfersIn],tblDaily[EntryDate],DATE(2026,11,5),tblDaily[WardCode],"MAE")),"")</f>
        <v/>
      </c>
      <c r="G412" s="13" t="str">
        <f>IFERROR(IF(SUMIFS(tblDaily[TransfersOut],tblDaily[EntryDate],DATE(2026,11,5),tblDaily[WardCode],"MAE")=0,"",SUMIFS(tblDaily[TransfersOut],tblDaily[EntryDate],DATE(2026,11,5),tblDaily[WardCode],"MAE")),"")</f>
        <v/>
      </c>
      <c r="H412" s="13" t="str">
        <f>IFERROR(IF(SUMIFS(tblDaily[Remaining],tblDaily[EntryDate],DATE(2026,11,5),tblDaily[WardCode],"MAE")=0,"",SUMIFS(tblDaily[Remaining],tblDaily[EntryDate],DATE(2026,11,5),tblDaily[WardCode],"MAE")),"")</f>
        <v/>
      </c>
      <c r="I412" s="13" t="str">
        <f>IFERROR(IF(SUMIFS(tblDaily[Admissions],tblDaily[EntryDate],DATE(2026,11,5),tblDaily[WardCode],"FAE")=0,"",SUMIFS(tblDaily[Admissions],tblDaily[EntryDate],DATE(2026,11,5),tblDaily[WardCode],"FAE")),"")</f>
        <v/>
      </c>
      <c r="J412" s="13" t="str">
        <f>IFERROR(IF(SUMIFS(tblDaily[Discharges],tblDaily[EntryDate],DATE(2026,11,5),tblDaily[WardCode],"FAE")=0,"",SUMIFS(tblDaily[Discharges],tblDaily[EntryDate],DATE(2026,11,5),tblDaily[WardCode],"FAE")),"")</f>
        <v/>
      </c>
      <c r="K412" s="13" t="str">
        <f>IFERROR(IF(SUMIFS(tblDaily[Deaths],tblDaily[EntryDate],DATE(2026,11,5),tblDaily[WardCode],"FAE")=0,"",SUMIFS(tblDaily[Deaths],tblDaily[EntryDate],DATE(2026,11,5),tblDaily[WardCode],"FAE")),"")</f>
        <v/>
      </c>
      <c r="L412" s="13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3" t="str">
        <f>IFERROR(IF(SUMIFS(tblDaily[TransfersIn],tblDaily[EntryDate],DATE(2026,11,5),tblDaily[WardCode],"FAE")=0,"",SUMIFS(tblDaily[TransfersIn],tblDaily[EntryDate],DATE(2026,11,5),tblDaily[WardCode],"FAE")),"")</f>
        <v/>
      </c>
      <c r="N412" s="13" t="str">
        <f>IFERROR(IF(SUMIFS(tblDaily[TransfersOut],tblDaily[EntryDate],DATE(2026,11,5),tblDaily[WardCode],"FAE")=0,"",SUMIFS(tblDaily[TransfersOut],tblDaily[EntryDate],DATE(2026,11,5),tblDaily[WardCode],"FAE")),"")</f>
        <v/>
      </c>
      <c r="O412" s="13" t="str">
        <f>IFERROR(IF(SUMIFS(tblDaily[Remaining],tblDaily[EntryDate],DATE(2026,11,5),tblDaily[WardCode],"FAE")=0,"",SUMIFS(tblDaily[Remaining],tblDaily[EntryDate],DATE(2026,11,5),tblDaily[WardCode],"FAE")),"")</f>
        <v/>
      </c>
    </row>
    <row r="413" spans="1:15" x14ac:dyDescent="0.25">
      <c r="A413" s="13">
        <v>6</v>
      </c>
      <c r="B413" s="13" t="str">
        <f>IFERROR(IF(SUMIFS(tblDaily[Admissions],tblDaily[EntryDate],DATE(2026,11,6),tblDaily[WardCode],"MAE")=0,"",SUMIFS(tblDaily[Admissions],tblDaily[EntryDate],DATE(2026,11,6),tblDaily[WardCode],"MAE")),"")</f>
        <v/>
      </c>
      <c r="C413" s="13" t="str">
        <f>IFERROR(IF(SUMIFS(tblDaily[Discharges],tblDaily[EntryDate],DATE(2026,11,6),tblDaily[WardCode],"MAE")=0,"",SUMIFS(tblDaily[Discharges],tblDaily[EntryDate],DATE(2026,11,6),tblDaily[WardCode],"MAE")),"")</f>
        <v/>
      </c>
      <c r="D413" s="13" t="str">
        <f>IFERROR(IF(SUMIFS(tblDaily[Deaths],tblDaily[EntryDate],DATE(2026,11,6),tblDaily[WardCode],"MAE")=0,"",SUMIFS(tblDaily[Deaths],tblDaily[EntryDate],DATE(2026,11,6),tblDaily[WardCode],"MAE")),"")</f>
        <v/>
      </c>
      <c r="E413" s="13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3" t="str">
        <f>IFERROR(IF(SUMIFS(tblDaily[TransfersIn],tblDaily[EntryDate],DATE(2026,11,6),tblDaily[WardCode],"MAE")=0,"",SUMIFS(tblDaily[TransfersIn],tblDaily[EntryDate],DATE(2026,11,6),tblDaily[WardCode],"MAE")),"")</f>
        <v/>
      </c>
      <c r="G413" s="13" t="str">
        <f>IFERROR(IF(SUMIFS(tblDaily[TransfersOut],tblDaily[EntryDate],DATE(2026,11,6),tblDaily[WardCode],"MAE")=0,"",SUMIFS(tblDaily[TransfersOut],tblDaily[EntryDate],DATE(2026,11,6),tblDaily[WardCode],"MAE")),"")</f>
        <v/>
      </c>
      <c r="H413" s="13" t="str">
        <f>IFERROR(IF(SUMIFS(tblDaily[Remaining],tblDaily[EntryDate],DATE(2026,11,6),tblDaily[WardCode],"MAE")=0,"",SUMIFS(tblDaily[Remaining],tblDaily[EntryDate],DATE(2026,11,6),tblDaily[WardCode],"MAE")),"")</f>
        <v/>
      </c>
      <c r="I413" s="13" t="str">
        <f>IFERROR(IF(SUMIFS(tblDaily[Admissions],tblDaily[EntryDate],DATE(2026,11,6),tblDaily[WardCode],"FAE")=0,"",SUMIFS(tblDaily[Admissions],tblDaily[EntryDate],DATE(2026,11,6),tblDaily[WardCode],"FAE")),"")</f>
        <v/>
      </c>
      <c r="J413" s="13" t="str">
        <f>IFERROR(IF(SUMIFS(tblDaily[Discharges],tblDaily[EntryDate],DATE(2026,11,6),tblDaily[WardCode],"FAE")=0,"",SUMIFS(tblDaily[Discharges],tblDaily[EntryDate],DATE(2026,11,6),tblDaily[WardCode],"FAE")),"")</f>
        <v/>
      </c>
      <c r="K413" s="13" t="str">
        <f>IFERROR(IF(SUMIFS(tblDaily[Deaths],tblDaily[EntryDate],DATE(2026,11,6),tblDaily[WardCode],"FAE")=0,"",SUMIFS(tblDaily[Deaths],tblDaily[EntryDate],DATE(2026,11,6),tblDaily[WardCode],"FAE")),"")</f>
        <v/>
      </c>
      <c r="L413" s="13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3" t="str">
        <f>IFERROR(IF(SUMIFS(tblDaily[TransfersIn],tblDaily[EntryDate],DATE(2026,11,6),tblDaily[WardCode],"FAE")=0,"",SUMIFS(tblDaily[TransfersIn],tblDaily[EntryDate],DATE(2026,11,6),tblDaily[WardCode],"FAE")),"")</f>
        <v/>
      </c>
      <c r="N413" s="13" t="str">
        <f>IFERROR(IF(SUMIFS(tblDaily[TransfersOut],tblDaily[EntryDate],DATE(2026,11,6),tblDaily[WardCode],"FAE")=0,"",SUMIFS(tblDaily[TransfersOut],tblDaily[EntryDate],DATE(2026,11,6),tblDaily[WardCode],"FAE")),"")</f>
        <v/>
      </c>
      <c r="O413" s="13" t="str">
        <f>IFERROR(IF(SUMIFS(tblDaily[Remaining],tblDaily[EntryDate],DATE(2026,11,6),tblDaily[WardCode],"FAE")=0,"",SUMIFS(tblDaily[Remaining],tblDaily[EntryDate],DATE(2026,11,6),tblDaily[WardCode],"FAE")),"")</f>
        <v/>
      </c>
    </row>
    <row r="414" spans="1:15" x14ac:dyDescent="0.25">
      <c r="A414" s="13">
        <v>7</v>
      </c>
      <c r="B414" s="13" t="str">
        <f>IFERROR(IF(SUMIFS(tblDaily[Admissions],tblDaily[EntryDate],DATE(2026,11,7),tblDaily[WardCode],"MAE")=0,"",SUMIFS(tblDaily[Admissions],tblDaily[EntryDate],DATE(2026,11,7),tblDaily[WardCode],"MAE")),"")</f>
        <v/>
      </c>
      <c r="C414" s="13" t="str">
        <f>IFERROR(IF(SUMIFS(tblDaily[Discharges],tblDaily[EntryDate],DATE(2026,11,7),tblDaily[WardCode],"MAE")=0,"",SUMIFS(tblDaily[Discharges],tblDaily[EntryDate],DATE(2026,11,7),tblDaily[WardCode],"MAE")),"")</f>
        <v/>
      </c>
      <c r="D414" s="13" t="str">
        <f>IFERROR(IF(SUMIFS(tblDaily[Deaths],tblDaily[EntryDate],DATE(2026,11,7),tblDaily[WardCode],"MAE")=0,"",SUMIFS(tblDaily[Deaths],tblDaily[EntryDate],DATE(2026,11,7),tblDaily[WardCode],"MAE")),"")</f>
        <v/>
      </c>
      <c r="E414" s="13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3" t="str">
        <f>IFERROR(IF(SUMIFS(tblDaily[TransfersIn],tblDaily[EntryDate],DATE(2026,11,7),tblDaily[WardCode],"MAE")=0,"",SUMIFS(tblDaily[TransfersIn],tblDaily[EntryDate],DATE(2026,11,7),tblDaily[WardCode],"MAE")),"")</f>
        <v/>
      </c>
      <c r="G414" s="13" t="str">
        <f>IFERROR(IF(SUMIFS(tblDaily[TransfersOut],tblDaily[EntryDate],DATE(2026,11,7),tblDaily[WardCode],"MAE")=0,"",SUMIFS(tblDaily[TransfersOut],tblDaily[EntryDate],DATE(2026,11,7),tblDaily[WardCode],"MAE")),"")</f>
        <v/>
      </c>
      <c r="H414" s="13" t="str">
        <f>IFERROR(IF(SUMIFS(tblDaily[Remaining],tblDaily[EntryDate],DATE(2026,11,7),tblDaily[WardCode],"MAE")=0,"",SUMIFS(tblDaily[Remaining],tblDaily[EntryDate],DATE(2026,11,7),tblDaily[WardCode],"MAE")),"")</f>
        <v/>
      </c>
      <c r="I414" s="13" t="str">
        <f>IFERROR(IF(SUMIFS(tblDaily[Admissions],tblDaily[EntryDate],DATE(2026,11,7),tblDaily[WardCode],"FAE")=0,"",SUMIFS(tblDaily[Admissions],tblDaily[EntryDate],DATE(2026,11,7),tblDaily[WardCode],"FAE")),"")</f>
        <v/>
      </c>
      <c r="J414" s="13" t="str">
        <f>IFERROR(IF(SUMIFS(tblDaily[Discharges],tblDaily[EntryDate],DATE(2026,11,7),tblDaily[WardCode],"FAE")=0,"",SUMIFS(tblDaily[Discharges],tblDaily[EntryDate],DATE(2026,11,7),tblDaily[WardCode],"FAE")),"")</f>
        <v/>
      </c>
      <c r="K414" s="13" t="str">
        <f>IFERROR(IF(SUMIFS(tblDaily[Deaths],tblDaily[EntryDate],DATE(2026,11,7),tblDaily[WardCode],"FAE")=0,"",SUMIFS(tblDaily[Deaths],tblDaily[EntryDate],DATE(2026,11,7),tblDaily[WardCode],"FAE")),"")</f>
        <v/>
      </c>
      <c r="L414" s="13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3" t="str">
        <f>IFERROR(IF(SUMIFS(tblDaily[TransfersIn],tblDaily[EntryDate],DATE(2026,11,7),tblDaily[WardCode],"FAE")=0,"",SUMIFS(tblDaily[TransfersIn],tblDaily[EntryDate],DATE(2026,11,7),tblDaily[WardCode],"FAE")),"")</f>
        <v/>
      </c>
      <c r="N414" s="13" t="str">
        <f>IFERROR(IF(SUMIFS(tblDaily[TransfersOut],tblDaily[EntryDate],DATE(2026,11,7),tblDaily[WardCode],"FAE")=0,"",SUMIFS(tblDaily[TransfersOut],tblDaily[EntryDate],DATE(2026,11,7),tblDaily[WardCode],"FAE")),"")</f>
        <v/>
      </c>
      <c r="O414" s="13" t="str">
        <f>IFERROR(IF(SUMIFS(tblDaily[Remaining],tblDaily[EntryDate],DATE(2026,11,7),tblDaily[WardCode],"FAE")=0,"",SUMIFS(tblDaily[Remaining],tblDaily[EntryDate],DATE(2026,11,7),tblDaily[WardCode],"FAE")),"")</f>
        <v/>
      </c>
    </row>
    <row r="415" spans="1:15" x14ac:dyDescent="0.25">
      <c r="A415" s="13">
        <v>8</v>
      </c>
      <c r="B415" s="13" t="str">
        <f>IFERROR(IF(SUMIFS(tblDaily[Admissions],tblDaily[EntryDate],DATE(2026,11,8),tblDaily[WardCode],"MAE")=0,"",SUMIFS(tblDaily[Admissions],tblDaily[EntryDate],DATE(2026,11,8),tblDaily[WardCode],"MAE")),"")</f>
        <v/>
      </c>
      <c r="C415" s="13" t="str">
        <f>IFERROR(IF(SUMIFS(tblDaily[Discharges],tblDaily[EntryDate],DATE(2026,11,8),tblDaily[WardCode],"MAE")=0,"",SUMIFS(tblDaily[Discharges],tblDaily[EntryDate],DATE(2026,11,8),tblDaily[WardCode],"MAE")),"")</f>
        <v/>
      </c>
      <c r="D415" s="13" t="str">
        <f>IFERROR(IF(SUMIFS(tblDaily[Deaths],tblDaily[EntryDate],DATE(2026,11,8),tblDaily[WardCode],"MAE")=0,"",SUMIFS(tblDaily[Deaths],tblDaily[EntryDate],DATE(2026,11,8),tblDaily[WardCode],"MAE")),"")</f>
        <v/>
      </c>
      <c r="E415" s="13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3" t="str">
        <f>IFERROR(IF(SUMIFS(tblDaily[TransfersIn],tblDaily[EntryDate],DATE(2026,11,8),tblDaily[WardCode],"MAE")=0,"",SUMIFS(tblDaily[TransfersIn],tblDaily[EntryDate],DATE(2026,11,8),tblDaily[WardCode],"MAE")),"")</f>
        <v/>
      </c>
      <c r="G415" s="13" t="str">
        <f>IFERROR(IF(SUMIFS(tblDaily[TransfersOut],tblDaily[EntryDate],DATE(2026,11,8),tblDaily[WardCode],"MAE")=0,"",SUMIFS(tblDaily[TransfersOut],tblDaily[EntryDate],DATE(2026,11,8),tblDaily[WardCode],"MAE")),"")</f>
        <v/>
      </c>
      <c r="H415" s="13" t="str">
        <f>IFERROR(IF(SUMIFS(tblDaily[Remaining],tblDaily[EntryDate],DATE(2026,11,8),tblDaily[WardCode],"MAE")=0,"",SUMIFS(tblDaily[Remaining],tblDaily[EntryDate],DATE(2026,11,8),tblDaily[WardCode],"MAE")),"")</f>
        <v/>
      </c>
      <c r="I415" s="13" t="str">
        <f>IFERROR(IF(SUMIFS(tblDaily[Admissions],tblDaily[EntryDate],DATE(2026,11,8),tblDaily[WardCode],"FAE")=0,"",SUMIFS(tblDaily[Admissions],tblDaily[EntryDate],DATE(2026,11,8),tblDaily[WardCode],"FAE")),"")</f>
        <v/>
      </c>
      <c r="J415" s="13" t="str">
        <f>IFERROR(IF(SUMIFS(tblDaily[Discharges],tblDaily[EntryDate],DATE(2026,11,8),tblDaily[WardCode],"FAE")=0,"",SUMIFS(tblDaily[Discharges],tblDaily[EntryDate],DATE(2026,11,8),tblDaily[WardCode],"FAE")),"")</f>
        <v/>
      </c>
      <c r="K415" s="13" t="str">
        <f>IFERROR(IF(SUMIFS(tblDaily[Deaths],tblDaily[EntryDate],DATE(2026,11,8),tblDaily[WardCode],"FAE")=0,"",SUMIFS(tblDaily[Deaths],tblDaily[EntryDate],DATE(2026,11,8),tblDaily[WardCode],"FAE")),"")</f>
        <v/>
      </c>
      <c r="L415" s="13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3" t="str">
        <f>IFERROR(IF(SUMIFS(tblDaily[TransfersIn],tblDaily[EntryDate],DATE(2026,11,8),tblDaily[WardCode],"FAE")=0,"",SUMIFS(tblDaily[TransfersIn],tblDaily[EntryDate],DATE(2026,11,8),tblDaily[WardCode],"FAE")),"")</f>
        <v/>
      </c>
      <c r="N415" s="13" t="str">
        <f>IFERROR(IF(SUMIFS(tblDaily[TransfersOut],tblDaily[EntryDate],DATE(2026,11,8),tblDaily[WardCode],"FAE")=0,"",SUMIFS(tblDaily[TransfersOut],tblDaily[EntryDate],DATE(2026,11,8),tblDaily[WardCode],"FAE")),"")</f>
        <v/>
      </c>
      <c r="O415" s="13" t="str">
        <f>IFERROR(IF(SUMIFS(tblDaily[Remaining],tblDaily[EntryDate],DATE(2026,11,8),tblDaily[WardCode],"FAE")=0,"",SUMIFS(tblDaily[Remaining],tblDaily[EntryDate],DATE(2026,11,8),tblDaily[WardCode],"FAE")),"")</f>
        <v/>
      </c>
    </row>
    <row r="416" spans="1:15" x14ac:dyDescent="0.25">
      <c r="A416" s="13">
        <v>9</v>
      </c>
      <c r="B416" s="13" t="str">
        <f>IFERROR(IF(SUMIFS(tblDaily[Admissions],tblDaily[EntryDate],DATE(2026,11,9),tblDaily[WardCode],"MAE")=0,"",SUMIFS(tblDaily[Admissions],tblDaily[EntryDate],DATE(2026,11,9),tblDaily[WardCode],"MAE")),"")</f>
        <v/>
      </c>
      <c r="C416" s="13" t="str">
        <f>IFERROR(IF(SUMIFS(tblDaily[Discharges],tblDaily[EntryDate],DATE(2026,11,9),tblDaily[WardCode],"MAE")=0,"",SUMIFS(tblDaily[Discharges],tblDaily[EntryDate],DATE(2026,11,9),tblDaily[WardCode],"MAE")),"")</f>
        <v/>
      </c>
      <c r="D416" s="13" t="str">
        <f>IFERROR(IF(SUMIFS(tblDaily[Deaths],tblDaily[EntryDate],DATE(2026,11,9),tblDaily[WardCode],"MAE")=0,"",SUMIFS(tblDaily[Deaths],tblDaily[EntryDate],DATE(2026,11,9),tblDaily[WardCode],"MAE")),"")</f>
        <v/>
      </c>
      <c r="E416" s="13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3" t="str">
        <f>IFERROR(IF(SUMIFS(tblDaily[TransfersIn],tblDaily[EntryDate],DATE(2026,11,9),tblDaily[WardCode],"MAE")=0,"",SUMIFS(tblDaily[TransfersIn],tblDaily[EntryDate],DATE(2026,11,9),tblDaily[WardCode],"MAE")),"")</f>
        <v/>
      </c>
      <c r="G416" s="13" t="str">
        <f>IFERROR(IF(SUMIFS(tblDaily[TransfersOut],tblDaily[EntryDate],DATE(2026,11,9),tblDaily[WardCode],"MAE")=0,"",SUMIFS(tblDaily[TransfersOut],tblDaily[EntryDate],DATE(2026,11,9),tblDaily[WardCode],"MAE")),"")</f>
        <v/>
      </c>
      <c r="H416" s="13" t="str">
        <f>IFERROR(IF(SUMIFS(tblDaily[Remaining],tblDaily[EntryDate],DATE(2026,11,9),tblDaily[WardCode],"MAE")=0,"",SUMIFS(tblDaily[Remaining],tblDaily[EntryDate],DATE(2026,11,9),tblDaily[WardCode],"MAE")),"")</f>
        <v/>
      </c>
      <c r="I416" s="13" t="str">
        <f>IFERROR(IF(SUMIFS(tblDaily[Admissions],tblDaily[EntryDate],DATE(2026,11,9),tblDaily[WardCode],"FAE")=0,"",SUMIFS(tblDaily[Admissions],tblDaily[EntryDate],DATE(2026,11,9),tblDaily[WardCode],"FAE")),"")</f>
        <v/>
      </c>
      <c r="J416" s="13" t="str">
        <f>IFERROR(IF(SUMIFS(tblDaily[Discharges],tblDaily[EntryDate],DATE(2026,11,9),tblDaily[WardCode],"FAE")=0,"",SUMIFS(tblDaily[Discharges],tblDaily[EntryDate],DATE(2026,11,9),tblDaily[WardCode],"FAE")),"")</f>
        <v/>
      </c>
      <c r="K416" s="13" t="str">
        <f>IFERROR(IF(SUMIFS(tblDaily[Deaths],tblDaily[EntryDate],DATE(2026,11,9),tblDaily[WardCode],"FAE")=0,"",SUMIFS(tblDaily[Deaths],tblDaily[EntryDate],DATE(2026,11,9),tblDaily[WardCode],"FAE")),"")</f>
        <v/>
      </c>
      <c r="L416" s="13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3" t="str">
        <f>IFERROR(IF(SUMIFS(tblDaily[TransfersIn],tblDaily[EntryDate],DATE(2026,11,9),tblDaily[WardCode],"FAE")=0,"",SUMIFS(tblDaily[TransfersIn],tblDaily[EntryDate],DATE(2026,11,9),tblDaily[WardCode],"FAE")),"")</f>
        <v/>
      </c>
      <c r="N416" s="13" t="str">
        <f>IFERROR(IF(SUMIFS(tblDaily[TransfersOut],tblDaily[EntryDate],DATE(2026,11,9),tblDaily[WardCode],"FAE")=0,"",SUMIFS(tblDaily[TransfersOut],tblDaily[EntryDate],DATE(2026,11,9),tblDaily[WardCode],"FAE")),"")</f>
        <v/>
      </c>
      <c r="O416" s="13" t="str">
        <f>IFERROR(IF(SUMIFS(tblDaily[Remaining],tblDaily[EntryDate],DATE(2026,11,9),tblDaily[WardCode],"FAE")=0,"",SUMIFS(tblDaily[Remaining],tblDaily[EntryDate],DATE(2026,11,9),tblDaily[WardCode],"FAE")),"")</f>
        <v/>
      </c>
    </row>
    <row r="417" spans="1:15" x14ac:dyDescent="0.25">
      <c r="A417" s="13">
        <v>10</v>
      </c>
      <c r="B417" s="13" t="str">
        <f>IFERROR(IF(SUMIFS(tblDaily[Admissions],tblDaily[EntryDate],DATE(2026,11,10),tblDaily[WardCode],"MAE")=0,"",SUMIFS(tblDaily[Admissions],tblDaily[EntryDate],DATE(2026,11,10),tblDaily[WardCode],"MAE")),"")</f>
        <v/>
      </c>
      <c r="C417" s="13" t="str">
        <f>IFERROR(IF(SUMIFS(tblDaily[Discharges],tblDaily[EntryDate],DATE(2026,11,10),tblDaily[WardCode],"MAE")=0,"",SUMIFS(tblDaily[Discharges],tblDaily[EntryDate],DATE(2026,11,10),tblDaily[WardCode],"MAE")),"")</f>
        <v/>
      </c>
      <c r="D417" s="13" t="str">
        <f>IFERROR(IF(SUMIFS(tblDaily[Deaths],tblDaily[EntryDate],DATE(2026,11,10),tblDaily[WardCode],"MAE")=0,"",SUMIFS(tblDaily[Deaths],tblDaily[EntryDate],DATE(2026,11,10),tblDaily[WardCode],"MAE")),"")</f>
        <v/>
      </c>
      <c r="E417" s="13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3" t="str">
        <f>IFERROR(IF(SUMIFS(tblDaily[TransfersIn],tblDaily[EntryDate],DATE(2026,11,10),tblDaily[WardCode],"MAE")=0,"",SUMIFS(tblDaily[TransfersIn],tblDaily[EntryDate],DATE(2026,11,10),tblDaily[WardCode],"MAE")),"")</f>
        <v/>
      </c>
      <c r="G417" s="13" t="str">
        <f>IFERROR(IF(SUMIFS(tblDaily[TransfersOut],tblDaily[EntryDate],DATE(2026,11,10),tblDaily[WardCode],"MAE")=0,"",SUMIFS(tblDaily[TransfersOut],tblDaily[EntryDate],DATE(2026,11,10),tblDaily[WardCode],"MAE")),"")</f>
        <v/>
      </c>
      <c r="H417" s="13" t="str">
        <f>IFERROR(IF(SUMIFS(tblDaily[Remaining],tblDaily[EntryDate],DATE(2026,11,10),tblDaily[WardCode],"MAE")=0,"",SUMIFS(tblDaily[Remaining],tblDaily[EntryDate],DATE(2026,11,10),tblDaily[WardCode],"MAE")),"")</f>
        <v/>
      </c>
      <c r="I417" s="13" t="str">
        <f>IFERROR(IF(SUMIFS(tblDaily[Admissions],tblDaily[EntryDate],DATE(2026,11,10),tblDaily[WardCode],"FAE")=0,"",SUMIFS(tblDaily[Admissions],tblDaily[EntryDate],DATE(2026,11,10),tblDaily[WardCode],"FAE")),"")</f>
        <v/>
      </c>
      <c r="J417" s="13" t="str">
        <f>IFERROR(IF(SUMIFS(tblDaily[Discharges],tblDaily[EntryDate],DATE(2026,11,10),tblDaily[WardCode],"FAE")=0,"",SUMIFS(tblDaily[Discharges],tblDaily[EntryDate],DATE(2026,11,10),tblDaily[WardCode],"FAE")),"")</f>
        <v/>
      </c>
      <c r="K417" s="13" t="str">
        <f>IFERROR(IF(SUMIFS(tblDaily[Deaths],tblDaily[EntryDate],DATE(2026,11,10),tblDaily[WardCode],"FAE")=0,"",SUMIFS(tblDaily[Deaths],tblDaily[EntryDate],DATE(2026,11,10),tblDaily[WardCode],"FAE")),"")</f>
        <v/>
      </c>
      <c r="L417" s="13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3" t="str">
        <f>IFERROR(IF(SUMIFS(tblDaily[TransfersIn],tblDaily[EntryDate],DATE(2026,11,10),tblDaily[WardCode],"FAE")=0,"",SUMIFS(tblDaily[TransfersIn],tblDaily[EntryDate],DATE(2026,11,10),tblDaily[WardCode],"FAE")),"")</f>
        <v/>
      </c>
      <c r="N417" s="13" t="str">
        <f>IFERROR(IF(SUMIFS(tblDaily[TransfersOut],tblDaily[EntryDate],DATE(2026,11,10),tblDaily[WardCode],"FAE")=0,"",SUMIFS(tblDaily[TransfersOut],tblDaily[EntryDate],DATE(2026,11,10),tblDaily[WardCode],"FAE")),"")</f>
        <v/>
      </c>
      <c r="O417" s="13" t="str">
        <f>IFERROR(IF(SUMIFS(tblDaily[Remaining],tblDaily[EntryDate],DATE(2026,11,10),tblDaily[WardCode],"FAE")=0,"",SUMIFS(tblDaily[Remaining],tblDaily[EntryDate],DATE(2026,11,10),tblDaily[WardCode],"FAE")),"")</f>
        <v/>
      </c>
    </row>
    <row r="418" spans="1:15" x14ac:dyDescent="0.25">
      <c r="A418" s="13">
        <v>11</v>
      </c>
      <c r="B418" s="13" t="str">
        <f>IFERROR(IF(SUMIFS(tblDaily[Admissions],tblDaily[EntryDate],DATE(2026,11,11),tblDaily[WardCode],"MAE")=0,"",SUMIFS(tblDaily[Admissions],tblDaily[EntryDate],DATE(2026,11,11),tblDaily[WardCode],"MAE")),"")</f>
        <v/>
      </c>
      <c r="C418" s="13" t="str">
        <f>IFERROR(IF(SUMIFS(tblDaily[Discharges],tblDaily[EntryDate],DATE(2026,11,11),tblDaily[WardCode],"MAE")=0,"",SUMIFS(tblDaily[Discharges],tblDaily[EntryDate],DATE(2026,11,11),tblDaily[WardCode],"MAE")),"")</f>
        <v/>
      </c>
      <c r="D418" s="13" t="str">
        <f>IFERROR(IF(SUMIFS(tblDaily[Deaths],tblDaily[EntryDate],DATE(2026,11,11),tblDaily[WardCode],"MAE")=0,"",SUMIFS(tblDaily[Deaths],tblDaily[EntryDate],DATE(2026,11,11),tblDaily[WardCode],"MAE")),"")</f>
        <v/>
      </c>
      <c r="E418" s="13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3" t="str">
        <f>IFERROR(IF(SUMIFS(tblDaily[TransfersIn],tblDaily[EntryDate],DATE(2026,11,11),tblDaily[WardCode],"MAE")=0,"",SUMIFS(tblDaily[TransfersIn],tblDaily[EntryDate],DATE(2026,11,11),tblDaily[WardCode],"MAE")),"")</f>
        <v/>
      </c>
      <c r="G418" s="13" t="str">
        <f>IFERROR(IF(SUMIFS(tblDaily[TransfersOut],tblDaily[EntryDate],DATE(2026,11,11),tblDaily[WardCode],"MAE")=0,"",SUMIFS(tblDaily[TransfersOut],tblDaily[EntryDate],DATE(2026,11,11),tblDaily[WardCode],"MAE")),"")</f>
        <v/>
      </c>
      <c r="H418" s="13" t="str">
        <f>IFERROR(IF(SUMIFS(tblDaily[Remaining],tblDaily[EntryDate],DATE(2026,11,11),tblDaily[WardCode],"MAE")=0,"",SUMIFS(tblDaily[Remaining],tblDaily[EntryDate],DATE(2026,11,11),tblDaily[WardCode],"MAE")),"")</f>
        <v/>
      </c>
      <c r="I418" s="13" t="str">
        <f>IFERROR(IF(SUMIFS(tblDaily[Admissions],tblDaily[EntryDate],DATE(2026,11,11),tblDaily[WardCode],"FAE")=0,"",SUMIFS(tblDaily[Admissions],tblDaily[EntryDate],DATE(2026,11,11),tblDaily[WardCode],"FAE")),"")</f>
        <v/>
      </c>
      <c r="J418" s="13" t="str">
        <f>IFERROR(IF(SUMIFS(tblDaily[Discharges],tblDaily[EntryDate],DATE(2026,11,11),tblDaily[WardCode],"FAE")=0,"",SUMIFS(tblDaily[Discharges],tblDaily[EntryDate],DATE(2026,11,11),tblDaily[WardCode],"FAE")),"")</f>
        <v/>
      </c>
      <c r="K418" s="13" t="str">
        <f>IFERROR(IF(SUMIFS(tblDaily[Deaths],tblDaily[EntryDate],DATE(2026,11,11),tblDaily[WardCode],"FAE")=0,"",SUMIFS(tblDaily[Deaths],tblDaily[EntryDate],DATE(2026,11,11),tblDaily[WardCode],"FAE")),"")</f>
        <v/>
      </c>
      <c r="L418" s="13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3" t="str">
        <f>IFERROR(IF(SUMIFS(tblDaily[TransfersIn],tblDaily[EntryDate],DATE(2026,11,11),tblDaily[WardCode],"FAE")=0,"",SUMIFS(tblDaily[TransfersIn],tblDaily[EntryDate],DATE(2026,11,11),tblDaily[WardCode],"FAE")),"")</f>
        <v/>
      </c>
      <c r="N418" s="13" t="str">
        <f>IFERROR(IF(SUMIFS(tblDaily[TransfersOut],tblDaily[EntryDate],DATE(2026,11,11),tblDaily[WardCode],"FAE")=0,"",SUMIFS(tblDaily[TransfersOut],tblDaily[EntryDate],DATE(2026,11,11),tblDaily[WardCode],"FAE")),"")</f>
        <v/>
      </c>
      <c r="O418" s="13" t="str">
        <f>IFERROR(IF(SUMIFS(tblDaily[Remaining],tblDaily[EntryDate],DATE(2026,11,11),tblDaily[WardCode],"FAE")=0,"",SUMIFS(tblDaily[Remaining],tblDaily[EntryDate],DATE(2026,11,11),tblDaily[WardCode],"FAE")),"")</f>
        <v/>
      </c>
    </row>
    <row r="419" spans="1:15" x14ac:dyDescent="0.25">
      <c r="A419" s="13">
        <v>12</v>
      </c>
      <c r="B419" s="13" t="str">
        <f>IFERROR(IF(SUMIFS(tblDaily[Admissions],tblDaily[EntryDate],DATE(2026,11,12),tblDaily[WardCode],"MAE")=0,"",SUMIFS(tblDaily[Admissions],tblDaily[EntryDate],DATE(2026,11,12),tblDaily[WardCode],"MAE")),"")</f>
        <v/>
      </c>
      <c r="C419" s="13" t="str">
        <f>IFERROR(IF(SUMIFS(tblDaily[Discharges],tblDaily[EntryDate],DATE(2026,11,12),tblDaily[WardCode],"MAE")=0,"",SUMIFS(tblDaily[Discharges],tblDaily[EntryDate],DATE(2026,11,12),tblDaily[WardCode],"MAE")),"")</f>
        <v/>
      </c>
      <c r="D419" s="13" t="str">
        <f>IFERROR(IF(SUMIFS(tblDaily[Deaths],tblDaily[EntryDate],DATE(2026,11,12),tblDaily[WardCode],"MAE")=0,"",SUMIFS(tblDaily[Deaths],tblDaily[EntryDate],DATE(2026,11,12),tblDaily[WardCode],"MAE")),"")</f>
        <v/>
      </c>
      <c r="E419" s="13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3" t="str">
        <f>IFERROR(IF(SUMIFS(tblDaily[TransfersIn],tblDaily[EntryDate],DATE(2026,11,12),tblDaily[WardCode],"MAE")=0,"",SUMIFS(tblDaily[TransfersIn],tblDaily[EntryDate],DATE(2026,11,12),tblDaily[WardCode],"MAE")),"")</f>
        <v/>
      </c>
      <c r="G419" s="13" t="str">
        <f>IFERROR(IF(SUMIFS(tblDaily[TransfersOut],tblDaily[EntryDate],DATE(2026,11,12),tblDaily[WardCode],"MAE")=0,"",SUMIFS(tblDaily[TransfersOut],tblDaily[EntryDate],DATE(2026,11,12),tblDaily[WardCode],"MAE")),"")</f>
        <v/>
      </c>
      <c r="H419" s="13" t="str">
        <f>IFERROR(IF(SUMIFS(tblDaily[Remaining],tblDaily[EntryDate],DATE(2026,11,12),tblDaily[WardCode],"MAE")=0,"",SUMIFS(tblDaily[Remaining],tblDaily[EntryDate],DATE(2026,11,12),tblDaily[WardCode],"MAE")),"")</f>
        <v/>
      </c>
      <c r="I419" s="13" t="str">
        <f>IFERROR(IF(SUMIFS(tblDaily[Admissions],tblDaily[EntryDate],DATE(2026,11,12),tblDaily[WardCode],"FAE")=0,"",SUMIFS(tblDaily[Admissions],tblDaily[EntryDate],DATE(2026,11,12),tblDaily[WardCode],"FAE")),"")</f>
        <v/>
      </c>
      <c r="J419" s="13" t="str">
        <f>IFERROR(IF(SUMIFS(tblDaily[Discharges],tblDaily[EntryDate],DATE(2026,11,12),tblDaily[WardCode],"FAE")=0,"",SUMIFS(tblDaily[Discharges],tblDaily[EntryDate],DATE(2026,11,12),tblDaily[WardCode],"FAE")),"")</f>
        <v/>
      </c>
      <c r="K419" s="13" t="str">
        <f>IFERROR(IF(SUMIFS(tblDaily[Deaths],tblDaily[EntryDate],DATE(2026,11,12),tblDaily[WardCode],"FAE")=0,"",SUMIFS(tblDaily[Deaths],tblDaily[EntryDate],DATE(2026,11,12),tblDaily[WardCode],"FAE")),"")</f>
        <v/>
      </c>
      <c r="L419" s="13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3" t="str">
        <f>IFERROR(IF(SUMIFS(tblDaily[TransfersIn],tblDaily[EntryDate],DATE(2026,11,12),tblDaily[WardCode],"FAE")=0,"",SUMIFS(tblDaily[TransfersIn],tblDaily[EntryDate],DATE(2026,11,12),tblDaily[WardCode],"FAE")),"")</f>
        <v/>
      </c>
      <c r="N419" s="13" t="str">
        <f>IFERROR(IF(SUMIFS(tblDaily[TransfersOut],tblDaily[EntryDate],DATE(2026,11,12),tblDaily[WardCode],"FAE")=0,"",SUMIFS(tblDaily[TransfersOut],tblDaily[EntryDate],DATE(2026,11,12),tblDaily[WardCode],"FAE")),"")</f>
        <v/>
      </c>
      <c r="O419" s="13" t="str">
        <f>IFERROR(IF(SUMIFS(tblDaily[Remaining],tblDaily[EntryDate],DATE(2026,11,12),tblDaily[WardCode],"FAE")=0,"",SUMIFS(tblDaily[Remaining],tblDaily[EntryDate],DATE(2026,11,12),tblDaily[WardCode],"FAE")),"")</f>
        <v/>
      </c>
    </row>
    <row r="420" spans="1:15" x14ac:dyDescent="0.25">
      <c r="A420" s="13">
        <v>13</v>
      </c>
      <c r="B420" s="13" t="str">
        <f>IFERROR(IF(SUMIFS(tblDaily[Admissions],tblDaily[EntryDate],DATE(2026,11,13),tblDaily[WardCode],"MAE")=0,"",SUMIFS(tblDaily[Admissions],tblDaily[EntryDate],DATE(2026,11,13),tblDaily[WardCode],"MAE")),"")</f>
        <v/>
      </c>
      <c r="C420" s="13" t="str">
        <f>IFERROR(IF(SUMIFS(tblDaily[Discharges],tblDaily[EntryDate],DATE(2026,11,13),tblDaily[WardCode],"MAE")=0,"",SUMIFS(tblDaily[Discharges],tblDaily[EntryDate],DATE(2026,11,13),tblDaily[WardCode],"MAE")),"")</f>
        <v/>
      </c>
      <c r="D420" s="13" t="str">
        <f>IFERROR(IF(SUMIFS(tblDaily[Deaths],tblDaily[EntryDate],DATE(2026,11,13),tblDaily[WardCode],"MAE")=0,"",SUMIFS(tblDaily[Deaths],tblDaily[EntryDate],DATE(2026,11,13),tblDaily[WardCode],"MAE")),"")</f>
        <v/>
      </c>
      <c r="E420" s="13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3" t="str">
        <f>IFERROR(IF(SUMIFS(tblDaily[TransfersIn],tblDaily[EntryDate],DATE(2026,11,13),tblDaily[WardCode],"MAE")=0,"",SUMIFS(tblDaily[TransfersIn],tblDaily[EntryDate],DATE(2026,11,13),tblDaily[WardCode],"MAE")),"")</f>
        <v/>
      </c>
      <c r="G420" s="13" t="str">
        <f>IFERROR(IF(SUMIFS(tblDaily[TransfersOut],tblDaily[EntryDate],DATE(2026,11,13),tblDaily[WardCode],"MAE")=0,"",SUMIFS(tblDaily[TransfersOut],tblDaily[EntryDate],DATE(2026,11,13),tblDaily[WardCode],"MAE")),"")</f>
        <v/>
      </c>
      <c r="H420" s="13" t="str">
        <f>IFERROR(IF(SUMIFS(tblDaily[Remaining],tblDaily[EntryDate],DATE(2026,11,13),tblDaily[WardCode],"MAE")=0,"",SUMIFS(tblDaily[Remaining],tblDaily[EntryDate],DATE(2026,11,13),tblDaily[WardCode],"MAE")),"")</f>
        <v/>
      </c>
      <c r="I420" s="13" t="str">
        <f>IFERROR(IF(SUMIFS(tblDaily[Admissions],tblDaily[EntryDate],DATE(2026,11,13),tblDaily[WardCode],"FAE")=0,"",SUMIFS(tblDaily[Admissions],tblDaily[EntryDate],DATE(2026,11,13),tblDaily[WardCode],"FAE")),"")</f>
        <v/>
      </c>
      <c r="J420" s="13" t="str">
        <f>IFERROR(IF(SUMIFS(tblDaily[Discharges],tblDaily[EntryDate],DATE(2026,11,13),tblDaily[WardCode],"FAE")=0,"",SUMIFS(tblDaily[Discharges],tblDaily[EntryDate],DATE(2026,11,13),tblDaily[WardCode],"FAE")),"")</f>
        <v/>
      </c>
      <c r="K420" s="13" t="str">
        <f>IFERROR(IF(SUMIFS(tblDaily[Deaths],tblDaily[EntryDate],DATE(2026,11,13),tblDaily[WardCode],"FAE")=0,"",SUMIFS(tblDaily[Deaths],tblDaily[EntryDate],DATE(2026,11,13),tblDaily[WardCode],"FAE")),"")</f>
        <v/>
      </c>
      <c r="L420" s="13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3" t="str">
        <f>IFERROR(IF(SUMIFS(tblDaily[TransfersIn],tblDaily[EntryDate],DATE(2026,11,13),tblDaily[WardCode],"FAE")=0,"",SUMIFS(tblDaily[TransfersIn],tblDaily[EntryDate],DATE(2026,11,13),tblDaily[WardCode],"FAE")),"")</f>
        <v/>
      </c>
      <c r="N420" s="13" t="str">
        <f>IFERROR(IF(SUMIFS(tblDaily[TransfersOut],tblDaily[EntryDate],DATE(2026,11,13),tblDaily[WardCode],"FAE")=0,"",SUMIFS(tblDaily[TransfersOut],tblDaily[EntryDate],DATE(2026,11,13),tblDaily[WardCode],"FAE")),"")</f>
        <v/>
      </c>
      <c r="O420" s="13" t="str">
        <f>IFERROR(IF(SUMIFS(tblDaily[Remaining],tblDaily[EntryDate],DATE(2026,11,13),tblDaily[WardCode],"FAE")=0,"",SUMIFS(tblDaily[Remaining],tblDaily[EntryDate],DATE(2026,11,13),tblDaily[WardCode],"FAE")),"")</f>
        <v/>
      </c>
    </row>
    <row r="421" spans="1:15" x14ac:dyDescent="0.25">
      <c r="A421" s="13">
        <v>14</v>
      </c>
      <c r="B421" s="13" t="str">
        <f>IFERROR(IF(SUMIFS(tblDaily[Admissions],tblDaily[EntryDate],DATE(2026,11,14),tblDaily[WardCode],"MAE")=0,"",SUMIFS(tblDaily[Admissions],tblDaily[EntryDate],DATE(2026,11,14),tblDaily[WardCode],"MAE")),"")</f>
        <v/>
      </c>
      <c r="C421" s="13" t="str">
        <f>IFERROR(IF(SUMIFS(tblDaily[Discharges],tblDaily[EntryDate],DATE(2026,11,14),tblDaily[WardCode],"MAE")=0,"",SUMIFS(tblDaily[Discharges],tblDaily[EntryDate],DATE(2026,11,14),tblDaily[WardCode],"MAE")),"")</f>
        <v/>
      </c>
      <c r="D421" s="13" t="str">
        <f>IFERROR(IF(SUMIFS(tblDaily[Deaths],tblDaily[EntryDate],DATE(2026,11,14),tblDaily[WardCode],"MAE")=0,"",SUMIFS(tblDaily[Deaths],tblDaily[EntryDate],DATE(2026,11,14),tblDaily[WardCode],"MAE")),"")</f>
        <v/>
      </c>
      <c r="E421" s="13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3" t="str">
        <f>IFERROR(IF(SUMIFS(tblDaily[TransfersIn],tblDaily[EntryDate],DATE(2026,11,14),tblDaily[WardCode],"MAE")=0,"",SUMIFS(tblDaily[TransfersIn],tblDaily[EntryDate],DATE(2026,11,14),tblDaily[WardCode],"MAE")),"")</f>
        <v/>
      </c>
      <c r="G421" s="13" t="str">
        <f>IFERROR(IF(SUMIFS(tblDaily[TransfersOut],tblDaily[EntryDate],DATE(2026,11,14),tblDaily[WardCode],"MAE")=0,"",SUMIFS(tblDaily[TransfersOut],tblDaily[EntryDate],DATE(2026,11,14),tblDaily[WardCode],"MAE")),"")</f>
        <v/>
      </c>
      <c r="H421" s="13" t="str">
        <f>IFERROR(IF(SUMIFS(tblDaily[Remaining],tblDaily[EntryDate],DATE(2026,11,14),tblDaily[WardCode],"MAE")=0,"",SUMIFS(tblDaily[Remaining],tblDaily[EntryDate],DATE(2026,11,14),tblDaily[WardCode],"MAE")),"")</f>
        <v/>
      </c>
      <c r="I421" s="13" t="str">
        <f>IFERROR(IF(SUMIFS(tblDaily[Admissions],tblDaily[EntryDate],DATE(2026,11,14),tblDaily[WardCode],"FAE")=0,"",SUMIFS(tblDaily[Admissions],tblDaily[EntryDate],DATE(2026,11,14),tblDaily[WardCode],"FAE")),"")</f>
        <v/>
      </c>
      <c r="J421" s="13" t="str">
        <f>IFERROR(IF(SUMIFS(tblDaily[Discharges],tblDaily[EntryDate],DATE(2026,11,14),tblDaily[WardCode],"FAE")=0,"",SUMIFS(tblDaily[Discharges],tblDaily[EntryDate],DATE(2026,11,14),tblDaily[WardCode],"FAE")),"")</f>
        <v/>
      </c>
      <c r="K421" s="13" t="str">
        <f>IFERROR(IF(SUMIFS(tblDaily[Deaths],tblDaily[EntryDate],DATE(2026,11,14),tblDaily[WardCode],"FAE")=0,"",SUMIFS(tblDaily[Deaths],tblDaily[EntryDate],DATE(2026,11,14),tblDaily[WardCode],"FAE")),"")</f>
        <v/>
      </c>
      <c r="L421" s="13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3" t="str">
        <f>IFERROR(IF(SUMIFS(tblDaily[TransfersIn],tblDaily[EntryDate],DATE(2026,11,14),tblDaily[WardCode],"FAE")=0,"",SUMIFS(tblDaily[TransfersIn],tblDaily[EntryDate],DATE(2026,11,14),tblDaily[WardCode],"FAE")),"")</f>
        <v/>
      </c>
      <c r="N421" s="13" t="str">
        <f>IFERROR(IF(SUMIFS(tblDaily[TransfersOut],tblDaily[EntryDate],DATE(2026,11,14),tblDaily[WardCode],"FAE")=0,"",SUMIFS(tblDaily[TransfersOut],tblDaily[EntryDate],DATE(2026,11,14),tblDaily[WardCode],"FAE")),"")</f>
        <v/>
      </c>
      <c r="O421" s="13" t="str">
        <f>IFERROR(IF(SUMIFS(tblDaily[Remaining],tblDaily[EntryDate],DATE(2026,11,14),tblDaily[WardCode],"FAE")=0,"",SUMIFS(tblDaily[Remaining],tblDaily[EntryDate],DATE(2026,11,14),tblDaily[WardCode],"FAE")),"")</f>
        <v/>
      </c>
    </row>
    <row r="422" spans="1:15" x14ac:dyDescent="0.25">
      <c r="A422" s="13">
        <v>15</v>
      </c>
      <c r="B422" s="13" t="str">
        <f>IFERROR(IF(SUMIFS(tblDaily[Admissions],tblDaily[EntryDate],DATE(2026,11,15),tblDaily[WardCode],"MAE")=0,"",SUMIFS(tblDaily[Admissions],tblDaily[EntryDate],DATE(2026,11,15),tblDaily[WardCode],"MAE")),"")</f>
        <v/>
      </c>
      <c r="C422" s="13" t="str">
        <f>IFERROR(IF(SUMIFS(tblDaily[Discharges],tblDaily[EntryDate],DATE(2026,11,15),tblDaily[WardCode],"MAE")=0,"",SUMIFS(tblDaily[Discharges],tblDaily[EntryDate],DATE(2026,11,15),tblDaily[WardCode],"MAE")),"")</f>
        <v/>
      </c>
      <c r="D422" s="13" t="str">
        <f>IFERROR(IF(SUMIFS(tblDaily[Deaths],tblDaily[EntryDate],DATE(2026,11,15),tblDaily[WardCode],"MAE")=0,"",SUMIFS(tblDaily[Deaths],tblDaily[EntryDate],DATE(2026,11,15),tblDaily[WardCode],"MAE")),"")</f>
        <v/>
      </c>
      <c r="E422" s="13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3" t="str">
        <f>IFERROR(IF(SUMIFS(tblDaily[TransfersIn],tblDaily[EntryDate],DATE(2026,11,15),tblDaily[WardCode],"MAE")=0,"",SUMIFS(tblDaily[TransfersIn],tblDaily[EntryDate],DATE(2026,11,15),tblDaily[WardCode],"MAE")),"")</f>
        <v/>
      </c>
      <c r="G422" s="13" t="str">
        <f>IFERROR(IF(SUMIFS(tblDaily[TransfersOut],tblDaily[EntryDate],DATE(2026,11,15),tblDaily[WardCode],"MAE")=0,"",SUMIFS(tblDaily[TransfersOut],tblDaily[EntryDate],DATE(2026,11,15),tblDaily[WardCode],"MAE")),"")</f>
        <v/>
      </c>
      <c r="H422" s="13" t="str">
        <f>IFERROR(IF(SUMIFS(tblDaily[Remaining],tblDaily[EntryDate],DATE(2026,11,15),tblDaily[WardCode],"MAE")=0,"",SUMIFS(tblDaily[Remaining],tblDaily[EntryDate],DATE(2026,11,15),tblDaily[WardCode],"MAE")),"")</f>
        <v/>
      </c>
      <c r="I422" s="13" t="str">
        <f>IFERROR(IF(SUMIFS(tblDaily[Admissions],tblDaily[EntryDate],DATE(2026,11,15),tblDaily[WardCode],"FAE")=0,"",SUMIFS(tblDaily[Admissions],tblDaily[EntryDate],DATE(2026,11,15),tblDaily[WardCode],"FAE")),"")</f>
        <v/>
      </c>
      <c r="J422" s="13" t="str">
        <f>IFERROR(IF(SUMIFS(tblDaily[Discharges],tblDaily[EntryDate],DATE(2026,11,15),tblDaily[WardCode],"FAE")=0,"",SUMIFS(tblDaily[Discharges],tblDaily[EntryDate],DATE(2026,11,15),tblDaily[WardCode],"FAE")),"")</f>
        <v/>
      </c>
      <c r="K422" s="13" t="str">
        <f>IFERROR(IF(SUMIFS(tblDaily[Deaths],tblDaily[EntryDate],DATE(2026,11,15),tblDaily[WardCode],"FAE")=0,"",SUMIFS(tblDaily[Deaths],tblDaily[EntryDate],DATE(2026,11,15),tblDaily[WardCode],"FAE")),"")</f>
        <v/>
      </c>
      <c r="L422" s="13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3" t="str">
        <f>IFERROR(IF(SUMIFS(tblDaily[TransfersIn],tblDaily[EntryDate],DATE(2026,11,15),tblDaily[WardCode],"FAE")=0,"",SUMIFS(tblDaily[TransfersIn],tblDaily[EntryDate],DATE(2026,11,15),tblDaily[WardCode],"FAE")),"")</f>
        <v/>
      </c>
      <c r="N422" s="13" t="str">
        <f>IFERROR(IF(SUMIFS(tblDaily[TransfersOut],tblDaily[EntryDate],DATE(2026,11,15),tblDaily[WardCode],"FAE")=0,"",SUMIFS(tblDaily[TransfersOut],tblDaily[EntryDate],DATE(2026,11,15),tblDaily[WardCode],"FAE")),"")</f>
        <v/>
      </c>
      <c r="O422" s="13" t="str">
        <f>IFERROR(IF(SUMIFS(tblDaily[Remaining],tblDaily[EntryDate],DATE(2026,11,15),tblDaily[WardCode],"FAE")=0,"",SUMIFS(tblDaily[Remaining],tblDaily[EntryDate],DATE(2026,11,15),tblDaily[WardCode],"FAE")),"")</f>
        <v/>
      </c>
    </row>
    <row r="423" spans="1:15" x14ac:dyDescent="0.25">
      <c r="A423" s="13">
        <v>16</v>
      </c>
      <c r="B423" s="13" t="str">
        <f>IFERROR(IF(SUMIFS(tblDaily[Admissions],tblDaily[EntryDate],DATE(2026,11,16),tblDaily[WardCode],"MAE")=0,"",SUMIFS(tblDaily[Admissions],tblDaily[EntryDate],DATE(2026,11,16),tblDaily[WardCode],"MAE")),"")</f>
        <v/>
      </c>
      <c r="C423" s="13" t="str">
        <f>IFERROR(IF(SUMIFS(tblDaily[Discharges],tblDaily[EntryDate],DATE(2026,11,16),tblDaily[WardCode],"MAE")=0,"",SUMIFS(tblDaily[Discharges],tblDaily[EntryDate],DATE(2026,11,16),tblDaily[WardCode],"MAE")),"")</f>
        <v/>
      </c>
      <c r="D423" s="13" t="str">
        <f>IFERROR(IF(SUMIFS(tblDaily[Deaths],tblDaily[EntryDate],DATE(2026,11,16),tblDaily[WardCode],"MAE")=0,"",SUMIFS(tblDaily[Deaths],tblDaily[EntryDate],DATE(2026,11,16),tblDaily[WardCode],"MAE")),"")</f>
        <v/>
      </c>
      <c r="E423" s="13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3" t="str">
        <f>IFERROR(IF(SUMIFS(tblDaily[TransfersIn],tblDaily[EntryDate],DATE(2026,11,16),tblDaily[WardCode],"MAE")=0,"",SUMIFS(tblDaily[TransfersIn],tblDaily[EntryDate],DATE(2026,11,16),tblDaily[WardCode],"MAE")),"")</f>
        <v/>
      </c>
      <c r="G423" s="13" t="str">
        <f>IFERROR(IF(SUMIFS(tblDaily[TransfersOut],tblDaily[EntryDate],DATE(2026,11,16),tblDaily[WardCode],"MAE")=0,"",SUMIFS(tblDaily[TransfersOut],tblDaily[EntryDate],DATE(2026,11,16),tblDaily[WardCode],"MAE")),"")</f>
        <v/>
      </c>
      <c r="H423" s="13" t="str">
        <f>IFERROR(IF(SUMIFS(tblDaily[Remaining],tblDaily[EntryDate],DATE(2026,11,16),tblDaily[WardCode],"MAE")=0,"",SUMIFS(tblDaily[Remaining],tblDaily[EntryDate],DATE(2026,11,16),tblDaily[WardCode],"MAE")),"")</f>
        <v/>
      </c>
      <c r="I423" s="13" t="str">
        <f>IFERROR(IF(SUMIFS(tblDaily[Admissions],tblDaily[EntryDate],DATE(2026,11,16),tblDaily[WardCode],"FAE")=0,"",SUMIFS(tblDaily[Admissions],tblDaily[EntryDate],DATE(2026,11,16),tblDaily[WardCode],"FAE")),"")</f>
        <v/>
      </c>
      <c r="J423" s="13" t="str">
        <f>IFERROR(IF(SUMIFS(tblDaily[Discharges],tblDaily[EntryDate],DATE(2026,11,16),tblDaily[WardCode],"FAE")=0,"",SUMIFS(tblDaily[Discharges],tblDaily[EntryDate],DATE(2026,11,16),tblDaily[WardCode],"FAE")),"")</f>
        <v/>
      </c>
      <c r="K423" s="13" t="str">
        <f>IFERROR(IF(SUMIFS(tblDaily[Deaths],tblDaily[EntryDate],DATE(2026,11,16),tblDaily[WardCode],"FAE")=0,"",SUMIFS(tblDaily[Deaths],tblDaily[EntryDate],DATE(2026,11,16),tblDaily[WardCode],"FAE")),"")</f>
        <v/>
      </c>
      <c r="L423" s="13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3" t="str">
        <f>IFERROR(IF(SUMIFS(tblDaily[TransfersIn],tblDaily[EntryDate],DATE(2026,11,16),tblDaily[WardCode],"FAE")=0,"",SUMIFS(tblDaily[TransfersIn],tblDaily[EntryDate],DATE(2026,11,16),tblDaily[WardCode],"FAE")),"")</f>
        <v/>
      </c>
      <c r="N423" s="13" t="str">
        <f>IFERROR(IF(SUMIFS(tblDaily[TransfersOut],tblDaily[EntryDate],DATE(2026,11,16),tblDaily[WardCode],"FAE")=0,"",SUMIFS(tblDaily[TransfersOut],tblDaily[EntryDate],DATE(2026,11,16),tblDaily[WardCode],"FAE")),"")</f>
        <v/>
      </c>
      <c r="O423" s="13" t="str">
        <f>IFERROR(IF(SUMIFS(tblDaily[Remaining],tblDaily[EntryDate],DATE(2026,11,16),tblDaily[WardCode],"FAE")=0,"",SUMIFS(tblDaily[Remaining],tblDaily[EntryDate],DATE(2026,11,16),tblDaily[WardCode],"FAE")),"")</f>
        <v/>
      </c>
    </row>
    <row r="424" spans="1:15" x14ac:dyDescent="0.25">
      <c r="A424" s="13">
        <v>17</v>
      </c>
      <c r="B424" s="13" t="str">
        <f>IFERROR(IF(SUMIFS(tblDaily[Admissions],tblDaily[EntryDate],DATE(2026,11,17),tblDaily[WardCode],"MAE")=0,"",SUMIFS(tblDaily[Admissions],tblDaily[EntryDate],DATE(2026,11,17),tblDaily[WardCode],"MAE")),"")</f>
        <v/>
      </c>
      <c r="C424" s="13" t="str">
        <f>IFERROR(IF(SUMIFS(tblDaily[Discharges],tblDaily[EntryDate],DATE(2026,11,17),tblDaily[WardCode],"MAE")=0,"",SUMIFS(tblDaily[Discharges],tblDaily[EntryDate],DATE(2026,11,17),tblDaily[WardCode],"MAE")),"")</f>
        <v/>
      </c>
      <c r="D424" s="13" t="str">
        <f>IFERROR(IF(SUMIFS(tblDaily[Deaths],tblDaily[EntryDate],DATE(2026,11,17),tblDaily[WardCode],"MAE")=0,"",SUMIFS(tblDaily[Deaths],tblDaily[EntryDate],DATE(2026,11,17),tblDaily[WardCode],"MAE")),"")</f>
        <v/>
      </c>
      <c r="E424" s="13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3" t="str">
        <f>IFERROR(IF(SUMIFS(tblDaily[TransfersIn],tblDaily[EntryDate],DATE(2026,11,17),tblDaily[WardCode],"MAE")=0,"",SUMIFS(tblDaily[TransfersIn],tblDaily[EntryDate],DATE(2026,11,17),tblDaily[WardCode],"MAE")),"")</f>
        <v/>
      </c>
      <c r="G424" s="13" t="str">
        <f>IFERROR(IF(SUMIFS(tblDaily[TransfersOut],tblDaily[EntryDate],DATE(2026,11,17),tblDaily[WardCode],"MAE")=0,"",SUMIFS(tblDaily[TransfersOut],tblDaily[EntryDate],DATE(2026,11,17),tblDaily[WardCode],"MAE")),"")</f>
        <v/>
      </c>
      <c r="H424" s="13" t="str">
        <f>IFERROR(IF(SUMIFS(tblDaily[Remaining],tblDaily[EntryDate],DATE(2026,11,17),tblDaily[WardCode],"MAE")=0,"",SUMIFS(tblDaily[Remaining],tblDaily[EntryDate],DATE(2026,11,17),tblDaily[WardCode],"MAE")),"")</f>
        <v/>
      </c>
      <c r="I424" s="13" t="str">
        <f>IFERROR(IF(SUMIFS(tblDaily[Admissions],tblDaily[EntryDate],DATE(2026,11,17),tblDaily[WardCode],"FAE")=0,"",SUMIFS(tblDaily[Admissions],tblDaily[EntryDate],DATE(2026,11,17),tblDaily[WardCode],"FAE")),"")</f>
        <v/>
      </c>
      <c r="J424" s="13" t="str">
        <f>IFERROR(IF(SUMIFS(tblDaily[Discharges],tblDaily[EntryDate],DATE(2026,11,17),tblDaily[WardCode],"FAE")=0,"",SUMIFS(tblDaily[Discharges],tblDaily[EntryDate],DATE(2026,11,17),tblDaily[WardCode],"FAE")),"")</f>
        <v/>
      </c>
      <c r="K424" s="13" t="str">
        <f>IFERROR(IF(SUMIFS(tblDaily[Deaths],tblDaily[EntryDate],DATE(2026,11,17),tblDaily[WardCode],"FAE")=0,"",SUMIFS(tblDaily[Deaths],tblDaily[EntryDate],DATE(2026,11,17),tblDaily[WardCode],"FAE")),"")</f>
        <v/>
      </c>
      <c r="L424" s="13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3" t="str">
        <f>IFERROR(IF(SUMIFS(tblDaily[TransfersIn],tblDaily[EntryDate],DATE(2026,11,17),tblDaily[WardCode],"FAE")=0,"",SUMIFS(tblDaily[TransfersIn],tblDaily[EntryDate],DATE(2026,11,17),tblDaily[WardCode],"FAE")),"")</f>
        <v/>
      </c>
      <c r="N424" s="13" t="str">
        <f>IFERROR(IF(SUMIFS(tblDaily[TransfersOut],tblDaily[EntryDate],DATE(2026,11,17),tblDaily[WardCode],"FAE")=0,"",SUMIFS(tblDaily[TransfersOut],tblDaily[EntryDate],DATE(2026,11,17),tblDaily[WardCode],"FAE")),"")</f>
        <v/>
      </c>
      <c r="O424" s="13" t="str">
        <f>IFERROR(IF(SUMIFS(tblDaily[Remaining],tblDaily[EntryDate],DATE(2026,11,17),tblDaily[WardCode],"FAE")=0,"",SUMIFS(tblDaily[Remaining],tblDaily[EntryDate],DATE(2026,11,17),tblDaily[WardCode],"FAE")),"")</f>
        <v/>
      </c>
    </row>
    <row r="425" spans="1:15" x14ac:dyDescent="0.25">
      <c r="A425" s="13">
        <v>18</v>
      </c>
      <c r="B425" s="13" t="str">
        <f>IFERROR(IF(SUMIFS(tblDaily[Admissions],tblDaily[EntryDate],DATE(2026,11,18),tblDaily[WardCode],"MAE")=0,"",SUMIFS(tblDaily[Admissions],tblDaily[EntryDate],DATE(2026,11,18),tblDaily[WardCode],"MAE")),"")</f>
        <v/>
      </c>
      <c r="C425" s="13" t="str">
        <f>IFERROR(IF(SUMIFS(tblDaily[Discharges],tblDaily[EntryDate],DATE(2026,11,18),tblDaily[WardCode],"MAE")=0,"",SUMIFS(tblDaily[Discharges],tblDaily[EntryDate],DATE(2026,11,18),tblDaily[WardCode],"MAE")),"")</f>
        <v/>
      </c>
      <c r="D425" s="13" t="str">
        <f>IFERROR(IF(SUMIFS(tblDaily[Deaths],tblDaily[EntryDate],DATE(2026,11,18),tblDaily[WardCode],"MAE")=0,"",SUMIFS(tblDaily[Deaths],tblDaily[EntryDate],DATE(2026,11,18),tblDaily[WardCode],"MAE")),"")</f>
        <v/>
      </c>
      <c r="E425" s="13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3" t="str">
        <f>IFERROR(IF(SUMIFS(tblDaily[TransfersIn],tblDaily[EntryDate],DATE(2026,11,18),tblDaily[WardCode],"MAE")=0,"",SUMIFS(tblDaily[TransfersIn],tblDaily[EntryDate],DATE(2026,11,18),tblDaily[WardCode],"MAE")),"")</f>
        <v/>
      </c>
      <c r="G425" s="13" t="str">
        <f>IFERROR(IF(SUMIFS(tblDaily[TransfersOut],tblDaily[EntryDate],DATE(2026,11,18),tblDaily[WardCode],"MAE")=0,"",SUMIFS(tblDaily[TransfersOut],tblDaily[EntryDate],DATE(2026,11,18),tblDaily[WardCode],"MAE")),"")</f>
        <v/>
      </c>
      <c r="H425" s="13" t="str">
        <f>IFERROR(IF(SUMIFS(tblDaily[Remaining],tblDaily[EntryDate],DATE(2026,11,18),tblDaily[WardCode],"MAE")=0,"",SUMIFS(tblDaily[Remaining],tblDaily[EntryDate],DATE(2026,11,18),tblDaily[WardCode],"MAE")),"")</f>
        <v/>
      </c>
      <c r="I425" s="13" t="str">
        <f>IFERROR(IF(SUMIFS(tblDaily[Admissions],tblDaily[EntryDate],DATE(2026,11,18),tblDaily[WardCode],"FAE")=0,"",SUMIFS(tblDaily[Admissions],tblDaily[EntryDate],DATE(2026,11,18),tblDaily[WardCode],"FAE")),"")</f>
        <v/>
      </c>
      <c r="J425" s="13" t="str">
        <f>IFERROR(IF(SUMIFS(tblDaily[Discharges],tblDaily[EntryDate],DATE(2026,11,18),tblDaily[WardCode],"FAE")=0,"",SUMIFS(tblDaily[Discharges],tblDaily[EntryDate],DATE(2026,11,18),tblDaily[WardCode],"FAE")),"")</f>
        <v/>
      </c>
      <c r="K425" s="13" t="str">
        <f>IFERROR(IF(SUMIFS(tblDaily[Deaths],tblDaily[EntryDate],DATE(2026,11,18),tblDaily[WardCode],"FAE")=0,"",SUMIFS(tblDaily[Deaths],tblDaily[EntryDate],DATE(2026,11,18),tblDaily[WardCode],"FAE")),"")</f>
        <v/>
      </c>
      <c r="L425" s="13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3" t="str">
        <f>IFERROR(IF(SUMIFS(tblDaily[TransfersIn],tblDaily[EntryDate],DATE(2026,11,18),tblDaily[WardCode],"FAE")=0,"",SUMIFS(tblDaily[TransfersIn],tblDaily[EntryDate],DATE(2026,11,18),tblDaily[WardCode],"FAE")),"")</f>
        <v/>
      </c>
      <c r="N425" s="13" t="str">
        <f>IFERROR(IF(SUMIFS(tblDaily[TransfersOut],tblDaily[EntryDate],DATE(2026,11,18),tblDaily[WardCode],"FAE")=0,"",SUMIFS(tblDaily[TransfersOut],tblDaily[EntryDate],DATE(2026,11,18),tblDaily[WardCode],"FAE")),"")</f>
        <v/>
      </c>
      <c r="O425" s="13" t="str">
        <f>IFERROR(IF(SUMIFS(tblDaily[Remaining],tblDaily[EntryDate],DATE(2026,11,18),tblDaily[WardCode],"FAE")=0,"",SUMIFS(tblDaily[Remaining],tblDaily[EntryDate],DATE(2026,11,18),tblDaily[WardCode],"FAE")),"")</f>
        <v/>
      </c>
    </row>
    <row r="426" spans="1:15" x14ac:dyDescent="0.25">
      <c r="A426" s="13">
        <v>19</v>
      </c>
      <c r="B426" s="13" t="str">
        <f>IFERROR(IF(SUMIFS(tblDaily[Admissions],tblDaily[EntryDate],DATE(2026,11,19),tblDaily[WardCode],"MAE")=0,"",SUMIFS(tblDaily[Admissions],tblDaily[EntryDate],DATE(2026,11,19),tblDaily[WardCode],"MAE")),"")</f>
        <v/>
      </c>
      <c r="C426" s="13" t="str">
        <f>IFERROR(IF(SUMIFS(tblDaily[Discharges],tblDaily[EntryDate],DATE(2026,11,19),tblDaily[WardCode],"MAE")=0,"",SUMIFS(tblDaily[Discharges],tblDaily[EntryDate],DATE(2026,11,19),tblDaily[WardCode],"MAE")),"")</f>
        <v/>
      </c>
      <c r="D426" s="13" t="str">
        <f>IFERROR(IF(SUMIFS(tblDaily[Deaths],tblDaily[EntryDate],DATE(2026,11,19),tblDaily[WardCode],"MAE")=0,"",SUMIFS(tblDaily[Deaths],tblDaily[EntryDate],DATE(2026,11,19),tblDaily[WardCode],"MAE")),"")</f>
        <v/>
      </c>
      <c r="E426" s="13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3" t="str">
        <f>IFERROR(IF(SUMIFS(tblDaily[TransfersIn],tblDaily[EntryDate],DATE(2026,11,19),tblDaily[WardCode],"MAE")=0,"",SUMIFS(tblDaily[TransfersIn],tblDaily[EntryDate],DATE(2026,11,19),tblDaily[WardCode],"MAE")),"")</f>
        <v/>
      </c>
      <c r="G426" s="13" t="str">
        <f>IFERROR(IF(SUMIFS(tblDaily[TransfersOut],tblDaily[EntryDate],DATE(2026,11,19),tblDaily[WardCode],"MAE")=0,"",SUMIFS(tblDaily[TransfersOut],tblDaily[EntryDate],DATE(2026,11,19),tblDaily[WardCode],"MAE")),"")</f>
        <v/>
      </c>
      <c r="H426" s="13" t="str">
        <f>IFERROR(IF(SUMIFS(tblDaily[Remaining],tblDaily[EntryDate],DATE(2026,11,19),tblDaily[WardCode],"MAE")=0,"",SUMIFS(tblDaily[Remaining],tblDaily[EntryDate],DATE(2026,11,19),tblDaily[WardCode],"MAE")),"")</f>
        <v/>
      </c>
      <c r="I426" s="13" t="str">
        <f>IFERROR(IF(SUMIFS(tblDaily[Admissions],tblDaily[EntryDate],DATE(2026,11,19),tblDaily[WardCode],"FAE")=0,"",SUMIFS(tblDaily[Admissions],tblDaily[EntryDate],DATE(2026,11,19),tblDaily[WardCode],"FAE")),"")</f>
        <v/>
      </c>
      <c r="J426" s="13" t="str">
        <f>IFERROR(IF(SUMIFS(tblDaily[Discharges],tblDaily[EntryDate],DATE(2026,11,19),tblDaily[WardCode],"FAE")=0,"",SUMIFS(tblDaily[Discharges],tblDaily[EntryDate],DATE(2026,11,19),tblDaily[WardCode],"FAE")),"")</f>
        <v/>
      </c>
      <c r="K426" s="13" t="str">
        <f>IFERROR(IF(SUMIFS(tblDaily[Deaths],tblDaily[EntryDate],DATE(2026,11,19),tblDaily[WardCode],"FAE")=0,"",SUMIFS(tblDaily[Deaths],tblDaily[EntryDate],DATE(2026,11,19),tblDaily[WardCode],"FAE")),"")</f>
        <v/>
      </c>
      <c r="L426" s="13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3" t="str">
        <f>IFERROR(IF(SUMIFS(tblDaily[TransfersIn],tblDaily[EntryDate],DATE(2026,11,19),tblDaily[WardCode],"FAE")=0,"",SUMIFS(tblDaily[TransfersIn],tblDaily[EntryDate],DATE(2026,11,19),tblDaily[WardCode],"FAE")),"")</f>
        <v/>
      </c>
      <c r="N426" s="13" t="str">
        <f>IFERROR(IF(SUMIFS(tblDaily[TransfersOut],tblDaily[EntryDate],DATE(2026,11,19),tblDaily[WardCode],"FAE")=0,"",SUMIFS(tblDaily[TransfersOut],tblDaily[EntryDate],DATE(2026,11,19),tblDaily[WardCode],"FAE")),"")</f>
        <v/>
      </c>
      <c r="O426" s="13" t="str">
        <f>IFERROR(IF(SUMIFS(tblDaily[Remaining],tblDaily[EntryDate],DATE(2026,11,19),tblDaily[WardCode],"FAE")=0,"",SUMIFS(tblDaily[Remaining],tblDaily[EntryDate],DATE(2026,11,19),tblDaily[WardCode],"FAE")),"")</f>
        <v/>
      </c>
    </row>
    <row r="427" spans="1:15" x14ac:dyDescent="0.25">
      <c r="A427" s="13">
        <v>20</v>
      </c>
      <c r="B427" s="13" t="str">
        <f>IFERROR(IF(SUMIFS(tblDaily[Admissions],tblDaily[EntryDate],DATE(2026,11,20),tblDaily[WardCode],"MAE")=0,"",SUMIFS(tblDaily[Admissions],tblDaily[EntryDate],DATE(2026,11,20),tblDaily[WardCode],"MAE")),"")</f>
        <v/>
      </c>
      <c r="C427" s="13" t="str">
        <f>IFERROR(IF(SUMIFS(tblDaily[Discharges],tblDaily[EntryDate],DATE(2026,11,20),tblDaily[WardCode],"MAE")=0,"",SUMIFS(tblDaily[Discharges],tblDaily[EntryDate],DATE(2026,11,20),tblDaily[WardCode],"MAE")),"")</f>
        <v/>
      </c>
      <c r="D427" s="13" t="str">
        <f>IFERROR(IF(SUMIFS(tblDaily[Deaths],tblDaily[EntryDate],DATE(2026,11,20),tblDaily[WardCode],"MAE")=0,"",SUMIFS(tblDaily[Deaths],tblDaily[EntryDate],DATE(2026,11,20),tblDaily[WardCode],"MAE")),"")</f>
        <v/>
      </c>
      <c r="E427" s="13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3" t="str">
        <f>IFERROR(IF(SUMIFS(tblDaily[TransfersIn],tblDaily[EntryDate],DATE(2026,11,20),tblDaily[WardCode],"MAE")=0,"",SUMIFS(tblDaily[TransfersIn],tblDaily[EntryDate],DATE(2026,11,20),tblDaily[WardCode],"MAE")),"")</f>
        <v/>
      </c>
      <c r="G427" s="13" t="str">
        <f>IFERROR(IF(SUMIFS(tblDaily[TransfersOut],tblDaily[EntryDate],DATE(2026,11,20),tblDaily[WardCode],"MAE")=0,"",SUMIFS(tblDaily[TransfersOut],tblDaily[EntryDate],DATE(2026,11,20),tblDaily[WardCode],"MAE")),"")</f>
        <v/>
      </c>
      <c r="H427" s="13" t="str">
        <f>IFERROR(IF(SUMIFS(tblDaily[Remaining],tblDaily[EntryDate],DATE(2026,11,20),tblDaily[WardCode],"MAE")=0,"",SUMIFS(tblDaily[Remaining],tblDaily[EntryDate],DATE(2026,11,20),tblDaily[WardCode],"MAE")),"")</f>
        <v/>
      </c>
      <c r="I427" s="13" t="str">
        <f>IFERROR(IF(SUMIFS(tblDaily[Admissions],tblDaily[EntryDate],DATE(2026,11,20),tblDaily[WardCode],"FAE")=0,"",SUMIFS(tblDaily[Admissions],tblDaily[EntryDate],DATE(2026,11,20),tblDaily[WardCode],"FAE")),"")</f>
        <v/>
      </c>
      <c r="J427" s="13" t="str">
        <f>IFERROR(IF(SUMIFS(tblDaily[Discharges],tblDaily[EntryDate],DATE(2026,11,20),tblDaily[WardCode],"FAE")=0,"",SUMIFS(tblDaily[Discharges],tblDaily[EntryDate],DATE(2026,11,20),tblDaily[WardCode],"FAE")),"")</f>
        <v/>
      </c>
      <c r="K427" s="13" t="str">
        <f>IFERROR(IF(SUMIFS(tblDaily[Deaths],tblDaily[EntryDate],DATE(2026,11,20),tblDaily[WardCode],"FAE")=0,"",SUMIFS(tblDaily[Deaths],tblDaily[EntryDate],DATE(2026,11,20),tblDaily[WardCode],"FAE")),"")</f>
        <v/>
      </c>
      <c r="L427" s="13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3" t="str">
        <f>IFERROR(IF(SUMIFS(tblDaily[TransfersIn],tblDaily[EntryDate],DATE(2026,11,20),tblDaily[WardCode],"FAE")=0,"",SUMIFS(tblDaily[TransfersIn],tblDaily[EntryDate],DATE(2026,11,20),tblDaily[WardCode],"FAE")),"")</f>
        <v/>
      </c>
      <c r="N427" s="13" t="str">
        <f>IFERROR(IF(SUMIFS(tblDaily[TransfersOut],tblDaily[EntryDate],DATE(2026,11,20),tblDaily[WardCode],"FAE")=0,"",SUMIFS(tblDaily[TransfersOut],tblDaily[EntryDate],DATE(2026,11,20),tblDaily[WardCode],"FAE")),"")</f>
        <v/>
      </c>
      <c r="O427" s="13" t="str">
        <f>IFERROR(IF(SUMIFS(tblDaily[Remaining],tblDaily[EntryDate],DATE(2026,11,20),tblDaily[WardCode],"FAE")=0,"",SUMIFS(tblDaily[Remaining],tblDaily[EntryDate],DATE(2026,11,20),tblDaily[WardCode],"FAE")),"")</f>
        <v/>
      </c>
    </row>
    <row r="428" spans="1:15" x14ac:dyDescent="0.25">
      <c r="A428" s="13">
        <v>21</v>
      </c>
      <c r="B428" s="13" t="str">
        <f>IFERROR(IF(SUMIFS(tblDaily[Admissions],tblDaily[EntryDate],DATE(2026,11,21),tblDaily[WardCode],"MAE")=0,"",SUMIFS(tblDaily[Admissions],tblDaily[EntryDate],DATE(2026,11,21),tblDaily[WardCode],"MAE")),"")</f>
        <v/>
      </c>
      <c r="C428" s="13" t="str">
        <f>IFERROR(IF(SUMIFS(tblDaily[Discharges],tblDaily[EntryDate],DATE(2026,11,21),tblDaily[WardCode],"MAE")=0,"",SUMIFS(tblDaily[Discharges],tblDaily[EntryDate],DATE(2026,11,21),tblDaily[WardCode],"MAE")),"")</f>
        <v/>
      </c>
      <c r="D428" s="13" t="str">
        <f>IFERROR(IF(SUMIFS(tblDaily[Deaths],tblDaily[EntryDate],DATE(2026,11,21),tblDaily[WardCode],"MAE")=0,"",SUMIFS(tblDaily[Deaths],tblDaily[EntryDate],DATE(2026,11,21),tblDaily[WardCode],"MAE")),"")</f>
        <v/>
      </c>
      <c r="E428" s="13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3" t="str">
        <f>IFERROR(IF(SUMIFS(tblDaily[TransfersIn],tblDaily[EntryDate],DATE(2026,11,21),tblDaily[WardCode],"MAE")=0,"",SUMIFS(tblDaily[TransfersIn],tblDaily[EntryDate],DATE(2026,11,21),tblDaily[WardCode],"MAE")),"")</f>
        <v/>
      </c>
      <c r="G428" s="13" t="str">
        <f>IFERROR(IF(SUMIFS(tblDaily[TransfersOut],tblDaily[EntryDate],DATE(2026,11,21),tblDaily[WardCode],"MAE")=0,"",SUMIFS(tblDaily[TransfersOut],tblDaily[EntryDate],DATE(2026,11,21),tblDaily[WardCode],"MAE")),"")</f>
        <v/>
      </c>
      <c r="H428" s="13" t="str">
        <f>IFERROR(IF(SUMIFS(tblDaily[Remaining],tblDaily[EntryDate],DATE(2026,11,21),tblDaily[WardCode],"MAE")=0,"",SUMIFS(tblDaily[Remaining],tblDaily[EntryDate],DATE(2026,11,21),tblDaily[WardCode],"MAE")),"")</f>
        <v/>
      </c>
      <c r="I428" s="13" t="str">
        <f>IFERROR(IF(SUMIFS(tblDaily[Admissions],tblDaily[EntryDate],DATE(2026,11,21),tblDaily[WardCode],"FAE")=0,"",SUMIFS(tblDaily[Admissions],tblDaily[EntryDate],DATE(2026,11,21),tblDaily[WardCode],"FAE")),"")</f>
        <v/>
      </c>
      <c r="J428" s="13" t="str">
        <f>IFERROR(IF(SUMIFS(tblDaily[Discharges],tblDaily[EntryDate],DATE(2026,11,21),tblDaily[WardCode],"FAE")=0,"",SUMIFS(tblDaily[Discharges],tblDaily[EntryDate],DATE(2026,11,21),tblDaily[WardCode],"FAE")),"")</f>
        <v/>
      </c>
      <c r="K428" s="13" t="str">
        <f>IFERROR(IF(SUMIFS(tblDaily[Deaths],tblDaily[EntryDate],DATE(2026,11,21),tblDaily[WardCode],"FAE")=0,"",SUMIFS(tblDaily[Deaths],tblDaily[EntryDate],DATE(2026,11,21),tblDaily[WardCode],"FAE")),"")</f>
        <v/>
      </c>
      <c r="L428" s="13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3" t="str">
        <f>IFERROR(IF(SUMIFS(tblDaily[TransfersIn],tblDaily[EntryDate],DATE(2026,11,21),tblDaily[WardCode],"FAE")=0,"",SUMIFS(tblDaily[TransfersIn],tblDaily[EntryDate],DATE(2026,11,21),tblDaily[WardCode],"FAE")),"")</f>
        <v/>
      </c>
      <c r="N428" s="13" t="str">
        <f>IFERROR(IF(SUMIFS(tblDaily[TransfersOut],tblDaily[EntryDate],DATE(2026,11,21),tblDaily[WardCode],"FAE")=0,"",SUMIFS(tblDaily[TransfersOut],tblDaily[EntryDate],DATE(2026,11,21),tblDaily[WardCode],"FAE")),"")</f>
        <v/>
      </c>
      <c r="O428" s="13" t="str">
        <f>IFERROR(IF(SUMIFS(tblDaily[Remaining],tblDaily[EntryDate],DATE(2026,11,21),tblDaily[WardCode],"FAE")=0,"",SUMIFS(tblDaily[Remaining],tblDaily[EntryDate],DATE(2026,11,21),tblDaily[WardCode],"FAE")),"")</f>
        <v/>
      </c>
    </row>
    <row r="429" spans="1:15" x14ac:dyDescent="0.25">
      <c r="A429" s="13">
        <v>22</v>
      </c>
      <c r="B429" s="13" t="str">
        <f>IFERROR(IF(SUMIFS(tblDaily[Admissions],tblDaily[EntryDate],DATE(2026,11,22),tblDaily[WardCode],"MAE")=0,"",SUMIFS(tblDaily[Admissions],tblDaily[EntryDate],DATE(2026,11,22),tblDaily[WardCode],"MAE")),"")</f>
        <v/>
      </c>
      <c r="C429" s="13" t="str">
        <f>IFERROR(IF(SUMIFS(tblDaily[Discharges],tblDaily[EntryDate],DATE(2026,11,22),tblDaily[WardCode],"MAE")=0,"",SUMIFS(tblDaily[Discharges],tblDaily[EntryDate],DATE(2026,11,22),tblDaily[WardCode],"MAE")),"")</f>
        <v/>
      </c>
      <c r="D429" s="13" t="str">
        <f>IFERROR(IF(SUMIFS(tblDaily[Deaths],tblDaily[EntryDate],DATE(2026,11,22),tblDaily[WardCode],"MAE")=0,"",SUMIFS(tblDaily[Deaths],tblDaily[EntryDate],DATE(2026,11,22),tblDaily[WardCode],"MAE")),"")</f>
        <v/>
      </c>
      <c r="E429" s="13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3" t="str">
        <f>IFERROR(IF(SUMIFS(tblDaily[TransfersIn],tblDaily[EntryDate],DATE(2026,11,22),tblDaily[WardCode],"MAE")=0,"",SUMIFS(tblDaily[TransfersIn],tblDaily[EntryDate],DATE(2026,11,22),tblDaily[WardCode],"MAE")),"")</f>
        <v/>
      </c>
      <c r="G429" s="13" t="str">
        <f>IFERROR(IF(SUMIFS(tblDaily[TransfersOut],tblDaily[EntryDate],DATE(2026,11,22),tblDaily[WardCode],"MAE")=0,"",SUMIFS(tblDaily[TransfersOut],tblDaily[EntryDate],DATE(2026,11,22),tblDaily[WardCode],"MAE")),"")</f>
        <v/>
      </c>
      <c r="H429" s="13" t="str">
        <f>IFERROR(IF(SUMIFS(tblDaily[Remaining],tblDaily[EntryDate],DATE(2026,11,22),tblDaily[WardCode],"MAE")=0,"",SUMIFS(tblDaily[Remaining],tblDaily[EntryDate],DATE(2026,11,22),tblDaily[WardCode],"MAE")),"")</f>
        <v/>
      </c>
      <c r="I429" s="13" t="str">
        <f>IFERROR(IF(SUMIFS(tblDaily[Admissions],tblDaily[EntryDate],DATE(2026,11,22),tblDaily[WardCode],"FAE")=0,"",SUMIFS(tblDaily[Admissions],tblDaily[EntryDate],DATE(2026,11,22),tblDaily[WardCode],"FAE")),"")</f>
        <v/>
      </c>
      <c r="J429" s="13" t="str">
        <f>IFERROR(IF(SUMIFS(tblDaily[Discharges],tblDaily[EntryDate],DATE(2026,11,22),tblDaily[WardCode],"FAE")=0,"",SUMIFS(tblDaily[Discharges],tblDaily[EntryDate],DATE(2026,11,22),tblDaily[WardCode],"FAE")),"")</f>
        <v/>
      </c>
      <c r="K429" s="13" t="str">
        <f>IFERROR(IF(SUMIFS(tblDaily[Deaths],tblDaily[EntryDate],DATE(2026,11,22),tblDaily[WardCode],"FAE")=0,"",SUMIFS(tblDaily[Deaths],tblDaily[EntryDate],DATE(2026,11,22),tblDaily[WardCode],"FAE")),"")</f>
        <v/>
      </c>
      <c r="L429" s="13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3" t="str">
        <f>IFERROR(IF(SUMIFS(tblDaily[TransfersIn],tblDaily[EntryDate],DATE(2026,11,22),tblDaily[WardCode],"FAE")=0,"",SUMIFS(tblDaily[TransfersIn],tblDaily[EntryDate],DATE(2026,11,22),tblDaily[WardCode],"FAE")),"")</f>
        <v/>
      </c>
      <c r="N429" s="13" t="str">
        <f>IFERROR(IF(SUMIFS(tblDaily[TransfersOut],tblDaily[EntryDate],DATE(2026,11,22),tblDaily[WardCode],"FAE")=0,"",SUMIFS(tblDaily[TransfersOut],tblDaily[EntryDate],DATE(2026,11,22),tblDaily[WardCode],"FAE")),"")</f>
        <v/>
      </c>
      <c r="O429" s="13" t="str">
        <f>IFERROR(IF(SUMIFS(tblDaily[Remaining],tblDaily[EntryDate],DATE(2026,11,22),tblDaily[WardCode],"FAE")=0,"",SUMIFS(tblDaily[Remaining],tblDaily[EntryDate],DATE(2026,11,22),tblDaily[WardCode],"FAE")),"")</f>
        <v/>
      </c>
    </row>
    <row r="430" spans="1:15" x14ac:dyDescent="0.25">
      <c r="A430" s="13">
        <v>23</v>
      </c>
      <c r="B430" s="13" t="str">
        <f>IFERROR(IF(SUMIFS(tblDaily[Admissions],tblDaily[EntryDate],DATE(2026,11,23),tblDaily[WardCode],"MAE")=0,"",SUMIFS(tblDaily[Admissions],tblDaily[EntryDate],DATE(2026,11,23),tblDaily[WardCode],"MAE")),"")</f>
        <v/>
      </c>
      <c r="C430" s="13" t="str">
        <f>IFERROR(IF(SUMIFS(tblDaily[Discharges],tblDaily[EntryDate],DATE(2026,11,23),tblDaily[WardCode],"MAE")=0,"",SUMIFS(tblDaily[Discharges],tblDaily[EntryDate],DATE(2026,11,23),tblDaily[WardCode],"MAE")),"")</f>
        <v/>
      </c>
      <c r="D430" s="13" t="str">
        <f>IFERROR(IF(SUMIFS(tblDaily[Deaths],tblDaily[EntryDate],DATE(2026,11,23),tblDaily[WardCode],"MAE")=0,"",SUMIFS(tblDaily[Deaths],tblDaily[EntryDate],DATE(2026,11,23),tblDaily[WardCode],"MAE")),"")</f>
        <v/>
      </c>
      <c r="E430" s="13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3" t="str">
        <f>IFERROR(IF(SUMIFS(tblDaily[TransfersIn],tblDaily[EntryDate],DATE(2026,11,23),tblDaily[WardCode],"MAE")=0,"",SUMIFS(tblDaily[TransfersIn],tblDaily[EntryDate],DATE(2026,11,23),tblDaily[WardCode],"MAE")),"")</f>
        <v/>
      </c>
      <c r="G430" s="13" t="str">
        <f>IFERROR(IF(SUMIFS(tblDaily[TransfersOut],tblDaily[EntryDate],DATE(2026,11,23),tblDaily[WardCode],"MAE")=0,"",SUMIFS(tblDaily[TransfersOut],tblDaily[EntryDate],DATE(2026,11,23),tblDaily[WardCode],"MAE")),"")</f>
        <v/>
      </c>
      <c r="H430" s="13" t="str">
        <f>IFERROR(IF(SUMIFS(tblDaily[Remaining],tblDaily[EntryDate],DATE(2026,11,23),tblDaily[WardCode],"MAE")=0,"",SUMIFS(tblDaily[Remaining],tblDaily[EntryDate],DATE(2026,11,23),tblDaily[WardCode],"MAE")),"")</f>
        <v/>
      </c>
      <c r="I430" s="13" t="str">
        <f>IFERROR(IF(SUMIFS(tblDaily[Admissions],tblDaily[EntryDate],DATE(2026,11,23),tblDaily[WardCode],"FAE")=0,"",SUMIFS(tblDaily[Admissions],tblDaily[EntryDate],DATE(2026,11,23),tblDaily[WardCode],"FAE")),"")</f>
        <v/>
      </c>
      <c r="J430" s="13" t="str">
        <f>IFERROR(IF(SUMIFS(tblDaily[Discharges],tblDaily[EntryDate],DATE(2026,11,23),tblDaily[WardCode],"FAE")=0,"",SUMIFS(tblDaily[Discharges],tblDaily[EntryDate],DATE(2026,11,23),tblDaily[WardCode],"FAE")),"")</f>
        <v/>
      </c>
      <c r="K430" s="13" t="str">
        <f>IFERROR(IF(SUMIFS(tblDaily[Deaths],tblDaily[EntryDate],DATE(2026,11,23),tblDaily[WardCode],"FAE")=0,"",SUMIFS(tblDaily[Deaths],tblDaily[EntryDate],DATE(2026,11,23),tblDaily[WardCode],"FAE")),"")</f>
        <v/>
      </c>
      <c r="L430" s="13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3" t="str">
        <f>IFERROR(IF(SUMIFS(tblDaily[TransfersIn],tblDaily[EntryDate],DATE(2026,11,23),tblDaily[WardCode],"FAE")=0,"",SUMIFS(tblDaily[TransfersIn],tblDaily[EntryDate],DATE(2026,11,23),tblDaily[WardCode],"FAE")),"")</f>
        <v/>
      </c>
      <c r="N430" s="13" t="str">
        <f>IFERROR(IF(SUMIFS(tblDaily[TransfersOut],tblDaily[EntryDate],DATE(2026,11,23),tblDaily[WardCode],"FAE")=0,"",SUMIFS(tblDaily[TransfersOut],tblDaily[EntryDate],DATE(2026,11,23),tblDaily[WardCode],"FAE")),"")</f>
        <v/>
      </c>
      <c r="O430" s="13" t="str">
        <f>IFERROR(IF(SUMIFS(tblDaily[Remaining],tblDaily[EntryDate],DATE(2026,11,23),tblDaily[WardCode],"FAE")=0,"",SUMIFS(tblDaily[Remaining],tblDaily[EntryDate],DATE(2026,11,23),tblDaily[WardCode],"FAE")),"")</f>
        <v/>
      </c>
    </row>
    <row r="431" spans="1:15" x14ac:dyDescent="0.25">
      <c r="A431" s="13">
        <v>24</v>
      </c>
      <c r="B431" s="13" t="str">
        <f>IFERROR(IF(SUMIFS(tblDaily[Admissions],tblDaily[EntryDate],DATE(2026,11,24),tblDaily[WardCode],"MAE")=0,"",SUMIFS(tblDaily[Admissions],tblDaily[EntryDate],DATE(2026,11,24),tblDaily[WardCode],"MAE")),"")</f>
        <v/>
      </c>
      <c r="C431" s="13" t="str">
        <f>IFERROR(IF(SUMIFS(tblDaily[Discharges],tblDaily[EntryDate],DATE(2026,11,24),tblDaily[WardCode],"MAE")=0,"",SUMIFS(tblDaily[Discharges],tblDaily[EntryDate],DATE(2026,11,24),tblDaily[WardCode],"MAE")),"")</f>
        <v/>
      </c>
      <c r="D431" s="13" t="str">
        <f>IFERROR(IF(SUMIFS(tblDaily[Deaths],tblDaily[EntryDate],DATE(2026,11,24),tblDaily[WardCode],"MAE")=0,"",SUMIFS(tblDaily[Deaths],tblDaily[EntryDate],DATE(2026,11,24),tblDaily[WardCode],"MAE")),"")</f>
        <v/>
      </c>
      <c r="E431" s="13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3" t="str">
        <f>IFERROR(IF(SUMIFS(tblDaily[TransfersIn],tblDaily[EntryDate],DATE(2026,11,24),tblDaily[WardCode],"MAE")=0,"",SUMIFS(tblDaily[TransfersIn],tblDaily[EntryDate],DATE(2026,11,24),tblDaily[WardCode],"MAE")),"")</f>
        <v/>
      </c>
      <c r="G431" s="13" t="str">
        <f>IFERROR(IF(SUMIFS(tblDaily[TransfersOut],tblDaily[EntryDate],DATE(2026,11,24),tblDaily[WardCode],"MAE")=0,"",SUMIFS(tblDaily[TransfersOut],tblDaily[EntryDate],DATE(2026,11,24),tblDaily[WardCode],"MAE")),"")</f>
        <v/>
      </c>
      <c r="H431" s="13" t="str">
        <f>IFERROR(IF(SUMIFS(tblDaily[Remaining],tblDaily[EntryDate],DATE(2026,11,24),tblDaily[WardCode],"MAE")=0,"",SUMIFS(tblDaily[Remaining],tblDaily[EntryDate],DATE(2026,11,24),tblDaily[WardCode],"MAE")),"")</f>
        <v/>
      </c>
      <c r="I431" s="13" t="str">
        <f>IFERROR(IF(SUMIFS(tblDaily[Admissions],tblDaily[EntryDate],DATE(2026,11,24),tblDaily[WardCode],"FAE")=0,"",SUMIFS(tblDaily[Admissions],tblDaily[EntryDate],DATE(2026,11,24),tblDaily[WardCode],"FAE")),"")</f>
        <v/>
      </c>
      <c r="J431" s="13" t="str">
        <f>IFERROR(IF(SUMIFS(tblDaily[Discharges],tblDaily[EntryDate],DATE(2026,11,24),tblDaily[WardCode],"FAE")=0,"",SUMIFS(tblDaily[Discharges],tblDaily[EntryDate],DATE(2026,11,24),tblDaily[WardCode],"FAE")),"")</f>
        <v/>
      </c>
      <c r="K431" s="13" t="str">
        <f>IFERROR(IF(SUMIFS(tblDaily[Deaths],tblDaily[EntryDate],DATE(2026,11,24),tblDaily[WardCode],"FAE")=0,"",SUMIFS(tblDaily[Deaths],tblDaily[EntryDate],DATE(2026,11,24),tblDaily[WardCode],"FAE")),"")</f>
        <v/>
      </c>
      <c r="L431" s="13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3" t="str">
        <f>IFERROR(IF(SUMIFS(tblDaily[TransfersIn],tblDaily[EntryDate],DATE(2026,11,24),tblDaily[WardCode],"FAE")=0,"",SUMIFS(tblDaily[TransfersIn],tblDaily[EntryDate],DATE(2026,11,24),tblDaily[WardCode],"FAE")),"")</f>
        <v/>
      </c>
      <c r="N431" s="13" t="str">
        <f>IFERROR(IF(SUMIFS(tblDaily[TransfersOut],tblDaily[EntryDate],DATE(2026,11,24),tblDaily[WardCode],"FAE")=0,"",SUMIFS(tblDaily[TransfersOut],tblDaily[EntryDate],DATE(2026,11,24),tblDaily[WardCode],"FAE")),"")</f>
        <v/>
      </c>
      <c r="O431" s="13" t="str">
        <f>IFERROR(IF(SUMIFS(tblDaily[Remaining],tblDaily[EntryDate],DATE(2026,11,24),tblDaily[WardCode],"FAE")=0,"",SUMIFS(tblDaily[Remaining],tblDaily[EntryDate],DATE(2026,11,24),tblDaily[WardCode],"FAE")),"")</f>
        <v/>
      </c>
    </row>
    <row r="432" spans="1:15" x14ac:dyDescent="0.25">
      <c r="A432" s="13">
        <v>25</v>
      </c>
      <c r="B432" s="13" t="str">
        <f>IFERROR(IF(SUMIFS(tblDaily[Admissions],tblDaily[EntryDate],DATE(2026,11,25),tblDaily[WardCode],"MAE")=0,"",SUMIFS(tblDaily[Admissions],tblDaily[EntryDate],DATE(2026,11,25),tblDaily[WardCode],"MAE")),"")</f>
        <v/>
      </c>
      <c r="C432" s="13" t="str">
        <f>IFERROR(IF(SUMIFS(tblDaily[Discharges],tblDaily[EntryDate],DATE(2026,11,25),tblDaily[WardCode],"MAE")=0,"",SUMIFS(tblDaily[Discharges],tblDaily[EntryDate],DATE(2026,11,25),tblDaily[WardCode],"MAE")),"")</f>
        <v/>
      </c>
      <c r="D432" s="13" t="str">
        <f>IFERROR(IF(SUMIFS(tblDaily[Deaths],tblDaily[EntryDate],DATE(2026,11,25),tblDaily[WardCode],"MAE")=0,"",SUMIFS(tblDaily[Deaths],tblDaily[EntryDate],DATE(2026,11,25),tblDaily[WardCode],"MAE")),"")</f>
        <v/>
      </c>
      <c r="E432" s="13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3" t="str">
        <f>IFERROR(IF(SUMIFS(tblDaily[TransfersIn],tblDaily[EntryDate],DATE(2026,11,25),tblDaily[WardCode],"MAE")=0,"",SUMIFS(tblDaily[TransfersIn],tblDaily[EntryDate],DATE(2026,11,25),tblDaily[WardCode],"MAE")),"")</f>
        <v/>
      </c>
      <c r="G432" s="13" t="str">
        <f>IFERROR(IF(SUMIFS(tblDaily[TransfersOut],tblDaily[EntryDate],DATE(2026,11,25),tblDaily[WardCode],"MAE")=0,"",SUMIFS(tblDaily[TransfersOut],tblDaily[EntryDate],DATE(2026,11,25),tblDaily[WardCode],"MAE")),"")</f>
        <v/>
      </c>
      <c r="H432" s="13" t="str">
        <f>IFERROR(IF(SUMIFS(tblDaily[Remaining],tblDaily[EntryDate],DATE(2026,11,25),tblDaily[WardCode],"MAE")=0,"",SUMIFS(tblDaily[Remaining],tblDaily[EntryDate],DATE(2026,11,25),tblDaily[WardCode],"MAE")),"")</f>
        <v/>
      </c>
      <c r="I432" s="13" t="str">
        <f>IFERROR(IF(SUMIFS(tblDaily[Admissions],tblDaily[EntryDate],DATE(2026,11,25),tblDaily[WardCode],"FAE")=0,"",SUMIFS(tblDaily[Admissions],tblDaily[EntryDate],DATE(2026,11,25),tblDaily[WardCode],"FAE")),"")</f>
        <v/>
      </c>
      <c r="J432" s="13" t="str">
        <f>IFERROR(IF(SUMIFS(tblDaily[Discharges],tblDaily[EntryDate],DATE(2026,11,25),tblDaily[WardCode],"FAE")=0,"",SUMIFS(tblDaily[Discharges],tblDaily[EntryDate],DATE(2026,11,25),tblDaily[WardCode],"FAE")),"")</f>
        <v/>
      </c>
      <c r="K432" s="13" t="str">
        <f>IFERROR(IF(SUMIFS(tblDaily[Deaths],tblDaily[EntryDate],DATE(2026,11,25),tblDaily[WardCode],"FAE")=0,"",SUMIFS(tblDaily[Deaths],tblDaily[EntryDate],DATE(2026,11,25),tblDaily[WardCode],"FAE")),"")</f>
        <v/>
      </c>
      <c r="L432" s="13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3" t="str">
        <f>IFERROR(IF(SUMIFS(tblDaily[TransfersIn],tblDaily[EntryDate],DATE(2026,11,25),tblDaily[WardCode],"FAE")=0,"",SUMIFS(tblDaily[TransfersIn],tblDaily[EntryDate],DATE(2026,11,25),tblDaily[WardCode],"FAE")),"")</f>
        <v/>
      </c>
      <c r="N432" s="13" t="str">
        <f>IFERROR(IF(SUMIFS(tblDaily[TransfersOut],tblDaily[EntryDate],DATE(2026,11,25),tblDaily[WardCode],"FAE")=0,"",SUMIFS(tblDaily[TransfersOut],tblDaily[EntryDate],DATE(2026,11,25),tblDaily[WardCode],"FAE")),"")</f>
        <v/>
      </c>
      <c r="O432" s="13" t="str">
        <f>IFERROR(IF(SUMIFS(tblDaily[Remaining],tblDaily[EntryDate],DATE(2026,11,25),tblDaily[WardCode],"FAE")=0,"",SUMIFS(tblDaily[Remaining],tblDaily[EntryDate],DATE(2026,11,25),tblDaily[WardCode],"FAE")),"")</f>
        <v/>
      </c>
    </row>
    <row r="433" spans="1:15" x14ac:dyDescent="0.25">
      <c r="A433" s="13">
        <v>26</v>
      </c>
      <c r="B433" s="13" t="str">
        <f>IFERROR(IF(SUMIFS(tblDaily[Admissions],tblDaily[EntryDate],DATE(2026,11,26),tblDaily[WardCode],"MAE")=0,"",SUMIFS(tblDaily[Admissions],tblDaily[EntryDate],DATE(2026,11,26),tblDaily[WardCode],"MAE")),"")</f>
        <v/>
      </c>
      <c r="C433" s="13" t="str">
        <f>IFERROR(IF(SUMIFS(tblDaily[Discharges],tblDaily[EntryDate],DATE(2026,11,26),tblDaily[WardCode],"MAE")=0,"",SUMIFS(tblDaily[Discharges],tblDaily[EntryDate],DATE(2026,11,26),tblDaily[WardCode],"MAE")),"")</f>
        <v/>
      </c>
      <c r="D433" s="13" t="str">
        <f>IFERROR(IF(SUMIFS(tblDaily[Deaths],tblDaily[EntryDate],DATE(2026,11,26),tblDaily[WardCode],"MAE")=0,"",SUMIFS(tblDaily[Deaths],tblDaily[EntryDate],DATE(2026,11,26),tblDaily[WardCode],"MAE")),"")</f>
        <v/>
      </c>
      <c r="E433" s="13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3" t="str">
        <f>IFERROR(IF(SUMIFS(tblDaily[TransfersIn],tblDaily[EntryDate],DATE(2026,11,26),tblDaily[WardCode],"MAE")=0,"",SUMIFS(tblDaily[TransfersIn],tblDaily[EntryDate],DATE(2026,11,26),tblDaily[WardCode],"MAE")),"")</f>
        <v/>
      </c>
      <c r="G433" s="13" t="str">
        <f>IFERROR(IF(SUMIFS(tblDaily[TransfersOut],tblDaily[EntryDate],DATE(2026,11,26),tblDaily[WardCode],"MAE")=0,"",SUMIFS(tblDaily[TransfersOut],tblDaily[EntryDate],DATE(2026,11,26),tblDaily[WardCode],"MAE")),"")</f>
        <v/>
      </c>
      <c r="H433" s="13" t="str">
        <f>IFERROR(IF(SUMIFS(tblDaily[Remaining],tblDaily[EntryDate],DATE(2026,11,26),tblDaily[WardCode],"MAE")=0,"",SUMIFS(tblDaily[Remaining],tblDaily[EntryDate],DATE(2026,11,26),tblDaily[WardCode],"MAE")),"")</f>
        <v/>
      </c>
      <c r="I433" s="13" t="str">
        <f>IFERROR(IF(SUMIFS(tblDaily[Admissions],tblDaily[EntryDate],DATE(2026,11,26),tblDaily[WardCode],"FAE")=0,"",SUMIFS(tblDaily[Admissions],tblDaily[EntryDate],DATE(2026,11,26),tblDaily[WardCode],"FAE")),"")</f>
        <v/>
      </c>
      <c r="J433" s="13" t="str">
        <f>IFERROR(IF(SUMIFS(tblDaily[Discharges],tblDaily[EntryDate],DATE(2026,11,26),tblDaily[WardCode],"FAE")=0,"",SUMIFS(tblDaily[Discharges],tblDaily[EntryDate],DATE(2026,11,26),tblDaily[WardCode],"FAE")),"")</f>
        <v/>
      </c>
      <c r="K433" s="13" t="str">
        <f>IFERROR(IF(SUMIFS(tblDaily[Deaths],tblDaily[EntryDate],DATE(2026,11,26),tblDaily[WardCode],"FAE")=0,"",SUMIFS(tblDaily[Deaths],tblDaily[EntryDate],DATE(2026,11,26),tblDaily[WardCode],"FAE")),"")</f>
        <v/>
      </c>
      <c r="L433" s="13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3" t="str">
        <f>IFERROR(IF(SUMIFS(tblDaily[TransfersIn],tblDaily[EntryDate],DATE(2026,11,26),tblDaily[WardCode],"FAE")=0,"",SUMIFS(tblDaily[TransfersIn],tblDaily[EntryDate],DATE(2026,11,26),tblDaily[WardCode],"FAE")),"")</f>
        <v/>
      </c>
      <c r="N433" s="13" t="str">
        <f>IFERROR(IF(SUMIFS(tblDaily[TransfersOut],tblDaily[EntryDate],DATE(2026,11,26),tblDaily[WardCode],"FAE")=0,"",SUMIFS(tblDaily[TransfersOut],tblDaily[EntryDate],DATE(2026,11,26),tblDaily[WardCode],"FAE")),"")</f>
        <v/>
      </c>
      <c r="O433" s="13" t="str">
        <f>IFERROR(IF(SUMIFS(tblDaily[Remaining],tblDaily[EntryDate],DATE(2026,11,26),tblDaily[WardCode],"FAE")=0,"",SUMIFS(tblDaily[Remaining],tblDaily[EntryDate],DATE(2026,11,26),tblDaily[WardCode],"FAE")),"")</f>
        <v/>
      </c>
    </row>
    <row r="434" spans="1:15" x14ac:dyDescent="0.25">
      <c r="A434" s="13">
        <v>27</v>
      </c>
      <c r="B434" s="13" t="str">
        <f>IFERROR(IF(SUMIFS(tblDaily[Admissions],tblDaily[EntryDate],DATE(2026,11,27),tblDaily[WardCode],"MAE")=0,"",SUMIFS(tblDaily[Admissions],tblDaily[EntryDate],DATE(2026,11,27),tblDaily[WardCode],"MAE")),"")</f>
        <v/>
      </c>
      <c r="C434" s="13" t="str">
        <f>IFERROR(IF(SUMIFS(tblDaily[Discharges],tblDaily[EntryDate],DATE(2026,11,27),tblDaily[WardCode],"MAE")=0,"",SUMIFS(tblDaily[Discharges],tblDaily[EntryDate],DATE(2026,11,27),tblDaily[WardCode],"MAE")),"")</f>
        <v/>
      </c>
      <c r="D434" s="13" t="str">
        <f>IFERROR(IF(SUMIFS(tblDaily[Deaths],tblDaily[EntryDate],DATE(2026,11,27),tblDaily[WardCode],"MAE")=0,"",SUMIFS(tblDaily[Deaths],tblDaily[EntryDate],DATE(2026,11,27),tblDaily[WardCode],"MAE")),"")</f>
        <v/>
      </c>
      <c r="E434" s="13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3" t="str">
        <f>IFERROR(IF(SUMIFS(tblDaily[TransfersIn],tblDaily[EntryDate],DATE(2026,11,27),tblDaily[WardCode],"MAE")=0,"",SUMIFS(tblDaily[TransfersIn],tblDaily[EntryDate],DATE(2026,11,27),tblDaily[WardCode],"MAE")),"")</f>
        <v/>
      </c>
      <c r="G434" s="13" t="str">
        <f>IFERROR(IF(SUMIFS(tblDaily[TransfersOut],tblDaily[EntryDate],DATE(2026,11,27),tblDaily[WardCode],"MAE")=0,"",SUMIFS(tblDaily[TransfersOut],tblDaily[EntryDate],DATE(2026,11,27),tblDaily[WardCode],"MAE")),"")</f>
        <v/>
      </c>
      <c r="H434" s="13" t="str">
        <f>IFERROR(IF(SUMIFS(tblDaily[Remaining],tblDaily[EntryDate],DATE(2026,11,27),tblDaily[WardCode],"MAE")=0,"",SUMIFS(tblDaily[Remaining],tblDaily[EntryDate],DATE(2026,11,27),tblDaily[WardCode],"MAE")),"")</f>
        <v/>
      </c>
      <c r="I434" s="13" t="str">
        <f>IFERROR(IF(SUMIFS(tblDaily[Admissions],tblDaily[EntryDate],DATE(2026,11,27),tblDaily[WardCode],"FAE")=0,"",SUMIFS(tblDaily[Admissions],tblDaily[EntryDate],DATE(2026,11,27),tblDaily[WardCode],"FAE")),"")</f>
        <v/>
      </c>
      <c r="J434" s="13" t="str">
        <f>IFERROR(IF(SUMIFS(tblDaily[Discharges],tblDaily[EntryDate],DATE(2026,11,27),tblDaily[WardCode],"FAE")=0,"",SUMIFS(tblDaily[Discharges],tblDaily[EntryDate],DATE(2026,11,27),tblDaily[WardCode],"FAE")),"")</f>
        <v/>
      </c>
      <c r="K434" s="13" t="str">
        <f>IFERROR(IF(SUMIFS(tblDaily[Deaths],tblDaily[EntryDate],DATE(2026,11,27),tblDaily[WardCode],"FAE")=0,"",SUMIFS(tblDaily[Deaths],tblDaily[EntryDate],DATE(2026,11,27),tblDaily[WardCode],"FAE")),"")</f>
        <v/>
      </c>
      <c r="L434" s="13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3" t="str">
        <f>IFERROR(IF(SUMIFS(tblDaily[TransfersIn],tblDaily[EntryDate],DATE(2026,11,27),tblDaily[WardCode],"FAE")=0,"",SUMIFS(tblDaily[TransfersIn],tblDaily[EntryDate],DATE(2026,11,27),tblDaily[WardCode],"FAE")),"")</f>
        <v/>
      </c>
      <c r="N434" s="13" t="str">
        <f>IFERROR(IF(SUMIFS(tblDaily[TransfersOut],tblDaily[EntryDate],DATE(2026,11,27),tblDaily[WardCode],"FAE")=0,"",SUMIFS(tblDaily[TransfersOut],tblDaily[EntryDate],DATE(2026,11,27),tblDaily[WardCode],"FAE")),"")</f>
        <v/>
      </c>
      <c r="O434" s="13" t="str">
        <f>IFERROR(IF(SUMIFS(tblDaily[Remaining],tblDaily[EntryDate],DATE(2026,11,27),tblDaily[WardCode],"FAE")=0,"",SUMIFS(tblDaily[Remaining],tblDaily[EntryDate],DATE(2026,11,27),tblDaily[WardCode],"FAE")),"")</f>
        <v/>
      </c>
    </row>
    <row r="435" spans="1:15" x14ac:dyDescent="0.25">
      <c r="A435" s="13">
        <v>28</v>
      </c>
      <c r="B435" s="13" t="str">
        <f>IFERROR(IF(SUMIFS(tblDaily[Admissions],tblDaily[EntryDate],DATE(2026,11,28),tblDaily[WardCode],"MAE")=0,"",SUMIFS(tblDaily[Admissions],tblDaily[EntryDate],DATE(2026,11,28),tblDaily[WardCode],"MAE")),"")</f>
        <v/>
      </c>
      <c r="C435" s="13" t="str">
        <f>IFERROR(IF(SUMIFS(tblDaily[Discharges],tblDaily[EntryDate],DATE(2026,11,28),tblDaily[WardCode],"MAE")=0,"",SUMIFS(tblDaily[Discharges],tblDaily[EntryDate],DATE(2026,11,28),tblDaily[WardCode],"MAE")),"")</f>
        <v/>
      </c>
      <c r="D435" s="13" t="str">
        <f>IFERROR(IF(SUMIFS(tblDaily[Deaths],tblDaily[EntryDate],DATE(2026,11,28),tblDaily[WardCode],"MAE")=0,"",SUMIFS(tblDaily[Deaths],tblDaily[EntryDate],DATE(2026,11,28),tblDaily[WardCode],"MAE")),"")</f>
        <v/>
      </c>
      <c r="E435" s="13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3" t="str">
        <f>IFERROR(IF(SUMIFS(tblDaily[TransfersIn],tblDaily[EntryDate],DATE(2026,11,28),tblDaily[WardCode],"MAE")=0,"",SUMIFS(tblDaily[TransfersIn],tblDaily[EntryDate],DATE(2026,11,28),tblDaily[WardCode],"MAE")),"")</f>
        <v/>
      </c>
      <c r="G435" s="13" t="str">
        <f>IFERROR(IF(SUMIFS(tblDaily[TransfersOut],tblDaily[EntryDate],DATE(2026,11,28),tblDaily[WardCode],"MAE")=0,"",SUMIFS(tblDaily[TransfersOut],tblDaily[EntryDate],DATE(2026,11,28),tblDaily[WardCode],"MAE")),"")</f>
        <v/>
      </c>
      <c r="H435" s="13" t="str">
        <f>IFERROR(IF(SUMIFS(tblDaily[Remaining],tblDaily[EntryDate],DATE(2026,11,28),tblDaily[WardCode],"MAE")=0,"",SUMIFS(tblDaily[Remaining],tblDaily[EntryDate],DATE(2026,11,28),tblDaily[WardCode],"MAE")),"")</f>
        <v/>
      </c>
      <c r="I435" s="13" t="str">
        <f>IFERROR(IF(SUMIFS(tblDaily[Admissions],tblDaily[EntryDate],DATE(2026,11,28),tblDaily[WardCode],"FAE")=0,"",SUMIFS(tblDaily[Admissions],tblDaily[EntryDate],DATE(2026,11,28),tblDaily[WardCode],"FAE")),"")</f>
        <v/>
      </c>
      <c r="J435" s="13" t="str">
        <f>IFERROR(IF(SUMIFS(tblDaily[Discharges],tblDaily[EntryDate],DATE(2026,11,28),tblDaily[WardCode],"FAE")=0,"",SUMIFS(tblDaily[Discharges],tblDaily[EntryDate],DATE(2026,11,28),tblDaily[WardCode],"FAE")),"")</f>
        <v/>
      </c>
      <c r="K435" s="13" t="str">
        <f>IFERROR(IF(SUMIFS(tblDaily[Deaths],tblDaily[EntryDate],DATE(2026,11,28),tblDaily[WardCode],"FAE")=0,"",SUMIFS(tblDaily[Deaths],tblDaily[EntryDate],DATE(2026,11,28),tblDaily[WardCode],"FAE")),"")</f>
        <v/>
      </c>
      <c r="L435" s="13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3" t="str">
        <f>IFERROR(IF(SUMIFS(tblDaily[TransfersIn],tblDaily[EntryDate],DATE(2026,11,28),tblDaily[WardCode],"FAE")=0,"",SUMIFS(tblDaily[TransfersIn],tblDaily[EntryDate],DATE(2026,11,28),tblDaily[WardCode],"FAE")),"")</f>
        <v/>
      </c>
      <c r="N435" s="13" t="str">
        <f>IFERROR(IF(SUMIFS(tblDaily[TransfersOut],tblDaily[EntryDate],DATE(2026,11,28),tblDaily[WardCode],"FAE")=0,"",SUMIFS(tblDaily[TransfersOut],tblDaily[EntryDate],DATE(2026,11,28),tblDaily[WardCode],"FAE")),"")</f>
        <v/>
      </c>
      <c r="O435" s="13" t="str">
        <f>IFERROR(IF(SUMIFS(tblDaily[Remaining],tblDaily[EntryDate],DATE(2026,11,28),tblDaily[WardCode],"FAE")=0,"",SUMIFS(tblDaily[Remaining],tblDaily[EntryDate],DATE(2026,11,28),tblDaily[WardCode],"FAE")),"")</f>
        <v/>
      </c>
    </row>
    <row r="436" spans="1:15" x14ac:dyDescent="0.25">
      <c r="A436" s="13">
        <v>29</v>
      </c>
      <c r="B436" s="13" t="str">
        <f>IFERROR(IF(SUMIFS(tblDaily[Admissions],tblDaily[EntryDate],DATE(2026,11,29),tblDaily[WardCode],"MAE")=0,"",SUMIFS(tblDaily[Admissions],tblDaily[EntryDate],DATE(2026,11,29),tblDaily[WardCode],"MAE")),"")</f>
        <v/>
      </c>
      <c r="C436" s="13" t="str">
        <f>IFERROR(IF(SUMIFS(tblDaily[Discharges],tblDaily[EntryDate],DATE(2026,11,29),tblDaily[WardCode],"MAE")=0,"",SUMIFS(tblDaily[Discharges],tblDaily[EntryDate],DATE(2026,11,29),tblDaily[WardCode],"MAE")),"")</f>
        <v/>
      </c>
      <c r="D436" s="13" t="str">
        <f>IFERROR(IF(SUMIFS(tblDaily[Deaths],tblDaily[EntryDate],DATE(2026,11,29),tblDaily[WardCode],"MAE")=0,"",SUMIFS(tblDaily[Deaths],tblDaily[EntryDate],DATE(2026,11,29),tblDaily[WardCode],"MAE")),"")</f>
        <v/>
      </c>
      <c r="E436" s="13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3" t="str">
        <f>IFERROR(IF(SUMIFS(tblDaily[TransfersIn],tblDaily[EntryDate],DATE(2026,11,29),tblDaily[WardCode],"MAE")=0,"",SUMIFS(tblDaily[TransfersIn],tblDaily[EntryDate],DATE(2026,11,29),tblDaily[WardCode],"MAE")),"")</f>
        <v/>
      </c>
      <c r="G436" s="13" t="str">
        <f>IFERROR(IF(SUMIFS(tblDaily[TransfersOut],tblDaily[EntryDate],DATE(2026,11,29),tblDaily[WardCode],"MAE")=0,"",SUMIFS(tblDaily[TransfersOut],tblDaily[EntryDate],DATE(2026,11,29),tblDaily[WardCode],"MAE")),"")</f>
        <v/>
      </c>
      <c r="H436" s="13" t="str">
        <f>IFERROR(IF(SUMIFS(tblDaily[Remaining],tblDaily[EntryDate],DATE(2026,11,29),tblDaily[WardCode],"MAE")=0,"",SUMIFS(tblDaily[Remaining],tblDaily[EntryDate],DATE(2026,11,29),tblDaily[WardCode],"MAE")),"")</f>
        <v/>
      </c>
      <c r="I436" s="13" t="str">
        <f>IFERROR(IF(SUMIFS(tblDaily[Admissions],tblDaily[EntryDate],DATE(2026,11,29),tblDaily[WardCode],"FAE")=0,"",SUMIFS(tblDaily[Admissions],tblDaily[EntryDate],DATE(2026,11,29),tblDaily[WardCode],"FAE")),"")</f>
        <v/>
      </c>
      <c r="J436" s="13" t="str">
        <f>IFERROR(IF(SUMIFS(tblDaily[Discharges],tblDaily[EntryDate],DATE(2026,11,29),tblDaily[WardCode],"FAE")=0,"",SUMIFS(tblDaily[Discharges],tblDaily[EntryDate],DATE(2026,11,29),tblDaily[WardCode],"FAE")),"")</f>
        <v/>
      </c>
      <c r="K436" s="13" t="str">
        <f>IFERROR(IF(SUMIFS(tblDaily[Deaths],tblDaily[EntryDate],DATE(2026,11,29),tblDaily[WardCode],"FAE")=0,"",SUMIFS(tblDaily[Deaths],tblDaily[EntryDate],DATE(2026,11,29),tblDaily[WardCode],"FAE")),"")</f>
        <v/>
      </c>
      <c r="L436" s="13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3" t="str">
        <f>IFERROR(IF(SUMIFS(tblDaily[TransfersIn],tblDaily[EntryDate],DATE(2026,11,29),tblDaily[WardCode],"FAE")=0,"",SUMIFS(tblDaily[TransfersIn],tblDaily[EntryDate],DATE(2026,11,29),tblDaily[WardCode],"FAE")),"")</f>
        <v/>
      </c>
      <c r="N436" s="13" t="str">
        <f>IFERROR(IF(SUMIFS(tblDaily[TransfersOut],tblDaily[EntryDate],DATE(2026,11,29),tblDaily[WardCode],"FAE")=0,"",SUMIFS(tblDaily[TransfersOut],tblDaily[EntryDate],DATE(2026,11,29),tblDaily[WardCode],"FAE")),"")</f>
        <v/>
      </c>
      <c r="O436" s="13" t="str">
        <f>IFERROR(IF(SUMIFS(tblDaily[Remaining],tblDaily[EntryDate],DATE(2026,11,29),tblDaily[WardCode],"FAE")=0,"",SUMIFS(tblDaily[Remaining],tblDaily[EntryDate],DATE(2026,11,29),tblDaily[WardCode],"FAE")),"")</f>
        <v/>
      </c>
    </row>
    <row r="437" spans="1:15" x14ac:dyDescent="0.25">
      <c r="A437" s="13">
        <v>30</v>
      </c>
      <c r="B437" s="13" t="str">
        <f>IFERROR(IF(SUMIFS(tblDaily[Admissions],tblDaily[EntryDate],DATE(2026,11,30),tblDaily[WardCode],"MAE")=0,"",SUMIFS(tblDaily[Admissions],tblDaily[EntryDate],DATE(2026,11,30),tblDaily[WardCode],"MAE")),"")</f>
        <v/>
      </c>
      <c r="C437" s="13" t="str">
        <f>IFERROR(IF(SUMIFS(tblDaily[Discharges],tblDaily[EntryDate],DATE(2026,11,30),tblDaily[WardCode],"MAE")=0,"",SUMIFS(tblDaily[Discharges],tblDaily[EntryDate],DATE(2026,11,30),tblDaily[WardCode],"MAE")),"")</f>
        <v/>
      </c>
      <c r="D437" s="13" t="str">
        <f>IFERROR(IF(SUMIFS(tblDaily[Deaths],tblDaily[EntryDate],DATE(2026,11,30),tblDaily[WardCode],"MAE")=0,"",SUMIFS(tblDaily[Deaths],tblDaily[EntryDate],DATE(2026,11,30),tblDaily[WardCode],"MAE")),"")</f>
        <v/>
      </c>
      <c r="E437" s="13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3" t="str">
        <f>IFERROR(IF(SUMIFS(tblDaily[TransfersIn],tblDaily[EntryDate],DATE(2026,11,30),tblDaily[WardCode],"MAE")=0,"",SUMIFS(tblDaily[TransfersIn],tblDaily[EntryDate],DATE(2026,11,30),tblDaily[WardCode],"MAE")),"")</f>
        <v/>
      </c>
      <c r="G437" s="13" t="str">
        <f>IFERROR(IF(SUMIFS(tblDaily[TransfersOut],tblDaily[EntryDate],DATE(2026,11,30),tblDaily[WardCode],"MAE")=0,"",SUMIFS(tblDaily[TransfersOut],tblDaily[EntryDate],DATE(2026,11,30),tblDaily[WardCode],"MAE")),"")</f>
        <v/>
      </c>
      <c r="H437" s="13" t="str">
        <f>IFERROR(IF(SUMIFS(tblDaily[Remaining],tblDaily[EntryDate],DATE(2026,11,30),tblDaily[WardCode],"MAE")=0,"",SUMIFS(tblDaily[Remaining],tblDaily[EntryDate],DATE(2026,11,30),tblDaily[WardCode],"MAE")),"")</f>
        <v/>
      </c>
      <c r="I437" s="13" t="str">
        <f>IFERROR(IF(SUMIFS(tblDaily[Admissions],tblDaily[EntryDate],DATE(2026,11,30),tblDaily[WardCode],"FAE")=0,"",SUMIFS(tblDaily[Admissions],tblDaily[EntryDate],DATE(2026,11,30),tblDaily[WardCode],"FAE")),"")</f>
        <v/>
      </c>
      <c r="J437" s="13" t="str">
        <f>IFERROR(IF(SUMIFS(tblDaily[Discharges],tblDaily[EntryDate],DATE(2026,11,30),tblDaily[WardCode],"FAE")=0,"",SUMIFS(tblDaily[Discharges],tblDaily[EntryDate],DATE(2026,11,30),tblDaily[WardCode],"FAE")),"")</f>
        <v/>
      </c>
      <c r="K437" s="13" t="str">
        <f>IFERROR(IF(SUMIFS(tblDaily[Deaths],tblDaily[EntryDate],DATE(2026,11,30),tblDaily[WardCode],"FAE")=0,"",SUMIFS(tblDaily[Deaths],tblDaily[EntryDate],DATE(2026,11,30),tblDaily[WardCode],"FAE")),"")</f>
        <v/>
      </c>
      <c r="L437" s="13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3" t="str">
        <f>IFERROR(IF(SUMIFS(tblDaily[TransfersIn],tblDaily[EntryDate],DATE(2026,11,30),tblDaily[WardCode],"FAE")=0,"",SUMIFS(tblDaily[TransfersIn],tblDaily[EntryDate],DATE(2026,11,30),tblDaily[WardCode],"FAE")),"")</f>
        <v/>
      </c>
      <c r="N437" s="13" t="str">
        <f>IFERROR(IF(SUMIFS(tblDaily[TransfersOut],tblDaily[EntryDate],DATE(2026,11,30),tblDaily[WardCode],"FAE")=0,"",SUMIFS(tblDaily[TransfersOut],tblDaily[EntryDate],DATE(2026,11,30),tblDaily[WardCode],"FAE")),"")</f>
        <v/>
      </c>
      <c r="O437" s="13" t="str">
        <f>IFERROR(IF(SUMIFS(tblDaily[Remaining],tblDaily[EntryDate],DATE(2026,11,30),tblDaily[WardCode],"FAE")=0,"",SUMIFS(tblDaily[Remaining],tblDaily[EntryDate],DATE(2026,11,30),tblDaily[WardCode],"FAE")),"")</f>
        <v/>
      </c>
    </row>
    <row r="438" spans="1:15" x14ac:dyDescent="0.25">
      <c r="A438" s="13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</row>
    <row r="439" spans="1:15" x14ac:dyDescent="0.25">
      <c r="A439" s="9" t="s">
        <v>110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</row>
    <row r="441" spans="1:15" ht="18.75" x14ac:dyDescent="0.25">
      <c r="A441" s="36" t="s">
        <v>0</v>
      </c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</row>
    <row r="442" spans="1:15" ht="15.75" x14ac:dyDescent="0.25">
      <c r="A442" s="34" t="s">
        <v>99</v>
      </c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</row>
    <row r="443" spans="1:15" x14ac:dyDescent="0.25">
      <c r="A443" s="1" t="s">
        <v>4</v>
      </c>
      <c r="B443" s="2" t="s">
        <v>2</v>
      </c>
      <c r="E443" s="1" t="s">
        <v>100</v>
      </c>
      <c r="F443" s="1" t="s">
        <v>119</v>
      </c>
      <c r="M443" s="1" t="s">
        <v>102</v>
      </c>
      <c r="N443" s="1" t="s">
        <v>69</v>
      </c>
    </row>
    <row r="444" spans="1:15" x14ac:dyDescent="0.25">
      <c r="A444" s="1" t="s">
        <v>103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5" x14ac:dyDescent="0.25">
      <c r="A445" s="1" t="s">
        <v>104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5" x14ac:dyDescent="0.25">
      <c r="A446" s="3" t="s">
        <v>120</v>
      </c>
      <c r="B446" s="35" t="s">
        <v>117</v>
      </c>
      <c r="C446" s="26"/>
      <c r="D446" s="26"/>
      <c r="E446" s="26"/>
      <c r="F446" s="26"/>
      <c r="G446" s="26"/>
      <c r="H446" s="26"/>
      <c r="I446" s="37" t="s">
        <v>118</v>
      </c>
      <c r="J446" s="26"/>
      <c r="K446" s="26"/>
      <c r="L446" s="26"/>
      <c r="M446" s="26"/>
      <c r="N446" s="26"/>
      <c r="O446" s="26"/>
    </row>
    <row r="447" spans="1:15" x14ac:dyDescent="0.25">
      <c r="A447" s="3" t="s">
        <v>120</v>
      </c>
      <c r="B447" s="3" t="s">
        <v>121</v>
      </c>
      <c r="C447" s="3" t="s">
        <v>122</v>
      </c>
      <c r="D447" s="3" t="s">
        <v>123</v>
      </c>
      <c r="E447" s="3" t="s">
        <v>124</v>
      </c>
      <c r="F447" s="3" t="s">
        <v>125</v>
      </c>
      <c r="G447" s="3" t="s">
        <v>126</v>
      </c>
      <c r="H447" s="3" t="s">
        <v>127</v>
      </c>
      <c r="I447" s="3" t="s">
        <v>121</v>
      </c>
      <c r="J447" s="3" t="s">
        <v>122</v>
      </c>
      <c r="K447" s="3" t="s">
        <v>123</v>
      </c>
      <c r="L447" s="3" t="s">
        <v>124</v>
      </c>
      <c r="M447" s="3" t="s">
        <v>125</v>
      </c>
      <c r="N447" s="3" t="s">
        <v>126</v>
      </c>
      <c r="O447" s="3" t="s">
        <v>127</v>
      </c>
    </row>
    <row r="448" spans="1:15" x14ac:dyDescent="0.25">
      <c r="A448" s="13">
        <v>1</v>
      </c>
      <c r="B448" s="13" t="str">
        <f>IFERROR(IF(SUMIFS(tblDaily[Admissions],tblDaily[EntryDate],DATE(2026,12,1),tblDaily[WardCode],"MAE")=0,"",SUMIFS(tblDaily[Admissions],tblDaily[EntryDate],DATE(2026,12,1),tblDaily[WardCode],"MAE")),"")</f>
        <v/>
      </c>
      <c r="C448" s="13" t="str">
        <f>IFERROR(IF(SUMIFS(tblDaily[Discharges],tblDaily[EntryDate],DATE(2026,12,1),tblDaily[WardCode],"MAE")=0,"",SUMIFS(tblDaily[Discharges],tblDaily[EntryDate],DATE(2026,12,1),tblDaily[WardCode],"MAE")),"")</f>
        <v/>
      </c>
      <c r="D448" s="13" t="str">
        <f>IFERROR(IF(SUMIFS(tblDaily[Deaths],tblDaily[EntryDate],DATE(2026,12,1),tblDaily[WardCode],"MAE")=0,"",SUMIFS(tblDaily[Deaths],tblDaily[EntryDate],DATE(2026,12,1),tblDaily[WardCode],"MAE")),"")</f>
        <v/>
      </c>
      <c r="E448" s="13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3" t="str">
        <f>IFERROR(IF(SUMIFS(tblDaily[TransfersIn],tblDaily[EntryDate],DATE(2026,12,1),tblDaily[WardCode],"MAE")=0,"",SUMIFS(tblDaily[TransfersIn],tblDaily[EntryDate],DATE(2026,12,1),tblDaily[WardCode],"MAE")),"")</f>
        <v/>
      </c>
      <c r="G448" s="13" t="str">
        <f>IFERROR(IF(SUMIFS(tblDaily[TransfersOut],tblDaily[EntryDate],DATE(2026,12,1),tblDaily[WardCode],"MAE")=0,"",SUMIFS(tblDaily[TransfersOut],tblDaily[EntryDate],DATE(2026,12,1),tblDaily[WardCode],"MAE")),"")</f>
        <v/>
      </c>
      <c r="H448" s="13" t="str">
        <f>IFERROR(IF(SUMIFS(tblDaily[Remaining],tblDaily[EntryDate],DATE(2026,12,1),tblDaily[WardCode],"MAE")=0,"",SUMIFS(tblDaily[Remaining],tblDaily[EntryDate],DATE(2026,12,1),tblDaily[WardCode],"MAE")),"")</f>
        <v/>
      </c>
      <c r="I448" s="13" t="str">
        <f>IFERROR(IF(SUMIFS(tblDaily[Admissions],tblDaily[EntryDate],DATE(2026,12,1),tblDaily[WardCode],"FAE")=0,"",SUMIFS(tblDaily[Admissions],tblDaily[EntryDate],DATE(2026,12,1),tblDaily[WardCode],"FAE")),"")</f>
        <v/>
      </c>
      <c r="J448" s="13" t="str">
        <f>IFERROR(IF(SUMIFS(tblDaily[Discharges],tblDaily[EntryDate],DATE(2026,12,1),tblDaily[WardCode],"FAE")=0,"",SUMIFS(tblDaily[Discharges],tblDaily[EntryDate],DATE(2026,12,1),tblDaily[WardCode],"FAE")),"")</f>
        <v/>
      </c>
      <c r="K448" s="13" t="str">
        <f>IFERROR(IF(SUMIFS(tblDaily[Deaths],tblDaily[EntryDate],DATE(2026,12,1),tblDaily[WardCode],"FAE")=0,"",SUMIFS(tblDaily[Deaths],tblDaily[EntryDate],DATE(2026,12,1),tblDaily[WardCode],"FAE")),"")</f>
        <v/>
      </c>
      <c r="L448" s="13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3" t="str">
        <f>IFERROR(IF(SUMIFS(tblDaily[TransfersIn],tblDaily[EntryDate],DATE(2026,12,1),tblDaily[WardCode],"FAE")=0,"",SUMIFS(tblDaily[TransfersIn],tblDaily[EntryDate],DATE(2026,12,1),tblDaily[WardCode],"FAE")),"")</f>
        <v/>
      </c>
      <c r="N448" s="13" t="str">
        <f>IFERROR(IF(SUMIFS(tblDaily[TransfersOut],tblDaily[EntryDate],DATE(2026,12,1),tblDaily[WardCode],"FAE")=0,"",SUMIFS(tblDaily[TransfersOut],tblDaily[EntryDate],DATE(2026,12,1),tblDaily[WardCode],"FAE")),"")</f>
        <v/>
      </c>
      <c r="O448" s="13" t="str">
        <f>IFERROR(IF(SUMIFS(tblDaily[Remaining],tblDaily[EntryDate],DATE(2026,12,1),tblDaily[WardCode],"FAE")=0,"",SUMIFS(tblDaily[Remaining],tblDaily[EntryDate],DATE(2026,12,1),tblDaily[WardCode],"FAE")),"")</f>
        <v/>
      </c>
    </row>
    <row r="449" spans="1:15" x14ac:dyDescent="0.25">
      <c r="A449" s="13">
        <v>2</v>
      </c>
      <c r="B449" s="13" t="str">
        <f>IFERROR(IF(SUMIFS(tblDaily[Admissions],tblDaily[EntryDate],DATE(2026,12,2),tblDaily[WardCode],"MAE")=0,"",SUMIFS(tblDaily[Admissions],tblDaily[EntryDate],DATE(2026,12,2),tblDaily[WardCode],"MAE")),"")</f>
        <v/>
      </c>
      <c r="C449" s="13" t="str">
        <f>IFERROR(IF(SUMIFS(tblDaily[Discharges],tblDaily[EntryDate],DATE(2026,12,2),tblDaily[WardCode],"MAE")=0,"",SUMIFS(tblDaily[Discharges],tblDaily[EntryDate],DATE(2026,12,2),tblDaily[WardCode],"MAE")),"")</f>
        <v/>
      </c>
      <c r="D449" s="13" t="str">
        <f>IFERROR(IF(SUMIFS(tblDaily[Deaths],tblDaily[EntryDate],DATE(2026,12,2),tblDaily[WardCode],"MAE")=0,"",SUMIFS(tblDaily[Deaths],tblDaily[EntryDate],DATE(2026,12,2),tblDaily[WardCode],"MAE")),"")</f>
        <v/>
      </c>
      <c r="E449" s="13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3" t="str">
        <f>IFERROR(IF(SUMIFS(tblDaily[TransfersIn],tblDaily[EntryDate],DATE(2026,12,2),tblDaily[WardCode],"MAE")=0,"",SUMIFS(tblDaily[TransfersIn],tblDaily[EntryDate],DATE(2026,12,2),tblDaily[WardCode],"MAE")),"")</f>
        <v/>
      </c>
      <c r="G449" s="13" t="str">
        <f>IFERROR(IF(SUMIFS(tblDaily[TransfersOut],tblDaily[EntryDate],DATE(2026,12,2),tblDaily[WardCode],"MAE")=0,"",SUMIFS(tblDaily[TransfersOut],tblDaily[EntryDate],DATE(2026,12,2),tblDaily[WardCode],"MAE")),"")</f>
        <v/>
      </c>
      <c r="H449" s="13" t="str">
        <f>IFERROR(IF(SUMIFS(tblDaily[Remaining],tblDaily[EntryDate],DATE(2026,12,2),tblDaily[WardCode],"MAE")=0,"",SUMIFS(tblDaily[Remaining],tblDaily[EntryDate],DATE(2026,12,2),tblDaily[WardCode],"MAE")),"")</f>
        <v/>
      </c>
      <c r="I449" s="13" t="str">
        <f>IFERROR(IF(SUMIFS(tblDaily[Admissions],tblDaily[EntryDate],DATE(2026,12,2),tblDaily[WardCode],"FAE")=0,"",SUMIFS(tblDaily[Admissions],tblDaily[EntryDate],DATE(2026,12,2),tblDaily[WardCode],"FAE")),"")</f>
        <v/>
      </c>
      <c r="J449" s="13" t="str">
        <f>IFERROR(IF(SUMIFS(tblDaily[Discharges],tblDaily[EntryDate],DATE(2026,12,2),tblDaily[WardCode],"FAE")=0,"",SUMIFS(tblDaily[Discharges],tblDaily[EntryDate],DATE(2026,12,2),tblDaily[WardCode],"FAE")),"")</f>
        <v/>
      </c>
      <c r="K449" s="13" t="str">
        <f>IFERROR(IF(SUMIFS(tblDaily[Deaths],tblDaily[EntryDate],DATE(2026,12,2),tblDaily[WardCode],"FAE")=0,"",SUMIFS(tblDaily[Deaths],tblDaily[EntryDate],DATE(2026,12,2),tblDaily[WardCode],"FAE")),"")</f>
        <v/>
      </c>
      <c r="L449" s="13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3" t="str">
        <f>IFERROR(IF(SUMIFS(tblDaily[TransfersIn],tblDaily[EntryDate],DATE(2026,12,2),tblDaily[WardCode],"FAE")=0,"",SUMIFS(tblDaily[TransfersIn],tblDaily[EntryDate],DATE(2026,12,2),tblDaily[WardCode],"FAE")),"")</f>
        <v/>
      </c>
      <c r="N449" s="13" t="str">
        <f>IFERROR(IF(SUMIFS(tblDaily[TransfersOut],tblDaily[EntryDate],DATE(2026,12,2),tblDaily[WardCode],"FAE")=0,"",SUMIFS(tblDaily[TransfersOut],tblDaily[EntryDate],DATE(2026,12,2),tblDaily[WardCode],"FAE")),"")</f>
        <v/>
      </c>
      <c r="O449" s="13" t="str">
        <f>IFERROR(IF(SUMIFS(tblDaily[Remaining],tblDaily[EntryDate],DATE(2026,12,2),tblDaily[WardCode],"FAE")=0,"",SUMIFS(tblDaily[Remaining],tblDaily[EntryDate],DATE(2026,12,2),tblDaily[WardCode],"FAE")),"")</f>
        <v/>
      </c>
    </row>
    <row r="450" spans="1:15" x14ac:dyDescent="0.25">
      <c r="A450" s="13">
        <v>3</v>
      </c>
      <c r="B450" s="13" t="str">
        <f>IFERROR(IF(SUMIFS(tblDaily[Admissions],tblDaily[EntryDate],DATE(2026,12,3),tblDaily[WardCode],"MAE")=0,"",SUMIFS(tblDaily[Admissions],tblDaily[EntryDate],DATE(2026,12,3),tblDaily[WardCode],"MAE")),"")</f>
        <v/>
      </c>
      <c r="C450" s="13" t="str">
        <f>IFERROR(IF(SUMIFS(tblDaily[Discharges],tblDaily[EntryDate],DATE(2026,12,3),tblDaily[WardCode],"MAE")=0,"",SUMIFS(tblDaily[Discharges],tblDaily[EntryDate],DATE(2026,12,3),tblDaily[WardCode],"MAE")),"")</f>
        <v/>
      </c>
      <c r="D450" s="13" t="str">
        <f>IFERROR(IF(SUMIFS(tblDaily[Deaths],tblDaily[EntryDate],DATE(2026,12,3),tblDaily[WardCode],"MAE")=0,"",SUMIFS(tblDaily[Deaths],tblDaily[EntryDate],DATE(2026,12,3),tblDaily[WardCode],"MAE")),"")</f>
        <v/>
      </c>
      <c r="E450" s="13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3" t="str">
        <f>IFERROR(IF(SUMIFS(tblDaily[TransfersIn],tblDaily[EntryDate],DATE(2026,12,3),tblDaily[WardCode],"MAE")=0,"",SUMIFS(tblDaily[TransfersIn],tblDaily[EntryDate],DATE(2026,12,3),tblDaily[WardCode],"MAE")),"")</f>
        <v/>
      </c>
      <c r="G450" s="13" t="str">
        <f>IFERROR(IF(SUMIFS(tblDaily[TransfersOut],tblDaily[EntryDate],DATE(2026,12,3),tblDaily[WardCode],"MAE")=0,"",SUMIFS(tblDaily[TransfersOut],tblDaily[EntryDate],DATE(2026,12,3),tblDaily[WardCode],"MAE")),"")</f>
        <v/>
      </c>
      <c r="H450" s="13" t="str">
        <f>IFERROR(IF(SUMIFS(tblDaily[Remaining],tblDaily[EntryDate],DATE(2026,12,3),tblDaily[WardCode],"MAE")=0,"",SUMIFS(tblDaily[Remaining],tblDaily[EntryDate],DATE(2026,12,3),tblDaily[WardCode],"MAE")),"")</f>
        <v/>
      </c>
      <c r="I450" s="13" t="str">
        <f>IFERROR(IF(SUMIFS(tblDaily[Admissions],tblDaily[EntryDate],DATE(2026,12,3),tblDaily[WardCode],"FAE")=0,"",SUMIFS(tblDaily[Admissions],tblDaily[EntryDate],DATE(2026,12,3),tblDaily[WardCode],"FAE")),"")</f>
        <v/>
      </c>
      <c r="J450" s="13" t="str">
        <f>IFERROR(IF(SUMIFS(tblDaily[Discharges],tblDaily[EntryDate],DATE(2026,12,3),tblDaily[WardCode],"FAE")=0,"",SUMIFS(tblDaily[Discharges],tblDaily[EntryDate],DATE(2026,12,3),tblDaily[WardCode],"FAE")),"")</f>
        <v/>
      </c>
      <c r="K450" s="13" t="str">
        <f>IFERROR(IF(SUMIFS(tblDaily[Deaths],tblDaily[EntryDate],DATE(2026,12,3),tblDaily[WardCode],"FAE")=0,"",SUMIFS(tblDaily[Deaths],tblDaily[EntryDate],DATE(2026,12,3),tblDaily[WardCode],"FAE")),"")</f>
        <v/>
      </c>
      <c r="L450" s="13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3" t="str">
        <f>IFERROR(IF(SUMIFS(tblDaily[TransfersIn],tblDaily[EntryDate],DATE(2026,12,3),tblDaily[WardCode],"FAE")=0,"",SUMIFS(tblDaily[TransfersIn],tblDaily[EntryDate],DATE(2026,12,3),tblDaily[WardCode],"FAE")),"")</f>
        <v/>
      </c>
      <c r="N450" s="13" t="str">
        <f>IFERROR(IF(SUMIFS(tblDaily[TransfersOut],tblDaily[EntryDate],DATE(2026,12,3),tblDaily[WardCode],"FAE")=0,"",SUMIFS(tblDaily[TransfersOut],tblDaily[EntryDate],DATE(2026,12,3),tblDaily[WardCode],"FAE")),"")</f>
        <v/>
      </c>
      <c r="O450" s="13" t="str">
        <f>IFERROR(IF(SUMIFS(tblDaily[Remaining],tblDaily[EntryDate],DATE(2026,12,3),tblDaily[WardCode],"FAE")=0,"",SUMIFS(tblDaily[Remaining],tblDaily[EntryDate],DATE(2026,12,3),tblDaily[WardCode],"FAE")),"")</f>
        <v/>
      </c>
    </row>
    <row r="451" spans="1:15" x14ac:dyDescent="0.25">
      <c r="A451" s="13">
        <v>4</v>
      </c>
      <c r="B451" s="13" t="str">
        <f>IFERROR(IF(SUMIFS(tblDaily[Admissions],tblDaily[EntryDate],DATE(2026,12,4),tblDaily[WardCode],"MAE")=0,"",SUMIFS(tblDaily[Admissions],tblDaily[EntryDate],DATE(2026,12,4),tblDaily[WardCode],"MAE")),"")</f>
        <v/>
      </c>
      <c r="C451" s="13" t="str">
        <f>IFERROR(IF(SUMIFS(tblDaily[Discharges],tblDaily[EntryDate],DATE(2026,12,4),tblDaily[WardCode],"MAE")=0,"",SUMIFS(tblDaily[Discharges],tblDaily[EntryDate],DATE(2026,12,4),tblDaily[WardCode],"MAE")),"")</f>
        <v/>
      </c>
      <c r="D451" s="13" t="str">
        <f>IFERROR(IF(SUMIFS(tblDaily[Deaths],tblDaily[EntryDate],DATE(2026,12,4),tblDaily[WardCode],"MAE")=0,"",SUMIFS(tblDaily[Deaths],tblDaily[EntryDate],DATE(2026,12,4),tblDaily[WardCode],"MAE")),"")</f>
        <v/>
      </c>
      <c r="E451" s="13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3" t="str">
        <f>IFERROR(IF(SUMIFS(tblDaily[TransfersIn],tblDaily[EntryDate],DATE(2026,12,4),tblDaily[WardCode],"MAE")=0,"",SUMIFS(tblDaily[TransfersIn],tblDaily[EntryDate],DATE(2026,12,4),tblDaily[WardCode],"MAE")),"")</f>
        <v/>
      </c>
      <c r="G451" s="13" t="str">
        <f>IFERROR(IF(SUMIFS(tblDaily[TransfersOut],tblDaily[EntryDate],DATE(2026,12,4),tblDaily[WardCode],"MAE")=0,"",SUMIFS(tblDaily[TransfersOut],tblDaily[EntryDate],DATE(2026,12,4),tblDaily[WardCode],"MAE")),"")</f>
        <v/>
      </c>
      <c r="H451" s="13" t="str">
        <f>IFERROR(IF(SUMIFS(tblDaily[Remaining],tblDaily[EntryDate],DATE(2026,12,4),tblDaily[WardCode],"MAE")=0,"",SUMIFS(tblDaily[Remaining],tblDaily[EntryDate],DATE(2026,12,4),tblDaily[WardCode],"MAE")),"")</f>
        <v/>
      </c>
      <c r="I451" s="13" t="str">
        <f>IFERROR(IF(SUMIFS(tblDaily[Admissions],tblDaily[EntryDate],DATE(2026,12,4),tblDaily[WardCode],"FAE")=0,"",SUMIFS(tblDaily[Admissions],tblDaily[EntryDate],DATE(2026,12,4),tblDaily[WardCode],"FAE")),"")</f>
        <v/>
      </c>
      <c r="J451" s="13" t="str">
        <f>IFERROR(IF(SUMIFS(tblDaily[Discharges],tblDaily[EntryDate],DATE(2026,12,4),tblDaily[WardCode],"FAE")=0,"",SUMIFS(tblDaily[Discharges],tblDaily[EntryDate],DATE(2026,12,4),tblDaily[WardCode],"FAE")),"")</f>
        <v/>
      </c>
      <c r="K451" s="13" t="str">
        <f>IFERROR(IF(SUMIFS(tblDaily[Deaths],tblDaily[EntryDate],DATE(2026,12,4),tblDaily[WardCode],"FAE")=0,"",SUMIFS(tblDaily[Deaths],tblDaily[EntryDate],DATE(2026,12,4),tblDaily[WardCode],"FAE")),"")</f>
        <v/>
      </c>
      <c r="L451" s="13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3" t="str">
        <f>IFERROR(IF(SUMIFS(tblDaily[TransfersIn],tblDaily[EntryDate],DATE(2026,12,4),tblDaily[WardCode],"FAE")=0,"",SUMIFS(tblDaily[TransfersIn],tblDaily[EntryDate],DATE(2026,12,4),tblDaily[WardCode],"FAE")),"")</f>
        <v/>
      </c>
      <c r="N451" s="13" t="str">
        <f>IFERROR(IF(SUMIFS(tblDaily[TransfersOut],tblDaily[EntryDate],DATE(2026,12,4),tblDaily[WardCode],"FAE")=0,"",SUMIFS(tblDaily[TransfersOut],tblDaily[EntryDate],DATE(2026,12,4),tblDaily[WardCode],"FAE")),"")</f>
        <v/>
      </c>
      <c r="O451" s="13" t="str">
        <f>IFERROR(IF(SUMIFS(tblDaily[Remaining],tblDaily[EntryDate],DATE(2026,12,4),tblDaily[WardCode],"FAE")=0,"",SUMIFS(tblDaily[Remaining],tblDaily[EntryDate],DATE(2026,12,4),tblDaily[WardCode],"FAE")),"")</f>
        <v/>
      </c>
    </row>
    <row r="452" spans="1:15" x14ac:dyDescent="0.25">
      <c r="A452" s="13">
        <v>5</v>
      </c>
      <c r="B452" s="13" t="str">
        <f>IFERROR(IF(SUMIFS(tblDaily[Admissions],tblDaily[EntryDate],DATE(2026,12,5),tblDaily[WardCode],"MAE")=0,"",SUMIFS(tblDaily[Admissions],tblDaily[EntryDate],DATE(2026,12,5),tblDaily[WardCode],"MAE")),"")</f>
        <v/>
      </c>
      <c r="C452" s="13" t="str">
        <f>IFERROR(IF(SUMIFS(tblDaily[Discharges],tblDaily[EntryDate],DATE(2026,12,5),tblDaily[WardCode],"MAE")=0,"",SUMIFS(tblDaily[Discharges],tblDaily[EntryDate],DATE(2026,12,5),tblDaily[WardCode],"MAE")),"")</f>
        <v/>
      </c>
      <c r="D452" s="13" t="str">
        <f>IFERROR(IF(SUMIFS(tblDaily[Deaths],tblDaily[EntryDate],DATE(2026,12,5),tblDaily[WardCode],"MAE")=0,"",SUMIFS(tblDaily[Deaths],tblDaily[EntryDate],DATE(2026,12,5),tblDaily[WardCode],"MAE")),"")</f>
        <v/>
      </c>
      <c r="E452" s="13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3" t="str">
        <f>IFERROR(IF(SUMIFS(tblDaily[TransfersIn],tblDaily[EntryDate],DATE(2026,12,5),tblDaily[WardCode],"MAE")=0,"",SUMIFS(tblDaily[TransfersIn],tblDaily[EntryDate],DATE(2026,12,5),tblDaily[WardCode],"MAE")),"")</f>
        <v/>
      </c>
      <c r="G452" s="13" t="str">
        <f>IFERROR(IF(SUMIFS(tblDaily[TransfersOut],tblDaily[EntryDate],DATE(2026,12,5),tblDaily[WardCode],"MAE")=0,"",SUMIFS(tblDaily[TransfersOut],tblDaily[EntryDate],DATE(2026,12,5),tblDaily[WardCode],"MAE")),"")</f>
        <v/>
      </c>
      <c r="H452" s="13" t="str">
        <f>IFERROR(IF(SUMIFS(tblDaily[Remaining],tblDaily[EntryDate],DATE(2026,12,5),tblDaily[WardCode],"MAE")=0,"",SUMIFS(tblDaily[Remaining],tblDaily[EntryDate],DATE(2026,12,5),tblDaily[WardCode],"MAE")),"")</f>
        <v/>
      </c>
      <c r="I452" s="13" t="str">
        <f>IFERROR(IF(SUMIFS(tblDaily[Admissions],tblDaily[EntryDate],DATE(2026,12,5),tblDaily[WardCode],"FAE")=0,"",SUMIFS(tblDaily[Admissions],tblDaily[EntryDate],DATE(2026,12,5),tblDaily[WardCode],"FAE")),"")</f>
        <v/>
      </c>
      <c r="J452" s="13" t="str">
        <f>IFERROR(IF(SUMIFS(tblDaily[Discharges],tblDaily[EntryDate],DATE(2026,12,5),tblDaily[WardCode],"FAE")=0,"",SUMIFS(tblDaily[Discharges],tblDaily[EntryDate],DATE(2026,12,5),tblDaily[WardCode],"FAE")),"")</f>
        <v/>
      </c>
      <c r="K452" s="13" t="str">
        <f>IFERROR(IF(SUMIFS(tblDaily[Deaths],tblDaily[EntryDate],DATE(2026,12,5),tblDaily[WardCode],"FAE")=0,"",SUMIFS(tblDaily[Deaths],tblDaily[EntryDate],DATE(2026,12,5),tblDaily[WardCode],"FAE")),"")</f>
        <v/>
      </c>
      <c r="L452" s="13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3" t="str">
        <f>IFERROR(IF(SUMIFS(tblDaily[TransfersIn],tblDaily[EntryDate],DATE(2026,12,5),tblDaily[WardCode],"FAE")=0,"",SUMIFS(tblDaily[TransfersIn],tblDaily[EntryDate],DATE(2026,12,5),tblDaily[WardCode],"FAE")),"")</f>
        <v/>
      </c>
      <c r="N452" s="13" t="str">
        <f>IFERROR(IF(SUMIFS(tblDaily[TransfersOut],tblDaily[EntryDate],DATE(2026,12,5),tblDaily[WardCode],"FAE")=0,"",SUMIFS(tblDaily[TransfersOut],tblDaily[EntryDate],DATE(2026,12,5),tblDaily[WardCode],"FAE")),"")</f>
        <v/>
      </c>
      <c r="O452" s="13" t="str">
        <f>IFERROR(IF(SUMIFS(tblDaily[Remaining],tblDaily[EntryDate],DATE(2026,12,5),tblDaily[WardCode],"FAE")=0,"",SUMIFS(tblDaily[Remaining],tblDaily[EntryDate],DATE(2026,12,5),tblDaily[WardCode],"FAE")),"")</f>
        <v/>
      </c>
    </row>
    <row r="453" spans="1:15" x14ac:dyDescent="0.25">
      <c r="A453" s="13">
        <v>6</v>
      </c>
      <c r="B453" s="13" t="str">
        <f>IFERROR(IF(SUMIFS(tblDaily[Admissions],tblDaily[EntryDate],DATE(2026,12,6),tblDaily[WardCode],"MAE")=0,"",SUMIFS(tblDaily[Admissions],tblDaily[EntryDate],DATE(2026,12,6),tblDaily[WardCode],"MAE")),"")</f>
        <v/>
      </c>
      <c r="C453" s="13" t="str">
        <f>IFERROR(IF(SUMIFS(tblDaily[Discharges],tblDaily[EntryDate],DATE(2026,12,6),tblDaily[WardCode],"MAE")=0,"",SUMIFS(tblDaily[Discharges],tblDaily[EntryDate],DATE(2026,12,6),tblDaily[WardCode],"MAE")),"")</f>
        <v/>
      </c>
      <c r="D453" s="13" t="str">
        <f>IFERROR(IF(SUMIFS(tblDaily[Deaths],tblDaily[EntryDate],DATE(2026,12,6),tblDaily[WardCode],"MAE")=0,"",SUMIFS(tblDaily[Deaths],tblDaily[EntryDate],DATE(2026,12,6),tblDaily[WardCode],"MAE")),"")</f>
        <v/>
      </c>
      <c r="E453" s="13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3" t="str">
        <f>IFERROR(IF(SUMIFS(tblDaily[TransfersIn],tblDaily[EntryDate],DATE(2026,12,6),tblDaily[WardCode],"MAE")=0,"",SUMIFS(tblDaily[TransfersIn],tblDaily[EntryDate],DATE(2026,12,6),tblDaily[WardCode],"MAE")),"")</f>
        <v/>
      </c>
      <c r="G453" s="13" t="str">
        <f>IFERROR(IF(SUMIFS(tblDaily[TransfersOut],tblDaily[EntryDate],DATE(2026,12,6),tblDaily[WardCode],"MAE")=0,"",SUMIFS(tblDaily[TransfersOut],tblDaily[EntryDate],DATE(2026,12,6),tblDaily[WardCode],"MAE")),"")</f>
        <v/>
      </c>
      <c r="H453" s="13" t="str">
        <f>IFERROR(IF(SUMIFS(tblDaily[Remaining],tblDaily[EntryDate],DATE(2026,12,6),tblDaily[WardCode],"MAE")=0,"",SUMIFS(tblDaily[Remaining],tblDaily[EntryDate],DATE(2026,12,6),tblDaily[WardCode],"MAE")),"")</f>
        <v/>
      </c>
      <c r="I453" s="13" t="str">
        <f>IFERROR(IF(SUMIFS(tblDaily[Admissions],tblDaily[EntryDate],DATE(2026,12,6),tblDaily[WardCode],"FAE")=0,"",SUMIFS(tblDaily[Admissions],tblDaily[EntryDate],DATE(2026,12,6),tblDaily[WardCode],"FAE")),"")</f>
        <v/>
      </c>
      <c r="J453" s="13" t="str">
        <f>IFERROR(IF(SUMIFS(tblDaily[Discharges],tblDaily[EntryDate],DATE(2026,12,6),tblDaily[WardCode],"FAE")=0,"",SUMIFS(tblDaily[Discharges],tblDaily[EntryDate],DATE(2026,12,6),tblDaily[WardCode],"FAE")),"")</f>
        <v/>
      </c>
      <c r="K453" s="13" t="str">
        <f>IFERROR(IF(SUMIFS(tblDaily[Deaths],tblDaily[EntryDate],DATE(2026,12,6),tblDaily[WardCode],"FAE")=0,"",SUMIFS(tblDaily[Deaths],tblDaily[EntryDate],DATE(2026,12,6),tblDaily[WardCode],"FAE")),"")</f>
        <v/>
      </c>
      <c r="L453" s="13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3" t="str">
        <f>IFERROR(IF(SUMIFS(tblDaily[TransfersIn],tblDaily[EntryDate],DATE(2026,12,6),tblDaily[WardCode],"FAE")=0,"",SUMIFS(tblDaily[TransfersIn],tblDaily[EntryDate],DATE(2026,12,6),tblDaily[WardCode],"FAE")),"")</f>
        <v/>
      </c>
      <c r="N453" s="13" t="str">
        <f>IFERROR(IF(SUMIFS(tblDaily[TransfersOut],tblDaily[EntryDate],DATE(2026,12,6),tblDaily[WardCode],"FAE")=0,"",SUMIFS(tblDaily[TransfersOut],tblDaily[EntryDate],DATE(2026,12,6),tblDaily[WardCode],"FAE")),"")</f>
        <v/>
      </c>
      <c r="O453" s="13" t="str">
        <f>IFERROR(IF(SUMIFS(tblDaily[Remaining],tblDaily[EntryDate],DATE(2026,12,6),tblDaily[WardCode],"FAE")=0,"",SUMIFS(tblDaily[Remaining],tblDaily[EntryDate],DATE(2026,12,6),tblDaily[WardCode],"FAE")),"")</f>
        <v/>
      </c>
    </row>
    <row r="454" spans="1:15" x14ac:dyDescent="0.25">
      <c r="A454" s="13">
        <v>7</v>
      </c>
      <c r="B454" s="13" t="str">
        <f>IFERROR(IF(SUMIFS(tblDaily[Admissions],tblDaily[EntryDate],DATE(2026,12,7),tblDaily[WardCode],"MAE")=0,"",SUMIFS(tblDaily[Admissions],tblDaily[EntryDate],DATE(2026,12,7),tblDaily[WardCode],"MAE")),"")</f>
        <v/>
      </c>
      <c r="C454" s="13" t="str">
        <f>IFERROR(IF(SUMIFS(tblDaily[Discharges],tblDaily[EntryDate],DATE(2026,12,7),tblDaily[WardCode],"MAE")=0,"",SUMIFS(tblDaily[Discharges],tblDaily[EntryDate],DATE(2026,12,7),tblDaily[WardCode],"MAE")),"")</f>
        <v/>
      </c>
      <c r="D454" s="13" t="str">
        <f>IFERROR(IF(SUMIFS(tblDaily[Deaths],tblDaily[EntryDate],DATE(2026,12,7),tblDaily[WardCode],"MAE")=0,"",SUMIFS(tblDaily[Deaths],tblDaily[EntryDate],DATE(2026,12,7),tblDaily[WardCode],"MAE")),"")</f>
        <v/>
      </c>
      <c r="E454" s="13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3" t="str">
        <f>IFERROR(IF(SUMIFS(tblDaily[TransfersIn],tblDaily[EntryDate],DATE(2026,12,7),tblDaily[WardCode],"MAE")=0,"",SUMIFS(tblDaily[TransfersIn],tblDaily[EntryDate],DATE(2026,12,7),tblDaily[WardCode],"MAE")),"")</f>
        <v/>
      </c>
      <c r="G454" s="13" t="str">
        <f>IFERROR(IF(SUMIFS(tblDaily[TransfersOut],tblDaily[EntryDate],DATE(2026,12,7),tblDaily[WardCode],"MAE")=0,"",SUMIFS(tblDaily[TransfersOut],tblDaily[EntryDate],DATE(2026,12,7),tblDaily[WardCode],"MAE")),"")</f>
        <v/>
      </c>
      <c r="H454" s="13" t="str">
        <f>IFERROR(IF(SUMIFS(tblDaily[Remaining],tblDaily[EntryDate],DATE(2026,12,7),tblDaily[WardCode],"MAE")=0,"",SUMIFS(tblDaily[Remaining],tblDaily[EntryDate],DATE(2026,12,7),tblDaily[WardCode],"MAE")),"")</f>
        <v/>
      </c>
      <c r="I454" s="13" t="str">
        <f>IFERROR(IF(SUMIFS(tblDaily[Admissions],tblDaily[EntryDate],DATE(2026,12,7),tblDaily[WardCode],"FAE")=0,"",SUMIFS(tblDaily[Admissions],tblDaily[EntryDate],DATE(2026,12,7),tblDaily[WardCode],"FAE")),"")</f>
        <v/>
      </c>
      <c r="J454" s="13" t="str">
        <f>IFERROR(IF(SUMIFS(tblDaily[Discharges],tblDaily[EntryDate],DATE(2026,12,7),tblDaily[WardCode],"FAE")=0,"",SUMIFS(tblDaily[Discharges],tblDaily[EntryDate],DATE(2026,12,7),tblDaily[WardCode],"FAE")),"")</f>
        <v/>
      </c>
      <c r="K454" s="13" t="str">
        <f>IFERROR(IF(SUMIFS(tblDaily[Deaths],tblDaily[EntryDate],DATE(2026,12,7),tblDaily[WardCode],"FAE")=0,"",SUMIFS(tblDaily[Deaths],tblDaily[EntryDate],DATE(2026,12,7),tblDaily[WardCode],"FAE")),"")</f>
        <v/>
      </c>
      <c r="L454" s="13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3" t="str">
        <f>IFERROR(IF(SUMIFS(tblDaily[TransfersIn],tblDaily[EntryDate],DATE(2026,12,7),tblDaily[WardCode],"FAE")=0,"",SUMIFS(tblDaily[TransfersIn],tblDaily[EntryDate],DATE(2026,12,7),tblDaily[WardCode],"FAE")),"")</f>
        <v/>
      </c>
      <c r="N454" s="13" t="str">
        <f>IFERROR(IF(SUMIFS(tblDaily[TransfersOut],tblDaily[EntryDate],DATE(2026,12,7),tblDaily[WardCode],"FAE")=0,"",SUMIFS(tblDaily[TransfersOut],tblDaily[EntryDate],DATE(2026,12,7),tblDaily[WardCode],"FAE")),"")</f>
        <v/>
      </c>
      <c r="O454" s="13" t="str">
        <f>IFERROR(IF(SUMIFS(tblDaily[Remaining],tblDaily[EntryDate],DATE(2026,12,7),tblDaily[WardCode],"FAE")=0,"",SUMIFS(tblDaily[Remaining],tblDaily[EntryDate],DATE(2026,12,7),tblDaily[WardCode],"FAE")),"")</f>
        <v/>
      </c>
    </row>
    <row r="455" spans="1:15" x14ac:dyDescent="0.25">
      <c r="A455" s="13">
        <v>8</v>
      </c>
      <c r="B455" s="13" t="str">
        <f>IFERROR(IF(SUMIFS(tblDaily[Admissions],tblDaily[EntryDate],DATE(2026,12,8),tblDaily[WardCode],"MAE")=0,"",SUMIFS(tblDaily[Admissions],tblDaily[EntryDate],DATE(2026,12,8),tblDaily[WardCode],"MAE")),"")</f>
        <v/>
      </c>
      <c r="C455" s="13" t="str">
        <f>IFERROR(IF(SUMIFS(tblDaily[Discharges],tblDaily[EntryDate],DATE(2026,12,8),tblDaily[WardCode],"MAE")=0,"",SUMIFS(tblDaily[Discharges],tblDaily[EntryDate],DATE(2026,12,8),tblDaily[WardCode],"MAE")),"")</f>
        <v/>
      </c>
      <c r="D455" s="13" t="str">
        <f>IFERROR(IF(SUMIFS(tblDaily[Deaths],tblDaily[EntryDate],DATE(2026,12,8),tblDaily[WardCode],"MAE")=0,"",SUMIFS(tblDaily[Deaths],tblDaily[EntryDate],DATE(2026,12,8),tblDaily[WardCode],"MAE")),"")</f>
        <v/>
      </c>
      <c r="E455" s="13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3" t="str">
        <f>IFERROR(IF(SUMIFS(tblDaily[TransfersIn],tblDaily[EntryDate],DATE(2026,12,8),tblDaily[WardCode],"MAE")=0,"",SUMIFS(tblDaily[TransfersIn],tblDaily[EntryDate],DATE(2026,12,8),tblDaily[WardCode],"MAE")),"")</f>
        <v/>
      </c>
      <c r="G455" s="13" t="str">
        <f>IFERROR(IF(SUMIFS(tblDaily[TransfersOut],tblDaily[EntryDate],DATE(2026,12,8),tblDaily[WardCode],"MAE")=0,"",SUMIFS(tblDaily[TransfersOut],tblDaily[EntryDate],DATE(2026,12,8),tblDaily[WardCode],"MAE")),"")</f>
        <v/>
      </c>
      <c r="H455" s="13" t="str">
        <f>IFERROR(IF(SUMIFS(tblDaily[Remaining],tblDaily[EntryDate],DATE(2026,12,8),tblDaily[WardCode],"MAE")=0,"",SUMIFS(tblDaily[Remaining],tblDaily[EntryDate],DATE(2026,12,8),tblDaily[WardCode],"MAE")),"")</f>
        <v/>
      </c>
      <c r="I455" s="13" t="str">
        <f>IFERROR(IF(SUMIFS(tblDaily[Admissions],tblDaily[EntryDate],DATE(2026,12,8),tblDaily[WardCode],"FAE")=0,"",SUMIFS(tblDaily[Admissions],tblDaily[EntryDate],DATE(2026,12,8),tblDaily[WardCode],"FAE")),"")</f>
        <v/>
      </c>
      <c r="J455" s="13" t="str">
        <f>IFERROR(IF(SUMIFS(tblDaily[Discharges],tblDaily[EntryDate],DATE(2026,12,8),tblDaily[WardCode],"FAE")=0,"",SUMIFS(tblDaily[Discharges],tblDaily[EntryDate],DATE(2026,12,8),tblDaily[WardCode],"FAE")),"")</f>
        <v/>
      </c>
      <c r="K455" s="13" t="str">
        <f>IFERROR(IF(SUMIFS(tblDaily[Deaths],tblDaily[EntryDate],DATE(2026,12,8),tblDaily[WardCode],"FAE")=0,"",SUMIFS(tblDaily[Deaths],tblDaily[EntryDate],DATE(2026,12,8),tblDaily[WardCode],"FAE")),"")</f>
        <v/>
      </c>
      <c r="L455" s="13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3" t="str">
        <f>IFERROR(IF(SUMIFS(tblDaily[TransfersIn],tblDaily[EntryDate],DATE(2026,12,8),tblDaily[WardCode],"FAE")=0,"",SUMIFS(tblDaily[TransfersIn],tblDaily[EntryDate],DATE(2026,12,8),tblDaily[WardCode],"FAE")),"")</f>
        <v/>
      </c>
      <c r="N455" s="13" t="str">
        <f>IFERROR(IF(SUMIFS(tblDaily[TransfersOut],tblDaily[EntryDate],DATE(2026,12,8),tblDaily[WardCode],"FAE")=0,"",SUMIFS(tblDaily[TransfersOut],tblDaily[EntryDate],DATE(2026,12,8),tblDaily[WardCode],"FAE")),"")</f>
        <v/>
      </c>
      <c r="O455" s="13" t="str">
        <f>IFERROR(IF(SUMIFS(tblDaily[Remaining],tblDaily[EntryDate],DATE(2026,12,8),tblDaily[WardCode],"FAE")=0,"",SUMIFS(tblDaily[Remaining],tblDaily[EntryDate],DATE(2026,12,8),tblDaily[WardCode],"FAE")),"")</f>
        <v/>
      </c>
    </row>
    <row r="456" spans="1:15" x14ac:dyDescent="0.25">
      <c r="A456" s="13">
        <v>9</v>
      </c>
      <c r="B456" s="13" t="str">
        <f>IFERROR(IF(SUMIFS(tblDaily[Admissions],tblDaily[EntryDate],DATE(2026,12,9),tblDaily[WardCode],"MAE")=0,"",SUMIFS(tblDaily[Admissions],tblDaily[EntryDate],DATE(2026,12,9),tblDaily[WardCode],"MAE")),"")</f>
        <v/>
      </c>
      <c r="C456" s="13" t="str">
        <f>IFERROR(IF(SUMIFS(tblDaily[Discharges],tblDaily[EntryDate],DATE(2026,12,9),tblDaily[WardCode],"MAE")=0,"",SUMIFS(tblDaily[Discharges],tblDaily[EntryDate],DATE(2026,12,9),tblDaily[WardCode],"MAE")),"")</f>
        <v/>
      </c>
      <c r="D456" s="13" t="str">
        <f>IFERROR(IF(SUMIFS(tblDaily[Deaths],tblDaily[EntryDate],DATE(2026,12,9),tblDaily[WardCode],"MAE")=0,"",SUMIFS(tblDaily[Deaths],tblDaily[EntryDate],DATE(2026,12,9),tblDaily[WardCode],"MAE")),"")</f>
        <v/>
      </c>
      <c r="E456" s="13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3" t="str">
        <f>IFERROR(IF(SUMIFS(tblDaily[TransfersIn],tblDaily[EntryDate],DATE(2026,12,9),tblDaily[WardCode],"MAE")=0,"",SUMIFS(tblDaily[TransfersIn],tblDaily[EntryDate],DATE(2026,12,9),tblDaily[WardCode],"MAE")),"")</f>
        <v/>
      </c>
      <c r="G456" s="13" t="str">
        <f>IFERROR(IF(SUMIFS(tblDaily[TransfersOut],tblDaily[EntryDate],DATE(2026,12,9),tblDaily[WardCode],"MAE")=0,"",SUMIFS(tblDaily[TransfersOut],tblDaily[EntryDate],DATE(2026,12,9),tblDaily[WardCode],"MAE")),"")</f>
        <v/>
      </c>
      <c r="H456" s="13" t="str">
        <f>IFERROR(IF(SUMIFS(tblDaily[Remaining],tblDaily[EntryDate],DATE(2026,12,9),tblDaily[WardCode],"MAE")=0,"",SUMIFS(tblDaily[Remaining],tblDaily[EntryDate],DATE(2026,12,9),tblDaily[WardCode],"MAE")),"")</f>
        <v/>
      </c>
      <c r="I456" s="13" t="str">
        <f>IFERROR(IF(SUMIFS(tblDaily[Admissions],tblDaily[EntryDate],DATE(2026,12,9),tblDaily[WardCode],"FAE")=0,"",SUMIFS(tblDaily[Admissions],tblDaily[EntryDate],DATE(2026,12,9),tblDaily[WardCode],"FAE")),"")</f>
        <v/>
      </c>
      <c r="J456" s="13" t="str">
        <f>IFERROR(IF(SUMIFS(tblDaily[Discharges],tblDaily[EntryDate],DATE(2026,12,9),tblDaily[WardCode],"FAE")=0,"",SUMIFS(tblDaily[Discharges],tblDaily[EntryDate],DATE(2026,12,9),tblDaily[WardCode],"FAE")),"")</f>
        <v/>
      </c>
      <c r="K456" s="13" t="str">
        <f>IFERROR(IF(SUMIFS(tblDaily[Deaths],tblDaily[EntryDate],DATE(2026,12,9),tblDaily[WardCode],"FAE")=0,"",SUMIFS(tblDaily[Deaths],tblDaily[EntryDate],DATE(2026,12,9),tblDaily[WardCode],"FAE")),"")</f>
        <v/>
      </c>
      <c r="L456" s="13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3" t="str">
        <f>IFERROR(IF(SUMIFS(tblDaily[TransfersIn],tblDaily[EntryDate],DATE(2026,12,9),tblDaily[WardCode],"FAE")=0,"",SUMIFS(tblDaily[TransfersIn],tblDaily[EntryDate],DATE(2026,12,9),tblDaily[WardCode],"FAE")),"")</f>
        <v/>
      </c>
      <c r="N456" s="13" t="str">
        <f>IFERROR(IF(SUMIFS(tblDaily[TransfersOut],tblDaily[EntryDate],DATE(2026,12,9),tblDaily[WardCode],"FAE")=0,"",SUMIFS(tblDaily[TransfersOut],tblDaily[EntryDate],DATE(2026,12,9),tblDaily[WardCode],"FAE")),"")</f>
        <v/>
      </c>
      <c r="O456" s="13" t="str">
        <f>IFERROR(IF(SUMIFS(tblDaily[Remaining],tblDaily[EntryDate],DATE(2026,12,9),tblDaily[WardCode],"FAE")=0,"",SUMIFS(tblDaily[Remaining],tblDaily[EntryDate],DATE(2026,12,9),tblDaily[WardCode],"FAE")),"")</f>
        <v/>
      </c>
    </row>
    <row r="457" spans="1:15" x14ac:dyDescent="0.25">
      <c r="A457" s="13">
        <v>10</v>
      </c>
      <c r="B457" s="13" t="str">
        <f>IFERROR(IF(SUMIFS(tblDaily[Admissions],tblDaily[EntryDate],DATE(2026,12,10),tblDaily[WardCode],"MAE")=0,"",SUMIFS(tblDaily[Admissions],tblDaily[EntryDate],DATE(2026,12,10),tblDaily[WardCode],"MAE")),"")</f>
        <v/>
      </c>
      <c r="C457" s="13" t="str">
        <f>IFERROR(IF(SUMIFS(tblDaily[Discharges],tblDaily[EntryDate],DATE(2026,12,10),tblDaily[WardCode],"MAE")=0,"",SUMIFS(tblDaily[Discharges],tblDaily[EntryDate],DATE(2026,12,10),tblDaily[WardCode],"MAE")),"")</f>
        <v/>
      </c>
      <c r="D457" s="13" t="str">
        <f>IFERROR(IF(SUMIFS(tblDaily[Deaths],tblDaily[EntryDate],DATE(2026,12,10),tblDaily[WardCode],"MAE")=0,"",SUMIFS(tblDaily[Deaths],tblDaily[EntryDate],DATE(2026,12,10),tblDaily[WardCode],"MAE")),"")</f>
        <v/>
      </c>
      <c r="E457" s="13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3" t="str">
        <f>IFERROR(IF(SUMIFS(tblDaily[TransfersIn],tblDaily[EntryDate],DATE(2026,12,10),tblDaily[WardCode],"MAE")=0,"",SUMIFS(tblDaily[TransfersIn],tblDaily[EntryDate],DATE(2026,12,10),tblDaily[WardCode],"MAE")),"")</f>
        <v/>
      </c>
      <c r="G457" s="13" t="str">
        <f>IFERROR(IF(SUMIFS(tblDaily[TransfersOut],tblDaily[EntryDate],DATE(2026,12,10),tblDaily[WardCode],"MAE")=0,"",SUMIFS(tblDaily[TransfersOut],tblDaily[EntryDate],DATE(2026,12,10),tblDaily[WardCode],"MAE")),"")</f>
        <v/>
      </c>
      <c r="H457" s="13" t="str">
        <f>IFERROR(IF(SUMIFS(tblDaily[Remaining],tblDaily[EntryDate],DATE(2026,12,10),tblDaily[WardCode],"MAE")=0,"",SUMIFS(tblDaily[Remaining],tblDaily[EntryDate],DATE(2026,12,10),tblDaily[WardCode],"MAE")),"")</f>
        <v/>
      </c>
      <c r="I457" s="13" t="str">
        <f>IFERROR(IF(SUMIFS(tblDaily[Admissions],tblDaily[EntryDate],DATE(2026,12,10),tblDaily[WardCode],"FAE")=0,"",SUMIFS(tblDaily[Admissions],tblDaily[EntryDate],DATE(2026,12,10),tblDaily[WardCode],"FAE")),"")</f>
        <v/>
      </c>
      <c r="J457" s="13" t="str">
        <f>IFERROR(IF(SUMIFS(tblDaily[Discharges],tblDaily[EntryDate],DATE(2026,12,10),tblDaily[WardCode],"FAE")=0,"",SUMIFS(tblDaily[Discharges],tblDaily[EntryDate],DATE(2026,12,10),tblDaily[WardCode],"FAE")),"")</f>
        <v/>
      </c>
      <c r="K457" s="13" t="str">
        <f>IFERROR(IF(SUMIFS(tblDaily[Deaths],tblDaily[EntryDate],DATE(2026,12,10),tblDaily[WardCode],"FAE")=0,"",SUMIFS(tblDaily[Deaths],tblDaily[EntryDate],DATE(2026,12,10),tblDaily[WardCode],"FAE")),"")</f>
        <v/>
      </c>
      <c r="L457" s="13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3" t="str">
        <f>IFERROR(IF(SUMIFS(tblDaily[TransfersIn],tblDaily[EntryDate],DATE(2026,12,10),tblDaily[WardCode],"FAE")=0,"",SUMIFS(tblDaily[TransfersIn],tblDaily[EntryDate],DATE(2026,12,10),tblDaily[WardCode],"FAE")),"")</f>
        <v/>
      </c>
      <c r="N457" s="13" t="str">
        <f>IFERROR(IF(SUMIFS(tblDaily[TransfersOut],tblDaily[EntryDate],DATE(2026,12,10),tblDaily[WardCode],"FAE")=0,"",SUMIFS(tblDaily[TransfersOut],tblDaily[EntryDate],DATE(2026,12,10),tblDaily[WardCode],"FAE")),"")</f>
        <v/>
      </c>
      <c r="O457" s="13" t="str">
        <f>IFERROR(IF(SUMIFS(tblDaily[Remaining],tblDaily[EntryDate],DATE(2026,12,10),tblDaily[WardCode],"FAE")=0,"",SUMIFS(tblDaily[Remaining],tblDaily[EntryDate],DATE(2026,12,10),tblDaily[WardCode],"FAE")),"")</f>
        <v/>
      </c>
    </row>
    <row r="458" spans="1:15" x14ac:dyDescent="0.25">
      <c r="A458" s="13">
        <v>11</v>
      </c>
      <c r="B458" s="13" t="str">
        <f>IFERROR(IF(SUMIFS(tblDaily[Admissions],tblDaily[EntryDate],DATE(2026,12,11),tblDaily[WardCode],"MAE")=0,"",SUMIFS(tblDaily[Admissions],tblDaily[EntryDate],DATE(2026,12,11),tblDaily[WardCode],"MAE")),"")</f>
        <v/>
      </c>
      <c r="C458" s="13" t="str">
        <f>IFERROR(IF(SUMIFS(tblDaily[Discharges],tblDaily[EntryDate],DATE(2026,12,11),tblDaily[WardCode],"MAE")=0,"",SUMIFS(tblDaily[Discharges],tblDaily[EntryDate],DATE(2026,12,11),tblDaily[WardCode],"MAE")),"")</f>
        <v/>
      </c>
      <c r="D458" s="13" t="str">
        <f>IFERROR(IF(SUMIFS(tblDaily[Deaths],tblDaily[EntryDate],DATE(2026,12,11),tblDaily[WardCode],"MAE")=0,"",SUMIFS(tblDaily[Deaths],tblDaily[EntryDate],DATE(2026,12,11),tblDaily[WardCode],"MAE")),"")</f>
        <v/>
      </c>
      <c r="E458" s="13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3" t="str">
        <f>IFERROR(IF(SUMIFS(tblDaily[TransfersIn],tblDaily[EntryDate],DATE(2026,12,11),tblDaily[WardCode],"MAE")=0,"",SUMIFS(tblDaily[TransfersIn],tblDaily[EntryDate],DATE(2026,12,11),tblDaily[WardCode],"MAE")),"")</f>
        <v/>
      </c>
      <c r="G458" s="13" t="str">
        <f>IFERROR(IF(SUMIFS(tblDaily[TransfersOut],tblDaily[EntryDate],DATE(2026,12,11),tblDaily[WardCode],"MAE")=0,"",SUMIFS(tblDaily[TransfersOut],tblDaily[EntryDate],DATE(2026,12,11),tblDaily[WardCode],"MAE")),"")</f>
        <v/>
      </c>
      <c r="H458" s="13" t="str">
        <f>IFERROR(IF(SUMIFS(tblDaily[Remaining],tblDaily[EntryDate],DATE(2026,12,11),tblDaily[WardCode],"MAE")=0,"",SUMIFS(tblDaily[Remaining],tblDaily[EntryDate],DATE(2026,12,11),tblDaily[WardCode],"MAE")),"")</f>
        <v/>
      </c>
      <c r="I458" s="13" t="str">
        <f>IFERROR(IF(SUMIFS(tblDaily[Admissions],tblDaily[EntryDate],DATE(2026,12,11),tblDaily[WardCode],"FAE")=0,"",SUMIFS(tblDaily[Admissions],tblDaily[EntryDate],DATE(2026,12,11),tblDaily[WardCode],"FAE")),"")</f>
        <v/>
      </c>
      <c r="J458" s="13" t="str">
        <f>IFERROR(IF(SUMIFS(tblDaily[Discharges],tblDaily[EntryDate],DATE(2026,12,11),tblDaily[WardCode],"FAE")=0,"",SUMIFS(tblDaily[Discharges],tblDaily[EntryDate],DATE(2026,12,11),tblDaily[WardCode],"FAE")),"")</f>
        <v/>
      </c>
      <c r="K458" s="13" t="str">
        <f>IFERROR(IF(SUMIFS(tblDaily[Deaths],tblDaily[EntryDate],DATE(2026,12,11),tblDaily[WardCode],"FAE")=0,"",SUMIFS(tblDaily[Deaths],tblDaily[EntryDate],DATE(2026,12,11),tblDaily[WardCode],"FAE")),"")</f>
        <v/>
      </c>
      <c r="L458" s="13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3" t="str">
        <f>IFERROR(IF(SUMIFS(tblDaily[TransfersIn],tblDaily[EntryDate],DATE(2026,12,11),tblDaily[WardCode],"FAE")=0,"",SUMIFS(tblDaily[TransfersIn],tblDaily[EntryDate],DATE(2026,12,11),tblDaily[WardCode],"FAE")),"")</f>
        <v/>
      </c>
      <c r="N458" s="13" t="str">
        <f>IFERROR(IF(SUMIFS(tblDaily[TransfersOut],tblDaily[EntryDate],DATE(2026,12,11),tblDaily[WardCode],"FAE")=0,"",SUMIFS(tblDaily[TransfersOut],tblDaily[EntryDate],DATE(2026,12,11),tblDaily[WardCode],"FAE")),"")</f>
        <v/>
      </c>
      <c r="O458" s="13" t="str">
        <f>IFERROR(IF(SUMIFS(tblDaily[Remaining],tblDaily[EntryDate],DATE(2026,12,11),tblDaily[WardCode],"FAE")=0,"",SUMIFS(tblDaily[Remaining],tblDaily[EntryDate],DATE(2026,12,11),tblDaily[WardCode],"FAE")),"")</f>
        <v/>
      </c>
    </row>
    <row r="459" spans="1:15" x14ac:dyDescent="0.25">
      <c r="A459" s="13">
        <v>12</v>
      </c>
      <c r="B459" s="13" t="str">
        <f>IFERROR(IF(SUMIFS(tblDaily[Admissions],tblDaily[EntryDate],DATE(2026,12,12),tblDaily[WardCode],"MAE")=0,"",SUMIFS(tblDaily[Admissions],tblDaily[EntryDate],DATE(2026,12,12),tblDaily[WardCode],"MAE")),"")</f>
        <v/>
      </c>
      <c r="C459" s="13" t="str">
        <f>IFERROR(IF(SUMIFS(tblDaily[Discharges],tblDaily[EntryDate],DATE(2026,12,12),tblDaily[WardCode],"MAE")=0,"",SUMIFS(tblDaily[Discharges],tblDaily[EntryDate],DATE(2026,12,12),tblDaily[WardCode],"MAE")),"")</f>
        <v/>
      </c>
      <c r="D459" s="13" t="str">
        <f>IFERROR(IF(SUMIFS(tblDaily[Deaths],tblDaily[EntryDate],DATE(2026,12,12),tblDaily[WardCode],"MAE")=0,"",SUMIFS(tblDaily[Deaths],tblDaily[EntryDate],DATE(2026,12,12),tblDaily[WardCode],"MAE")),"")</f>
        <v/>
      </c>
      <c r="E459" s="13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3" t="str">
        <f>IFERROR(IF(SUMIFS(tblDaily[TransfersIn],tblDaily[EntryDate],DATE(2026,12,12),tblDaily[WardCode],"MAE")=0,"",SUMIFS(tblDaily[TransfersIn],tblDaily[EntryDate],DATE(2026,12,12),tblDaily[WardCode],"MAE")),"")</f>
        <v/>
      </c>
      <c r="G459" s="13" t="str">
        <f>IFERROR(IF(SUMIFS(tblDaily[TransfersOut],tblDaily[EntryDate],DATE(2026,12,12),tblDaily[WardCode],"MAE")=0,"",SUMIFS(tblDaily[TransfersOut],tblDaily[EntryDate],DATE(2026,12,12),tblDaily[WardCode],"MAE")),"")</f>
        <v/>
      </c>
      <c r="H459" s="13" t="str">
        <f>IFERROR(IF(SUMIFS(tblDaily[Remaining],tblDaily[EntryDate],DATE(2026,12,12),tblDaily[WardCode],"MAE")=0,"",SUMIFS(tblDaily[Remaining],tblDaily[EntryDate],DATE(2026,12,12),tblDaily[WardCode],"MAE")),"")</f>
        <v/>
      </c>
      <c r="I459" s="13" t="str">
        <f>IFERROR(IF(SUMIFS(tblDaily[Admissions],tblDaily[EntryDate],DATE(2026,12,12),tblDaily[WardCode],"FAE")=0,"",SUMIFS(tblDaily[Admissions],tblDaily[EntryDate],DATE(2026,12,12),tblDaily[WardCode],"FAE")),"")</f>
        <v/>
      </c>
      <c r="J459" s="13" t="str">
        <f>IFERROR(IF(SUMIFS(tblDaily[Discharges],tblDaily[EntryDate],DATE(2026,12,12),tblDaily[WardCode],"FAE")=0,"",SUMIFS(tblDaily[Discharges],tblDaily[EntryDate],DATE(2026,12,12),tblDaily[WardCode],"FAE")),"")</f>
        <v/>
      </c>
      <c r="K459" s="13" t="str">
        <f>IFERROR(IF(SUMIFS(tblDaily[Deaths],tblDaily[EntryDate],DATE(2026,12,12),tblDaily[WardCode],"FAE")=0,"",SUMIFS(tblDaily[Deaths],tblDaily[EntryDate],DATE(2026,12,12),tblDaily[WardCode],"FAE")),"")</f>
        <v/>
      </c>
      <c r="L459" s="13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3" t="str">
        <f>IFERROR(IF(SUMIFS(tblDaily[TransfersIn],tblDaily[EntryDate],DATE(2026,12,12),tblDaily[WardCode],"FAE")=0,"",SUMIFS(tblDaily[TransfersIn],tblDaily[EntryDate],DATE(2026,12,12),tblDaily[WardCode],"FAE")),"")</f>
        <v/>
      </c>
      <c r="N459" s="13" t="str">
        <f>IFERROR(IF(SUMIFS(tblDaily[TransfersOut],tblDaily[EntryDate],DATE(2026,12,12),tblDaily[WardCode],"FAE")=0,"",SUMIFS(tblDaily[TransfersOut],tblDaily[EntryDate],DATE(2026,12,12),tblDaily[WardCode],"FAE")),"")</f>
        <v/>
      </c>
      <c r="O459" s="13" t="str">
        <f>IFERROR(IF(SUMIFS(tblDaily[Remaining],tblDaily[EntryDate],DATE(2026,12,12),tblDaily[WardCode],"FAE")=0,"",SUMIFS(tblDaily[Remaining],tblDaily[EntryDate],DATE(2026,12,12),tblDaily[WardCode],"FAE")),"")</f>
        <v/>
      </c>
    </row>
    <row r="460" spans="1:15" x14ac:dyDescent="0.25">
      <c r="A460" s="13">
        <v>13</v>
      </c>
      <c r="B460" s="13" t="str">
        <f>IFERROR(IF(SUMIFS(tblDaily[Admissions],tblDaily[EntryDate],DATE(2026,12,13),tblDaily[WardCode],"MAE")=0,"",SUMIFS(tblDaily[Admissions],tblDaily[EntryDate],DATE(2026,12,13),tblDaily[WardCode],"MAE")),"")</f>
        <v/>
      </c>
      <c r="C460" s="13" t="str">
        <f>IFERROR(IF(SUMIFS(tblDaily[Discharges],tblDaily[EntryDate],DATE(2026,12,13),tblDaily[WardCode],"MAE")=0,"",SUMIFS(tblDaily[Discharges],tblDaily[EntryDate],DATE(2026,12,13),tblDaily[WardCode],"MAE")),"")</f>
        <v/>
      </c>
      <c r="D460" s="13" t="str">
        <f>IFERROR(IF(SUMIFS(tblDaily[Deaths],tblDaily[EntryDate],DATE(2026,12,13),tblDaily[WardCode],"MAE")=0,"",SUMIFS(tblDaily[Deaths],tblDaily[EntryDate],DATE(2026,12,13),tblDaily[WardCode],"MAE")),"")</f>
        <v/>
      </c>
      <c r="E460" s="13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3" t="str">
        <f>IFERROR(IF(SUMIFS(tblDaily[TransfersIn],tblDaily[EntryDate],DATE(2026,12,13),tblDaily[WardCode],"MAE")=0,"",SUMIFS(tblDaily[TransfersIn],tblDaily[EntryDate],DATE(2026,12,13),tblDaily[WardCode],"MAE")),"")</f>
        <v/>
      </c>
      <c r="G460" s="13" t="str">
        <f>IFERROR(IF(SUMIFS(tblDaily[TransfersOut],tblDaily[EntryDate],DATE(2026,12,13),tblDaily[WardCode],"MAE")=0,"",SUMIFS(tblDaily[TransfersOut],tblDaily[EntryDate],DATE(2026,12,13),tblDaily[WardCode],"MAE")),"")</f>
        <v/>
      </c>
      <c r="H460" s="13" t="str">
        <f>IFERROR(IF(SUMIFS(tblDaily[Remaining],tblDaily[EntryDate],DATE(2026,12,13),tblDaily[WardCode],"MAE")=0,"",SUMIFS(tblDaily[Remaining],tblDaily[EntryDate],DATE(2026,12,13),tblDaily[WardCode],"MAE")),"")</f>
        <v/>
      </c>
      <c r="I460" s="13" t="str">
        <f>IFERROR(IF(SUMIFS(tblDaily[Admissions],tblDaily[EntryDate],DATE(2026,12,13),tblDaily[WardCode],"FAE")=0,"",SUMIFS(tblDaily[Admissions],tblDaily[EntryDate],DATE(2026,12,13),tblDaily[WardCode],"FAE")),"")</f>
        <v/>
      </c>
      <c r="J460" s="13" t="str">
        <f>IFERROR(IF(SUMIFS(tblDaily[Discharges],tblDaily[EntryDate],DATE(2026,12,13),tblDaily[WardCode],"FAE")=0,"",SUMIFS(tblDaily[Discharges],tblDaily[EntryDate],DATE(2026,12,13),tblDaily[WardCode],"FAE")),"")</f>
        <v/>
      </c>
      <c r="K460" s="13" t="str">
        <f>IFERROR(IF(SUMIFS(tblDaily[Deaths],tblDaily[EntryDate],DATE(2026,12,13),tblDaily[WardCode],"FAE")=0,"",SUMIFS(tblDaily[Deaths],tblDaily[EntryDate],DATE(2026,12,13),tblDaily[WardCode],"FAE")),"")</f>
        <v/>
      </c>
      <c r="L460" s="13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3" t="str">
        <f>IFERROR(IF(SUMIFS(tblDaily[TransfersIn],tblDaily[EntryDate],DATE(2026,12,13),tblDaily[WardCode],"FAE")=0,"",SUMIFS(tblDaily[TransfersIn],tblDaily[EntryDate],DATE(2026,12,13),tblDaily[WardCode],"FAE")),"")</f>
        <v/>
      </c>
      <c r="N460" s="13" t="str">
        <f>IFERROR(IF(SUMIFS(tblDaily[TransfersOut],tblDaily[EntryDate],DATE(2026,12,13),tblDaily[WardCode],"FAE")=0,"",SUMIFS(tblDaily[TransfersOut],tblDaily[EntryDate],DATE(2026,12,13),tblDaily[WardCode],"FAE")),"")</f>
        <v/>
      </c>
      <c r="O460" s="13" t="str">
        <f>IFERROR(IF(SUMIFS(tblDaily[Remaining],tblDaily[EntryDate],DATE(2026,12,13),tblDaily[WardCode],"FAE")=0,"",SUMIFS(tblDaily[Remaining],tblDaily[EntryDate],DATE(2026,12,13),tblDaily[WardCode],"FAE")),"")</f>
        <v/>
      </c>
    </row>
    <row r="461" spans="1:15" x14ac:dyDescent="0.25">
      <c r="A461" s="13">
        <v>14</v>
      </c>
      <c r="B461" s="13" t="str">
        <f>IFERROR(IF(SUMIFS(tblDaily[Admissions],tblDaily[EntryDate],DATE(2026,12,14),tblDaily[WardCode],"MAE")=0,"",SUMIFS(tblDaily[Admissions],tblDaily[EntryDate],DATE(2026,12,14),tblDaily[WardCode],"MAE")),"")</f>
        <v/>
      </c>
      <c r="C461" s="13" t="str">
        <f>IFERROR(IF(SUMIFS(tblDaily[Discharges],tblDaily[EntryDate],DATE(2026,12,14),tblDaily[WardCode],"MAE")=0,"",SUMIFS(tblDaily[Discharges],tblDaily[EntryDate],DATE(2026,12,14),tblDaily[WardCode],"MAE")),"")</f>
        <v/>
      </c>
      <c r="D461" s="13" t="str">
        <f>IFERROR(IF(SUMIFS(tblDaily[Deaths],tblDaily[EntryDate],DATE(2026,12,14),tblDaily[WardCode],"MAE")=0,"",SUMIFS(tblDaily[Deaths],tblDaily[EntryDate],DATE(2026,12,14),tblDaily[WardCode],"MAE")),"")</f>
        <v/>
      </c>
      <c r="E461" s="13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3" t="str">
        <f>IFERROR(IF(SUMIFS(tblDaily[TransfersIn],tblDaily[EntryDate],DATE(2026,12,14),tblDaily[WardCode],"MAE")=0,"",SUMIFS(tblDaily[TransfersIn],tblDaily[EntryDate],DATE(2026,12,14),tblDaily[WardCode],"MAE")),"")</f>
        <v/>
      </c>
      <c r="G461" s="13" t="str">
        <f>IFERROR(IF(SUMIFS(tblDaily[TransfersOut],tblDaily[EntryDate],DATE(2026,12,14),tblDaily[WardCode],"MAE")=0,"",SUMIFS(tblDaily[TransfersOut],tblDaily[EntryDate],DATE(2026,12,14),tblDaily[WardCode],"MAE")),"")</f>
        <v/>
      </c>
      <c r="H461" s="13" t="str">
        <f>IFERROR(IF(SUMIFS(tblDaily[Remaining],tblDaily[EntryDate],DATE(2026,12,14),tblDaily[WardCode],"MAE")=0,"",SUMIFS(tblDaily[Remaining],tblDaily[EntryDate],DATE(2026,12,14),tblDaily[WardCode],"MAE")),"")</f>
        <v/>
      </c>
      <c r="I461" s="13" t="str">
        <f>IFERROR(IF(SUMIFS(tblDaily[Admissions],tblDaily[EntryDate],DATE(2026,12,14),tblDaily[WardCode],"FAE")=0,"",SUMIFS(tblDaily[Admissions],tblDaily[EntryDate],DATE(2026,12,14),tblDaily[WardCode],"FAE")),"")</f>
        <v/>
      </c>
      <c r="J461" s="13" t="str">
        <f>IFERROR(IF(SUMIFS(tblDaily[Discharges],tblDaily[EntryDate],DATE(2026,12,14),tblDaily[WardCode],"FAE")=0,"",SUMIFS(tblDaily[Discharges],tblDaily[EntryDate],DATE(2026,12,14),tblDaily[WardCode],"FAE")),"")</f>
        <v/>
      </c>
      <c r="K461" s="13" t="str">
        <f>IFERROR(IF(SUMIFS(tblDaily[Deaths],tblDaily[EntryDate],DATE(2026,12,14),tblDaily[WardCode],"FAE")=0,"",SUMIFS(tblDaily[Deaths],tblDaily[EntryDate],DATE(2026,12,14),tblDaily[WardCode],"FAE")),"")</f>
        <v/>
      </c>
      <c r="L461" s="13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3" t="str">
        <f>IFERROR(IF(SUMIFS(tblDaily[TransfersIn],tblDaily[EntryDate],DATE(2026,12,14),tblDaily[WardCode],"FAE")=0,"",SUMIFS(tblDaily[TransfersIn],tblDaily[EntryDate],DATE(2026,12,14),tblDaily[WardCode],"FAE")),"")</f>
        <v/>
      </c>
      <c r="N461" s="13" t="str">
        <f>IFERROR(IF(SUMIFS(tblDaily[TransfersOut],tblDaily[EntryDate],DATE(2026,12,14),tblDaily[WardCode],"FAE")=0,"",SUMIFS(tblDaily[TransfersOut],tblDaily[EntryDate],DATE(2026,12,14),tblDaily[WardCode],"FAE")),"")</f>
        <v/>
      </c>
      <c r="O461" s="13" t="str">
        <f>IFERROR(IF(SUMIFS(tblDaily[Remaining],tblDaily[EntryDate],DATE(2026,12,14),tblDaily[WardCode],"FAE")=0,"",SUMIFS(tblDaily[Remaining],tblDaily[EntryDate],DATE(2026,12,14),tblDaily[WardCode],"FAE")),"")</f>
        <v/>
      </c>
    </row>
    <row r="462" spans="1:15" x14ac:dyDescent="0.25">
      <c r="A462" s="13">
        <v>15</v>
      </c>
      <c r="B462" s="13" t="str">
        <f>IFERROR(IF(SUMIFS(tblDaily[Admissions],tblDaily[EntryDate],DATE(2026,12,15),tblDaily[WardCode],"MAE")=0,"",SUMIFS(tblDaily[Admissions],tblDaily[EntryDate],DATE(2026,12,15),tblDaily[WardCode],"MAE")),"")</f>
        <v/>
      </c>
      <c r="C462" s="13" t="str">
        <f>IFERROR(IF(SUMIFS(tblDaily[Discharges],tblDaily[EntryDate],DATE(2026,12,15),tblDaily[WardCode],"MAE")=0,"",SUMIFS(tblDaily[Discharges],tblDaily[EntryDate],DATE(2026,12,15),tblDaily[WardCode],"MAE")),"")</f>
        <v/>
      </c>
      <c r="D462" s="13" t="str">
        <f>IFERROR(IF(SUMIFS(tblDaily[Deaths],tblDaily[EntryDate],DATE(2026,12,15),tblDaily[WardCode],"MAE")=0,"",SUMIFS(tblDaily[Deaths],tblDaily[EntryDate],DATE(2026,12,15),tblDaily[WardCode],"MAE")),"")</f>
        <v/>
      </c>
      <c r="E462" s="13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3" t="str">
        <f>IFERROR(IF(SUMIFS(tblDaily[TransfersIn],tblDaily[EntryDate],DATE(2026,12,15),tblDaily[WardCode],"MAE")=0,"",SUMIFS(tblDaily[TransfersIn],tblDaily[EntryDate],DATE(2026,12,15),tblDaily[WardCode],"MAE")),"")</f>
        <v/>
      </c>
      <c r="G462" s="13" t="str">
        <f>IFERROR(IF(SUMIFS(tblDaily[TransfersOut],tblDaily[EntryDate],DATE(2026,12,15),tblDaily[WardCode],"MAE")=0,"",SUMIFS(tblDaily[TransfersOut],tblDaily[EntryDate],DATE(2026,12,15),tblDaily[WardCode],"MAE")),"")</f>
        <v/>
      </c>
      <c r="H462" s="13" t="str">
        <f>IFERROR(IF(SUMIFS(tblDaily[Remaining],tblDaily[EntryDate],DATE(2026,12,15),tblDaily[WardCode],"MAE")=0,"",SUMIFS(tblDaily[Remaining],tblDaily[EntryDate],DATE(2026,12,15),tblDaily[WardCode],"MAE")),"")</f>
        <v/>
      </c>
      <c r="I462" s="13" t="str">
        <f>IFERROR(IF(SUMIFS(tblDaily[Admissions],tblDaily[EntryDate],DATE(2026,12,15),tblDaily[WardCode],"FAE")=0,"",SUMIFS(tblDaily[Admissions],tblDaily[EntryDate],DATE(2026,12,15),tblDaily[WardCode],"FAE")),"")</f>
        <v/>
      </c>
      <c r="J462" s="13" t="str">
        <f>IFERROR(IF(SUMIFS(tblDaily[Discharges],tblDaily[EntryDate],DATE(2026,12,15),tblDaily[WardCode],"FAE")=0,"",SUMIFS(tblDaily[Discharges],tblDaily[EntryDate],DATE(2026,12,15),tblDaily[WardCode],"FAE")),"")</f>
        <v/>
      </c>
      <c r="K462" s="13" t="str">
        <f>IFERROR(IF(SUMIFS(tblDaily[Deaths],tblDaily[EntryDate],DATE(2026,12,15),tblDaily[WardCode],"FAE")=0,"",SUMIFS(tblDaily[Deaths],tblDaily[EntryDate],DATE(2026,12,15),tblDaily[WardCode],"FAE")),"")</f>
        <v/>
      </c>
      <c r="L462" s="13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3" t="str">
        <f>IFERROR(IF(SUMIFS(tblDaily[TransfersIn],tblDaily[EntryDate],DATE(2026,12,15),tblDaily[WardCode],"FAE")=0,"",SUMIFS(tblDaily[TransfersIn],tblDaily[EntryDate],DATE(2026,12,15),tblDaily[WardCode],"FAE")),"")</f>
        <v/>
      </c>
      <c r="N462" s="13" t="str">
        <f>IFERROR(IF(SUMIFS(tblDaily[TransfersOut],tblDaily[EntryDate],DATE(2026,12,15),tblDaily[WardCode],"FAE")=0,"",SUMIFS(tblDaily[TransfersOut],tblDaily[EntryDate],DATE(2026,12,15),tblDaily[WardCode],"FAE")),"")</f>
        <v/>
      </c>
      <c r="O462" s="13" t="str">
        <f>IFERROR(IF(SUMIFS(tblDaily[Remaining],tblDaily[EntryDate],DATE(2026,12,15),tblDaily[WardCode],"FAE")=0,"",SUMIFS(tblDaily[Remaining],tblDaily[EntryDate],DATE(2026,12,15),tblDaily[WardCode],"FAE")),"")</f>
        <v/>
      </c>
    </row>
    <row r="463" spans="1:15" x14ac:dyDescent="0.25">
      <c r="A463" s="13">
        <v>16</v>
      </c>
      <c r="B463" s="13" t="str">
        <f>IFERROR(IF(SUMIFS(tblDaily[Admissions],tblDaily[EntryDate],DATE(2026,12,16),tblDaily[WardCode],"MAE")=0,"",SUMIFS(tblDaily[Admissions],tblDaily[EntryDate],DATE(2026,12,16),tblDaily[WardCode],"MAE")),"")</f>
        <v/>
      </c>
      <c r="C463" s="13" t="str">
        <f>IFERROR(IF(SUMIFS(tblDaily[Discharges],tblDaily[EntryDate],DATE(2026,12,16),tblDaily[WardCode],"MAE")=0,"",SUMIFS(tblDaily[Discharges],tblDaily[EntryDate],DATE(2026,12,16),tblDaily[WardCode],"MAE")),"")</f>
        <v/>
      </c>
      <c r="D463" s="13" t="str">
        <f>IFERROR(IF(SUMIFS(tblDaily[Deaths],tblDaily[EntryDate],DATE(2026,12,16),tblDaily[WardCode],"MAE")=0,"",SUMIFS(tblDaily[Deaths],tblDaily[EntryDate],DATE(2026,12,16),tblDaily[WardCode],"MAE")),"")</f>
        <v/>
      </c>
      <c r="E463" s="13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3" t="str">
        <f>IFERROR(IF(SUMIFS(tblDaily[TransfersIn],tblDaily[EntryDate],DATE(2026,12,16),tblDaily[WardCode],"MAE")=0,"",SUMIFS(tblDaily[TransfersIn],tblDaily[EntryDate],DATE(2026,12,16),tblDaily[WardCode],"MAE")),"")</f>
        <v/>
      </c>
      <c r="G463" s="13" t="str">
        <f>IFERROR(IF(SUMIFS(tblDaily[TransfersOut],tblDaily[EntryDate],DATE(2026,12,16),tblDaily[WardCode],"MAE")=0,"",SUMIFS(tblDaily[TransfersOut],tblDaily[EntryDate],DATE(2026,12,16),tblDaily[WardCode],"MAE")),"")</f>
        <v/>
      </c>
      <c r="H463" s="13" t="str">
        <f>IFERROR(IF(SUMIFS(tblDaily[Remaining],tblDaily[EntryDate],DATE(2026,12,16),tblDaily[WardCode],"MAE")=0,"",SUMIFS(tblDaily[Remaining],tblDaily[EntryDate],DATE(2026,12,16),tblDaily[WardCode],"MAE")),"")</f>
        <v/>
      </c>
      <c r="I463" s="13" t="str">
        <f>IFERROR(IF(SUMIFS(tblDaily[Admissions],tblDaily[EntryDate],DATE(2026,12,16),tblDaily[WardCode],"FAE")=0,"",SUMIFS(tblDaily[Admissions],tblDaily[EntryDate],DATE(2026,12,16),tblDaily[WardCode],"FAE")),"")</f>
        <v/>
      </c>
      <c r="J463" s="13" t="str">
        <f>IFERROR(IF(SUMIFS(tblDaily[Discharges],tblDaily[EntryDate],DATE(2026,12,16),tblDaily[WardCode],"FAE")=0,"",SUMIFS(tblDaily[Discharges],tblDaily[EntryDate],DATE(2026,12,16),tblDaily[WardCode],"FAE")),"")</f>
        <v/>
      </c>
      <c r="K463" s="13" t="str">
        <f>IFERROR(IF(SUMIFS(tblDaily[Deaths],tblDaily[EntryDate],DATE(2026,12,16),tblDaily[WardCode],"FAE")=0,"",SUMIFS(tblDaily[Deaths],tblDaily[EntryDate],DATE(2026,12,16),tblDaily[WardCode],"FAE")),"")</f>
        <v/>
      </c>
      <c r="L463" s="13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3" t="str">
        <f>IFERROR(IF(SUMIFS(tblDaily[TransfersIn],tblDaily[EntryDate],DATE(2026,12,16),tblDaily[WardCode],"FAE")=0,"",SUMIFS(tblDaily[TransfersIn],tblDaily[EntryDate],DATE(2026,12,16),tblDaily[WardCode],"FAE")),"")</f>
        <v/>
      </c>
      <c r="N463" s="13" t="str">
        <f>IFERROR(IF(SUMIFS(tblDaily[TransfersOut],tblDaily[EntryDate],DATE(2026,12,16),tblDaily[WardCode],"FAE")=0,"",SUMIFS(tblDaily[TransfersOut],tblDaily[EntryDate],DATE(2026,12,16),tblDaily[WardCode],"FAE")),"")</f>
        <v/>
      </c>
      <c r="O463" s="13" t="str">
        <f>IFERROR(IF(SUMIFS(tblDaily[Remaining],tblDaily[EntryDate],DATE(2026,12,16),tblDaily[WardCode],"FAE")=0,"",SUMIFS(tblDaily[Remaining],tblDaily[EntryDate],DATE(2026,12,16),tblDaily[WardCode],"FAE")),"")</f>
        <v/>
      </c>
    </row>
    <row r="464" spans="1:15" x14ac:dyDescent="0.25">
      <c r="A464" s="13">
        <v>17</v>
      </c>
      <c r="B464" s="13" t="str">
        <f>IFERROR(IF(SUMIFS(tblDaily[Admissions],tblDaily[EntryDate],DATE(2026,12,17),tblDaily[WardCode],"MAE")=0,"",SUMIFS(tblDaily[Admissions],tblDaily[EntryDate],DATE(2026,12,17),tblDaily[WardCode],"MAE")),"")</f>
        <v/>
      </c>
      <c r="C464" s="13" t="str">
        <f>IFERROR(IF(SUMIFS(tblDaily[Discharges],tblDaily[EntryDate],DATE(2026,12,17),tblDaily[WardCode],"MAE")=0,"",SUMIFS(tblDaily[Discharges],tblDaily[EntryDate],DATE(2026,12,17),tblDaily[WardCode],"MAE")),"")</f>
        <v/>
      </c>
      <c r="D464" s="13" t="str">
        <f>IFERROR(IF(SUMIFS(tblDaily[Deaths],tblDaily[EntryDate],DATE(2026,12,17),tblDaily[WardCode],"MAE")=0,"",SUMIFS(tblDaily[Deaths],tblDaily[EntryDate],DATE(2026,12,17),tblDaily[WardCode],"MAE")),"")</f>
        <v/>
      </c>
      <c r="E464" s="13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3" t="str">
        <f>IFERROR(IF(SUMIFS(tblDaily[TransfersIn],tblDaily[EntryDate],DATE(2026,12,17),tblDaily[WardCode],"MAE")=0,"",SUMIFS(tblDaily[TransfersIn],tblDaily[EntryDate],DATE(2026,12,17),tblDaily[WardCode],"MAE")),"")</f>
        <v/>
      </c>
      <c r="G464" s="13" t="str">
        <f>IFERROR(IF(SUMIFS(tblDaily[TransfersOut],tblDaily[EntryDate],DATE(2026,12,17),tblDaily[WardCode],"MAE")=0,"",SUMIFS(tblDaily[TransfersOut],tblDaily[EntryDate],DATE(2026,12,17),tblDaily[WardCode],"MAE")),"")</f>
        <v/>
      </c>
      <c r="H464" s="13" t="str">
        <f>IFERROR(IF(SUMIFS(tblDaily[Remaining],tblDaily[EntryDate],DATE(2026,12,17),tblDaily[WardCode],"MAE")=0,"",SUMIFS(tblDaily[Remaining],tblDaily[EntryDate],DATE(2026,12,17),tblDaily[WardCode],"MAE")),"")</f>
        <v/>
      </c>
      <c r="I464" s="13" t="str">
        <f>IFERROR(IF(SUMIFS(tblDaily[Admissions],tblDaily[EntryDate],DATE(2026,12,17),tblDaily[WardCode],"FAE")=0,"",SUMIFS(tblDaily[Admissions],tblDaily[EntryDate],DATE(2026,12,17),tblDaily[WardCode],"FAE")),"")</f>
        <v/>
      </c>
      <c r="J464" s="13" t="str">
        <f>IFERROR(IF(SUMIFS(tblDaily[Discharges],tblDaily[EntryDate],DATE(2026,12,17),tblDaily[WardCode],"FAE")=0,"",SUMIFS(tblDaily[Discharges],tblDaily[EntryDate],DATE(2026,12,17),tblDaily[WardCode],"FAE")),"")</f>
        <v/>
      </c>
      <c r="K464" s="13" t="str">
        <f>IFERROR(IF(SUMIFS(tblDaily[Deaths],tblDaily[EntryDate],DATE(2026,12,17),tblDaily[WardCode],"FAE")=0,"",SUMIFS(tblDaily[Deaths],tblDaily[EntryDate],DATE(2026,12,17),tblDaily[WardCode],"FAE")),"")</f>
        <v/>
      </c>
      <c r="L464" s="13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3" t="str">
        <f>IFERROR(IF(SUMIFS(tblDaily[TransfersIn],tblDaily[EntryDate],DATE(2026,12,17),tblDaily[WardCode],"FAE")=0,"",SUMIFS(tblDaily[TransfersIn],tblDaily[EntryDate],DATE(2026,12,17),tblDaily[WardCode],"FAE")),"")</f>
        <v/>
      </c>
      <c r="N464" s="13" t="str">
        <f>IFERROR(IF(SUMIFS(tblDaily[TransfersOut],tblDaily[EntryDate],DATE(2026,12,17),tblDaily[WardCode],"FAE")=0,"",SUMIFS(tblDaily[TransfersOut],tblDaily[EntryDate],DATE(2026,12,17),tblDaily[WardCode],"FAE")),"")</f>
        <v/>
      </c>
      <c r="O464" s="13" t="str">
        <f>IFERROR(IF(SUMIFS(tblDaily[Remaining],tblDaily[EntryDate],DATE(2026,12,17),tblDaily[WardCode],"FAE")=0,"",SUMIFS(tblDaily[Remaining],tblDaily[EntryDate],DATE(2026,12,17),tblDaily[WardCode],"FAE")),"")</f>
        <v/>
      </c>
    </row>
    <row r="465" spans="1:15" x14ac:dyDescent="0.25">
      <c r="A465" s="13">
        <v>18</v>
      </c>
      <c r="B465" s="13" t="str">
        <f>IFERROR(IF(SUMIFS(tblDaily[Admissions],tblDaily[EntryDate],DATE(2026,12,18),tblDaily[WardCode],"MAE")=0,"",SUMIFS(tblDaily[Admissions],tblDaily[EntryDate],DATE(2026,12,18),tblDaily[WardCode],"MAE")),"")</f>
        <v/>
      </c>
      <c r="C465" s="13" t="str">
        <f>IFERROR(IF(SUMIFS(tblDaily[Discharges],tblDaily[EntryDate],DATE(2026,12,18),tblDaily[WardCode],"MAE")=0,"",SUMIFS(tblDaily[Discharges],tblDaily[EntryDate],DATE(2026,12,18),tblDaily[WardCode],"MAE")),"")</f>
        <v/>
      </c>
      <c r="D465" s="13" t="str">
        <f>IFERROR(IF(SUMIFS(tblDaily[Deaths],tblDaily[EntryDate],DATE(2026,12,18),tblDaily[WardCode],"MAE")=0,"",SUMIFS(tblDaily[Deaths],tblDaily[EntryDate],DATE(2026,12,18),tblDaily[WardCode],"MAE")),"")</f>
        <v/>
      </c>
      <c r="E465" s="13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3" t="str">
        <f>IFERROR(IF(SUMIFS(tblDaily[TransfersIn],tblDaily[EntryDate],DATE(2026,12,18),tblDaily[WardCode],"MAE")=0,"",SUMIFS(tblDaily[TransfersIn],tblDaily[EntryDate],DATE(2026,12,18),tblDaily[WardCode],"MAE")),"")</f>
        <v/>
      </c>
      <c r="G465" s="13" t="str">
        <f>IFERROR(IF(SUMIFS(tblDaily[TransfersOut],tblDaily[EntryDate],DATE(2026,12,18),tblDaily[WardCode],"MAE")=0,"",SUMIFS(tblDaily[TransfersOut],tblDaily[EntryDate],DATE(2026,12,18),tblDaily[WardCode],"MAE")),"")</f>
        <v/>
      </c>
      <c r="H465" s="13" t="str">
        <f>IFERROR(IF(SUMIFS(tblDaily[Remaining],tblDaily[EntryDate],DATE(2026,12,18),tblDaily[WardCode],"MAE")=0,"",SUMIFS(tblDaily[Remaining],tblDaily[EntryDate],DATE(2026,12,18),tblDaily[WardCode],"MAE")),"")</f>
        <v/>
      </c>
      <c r="I465" s="13" t="str">
        <f>IFERROR(IF(SUMIFS(tblDaily[Admissions],tblDaily[EntryDate],DATE(2026,12,18),tblDaily[WardCode],"FAE")=0,"",SUMIFS(tblDaily[Admissions],tblDaily[EntryDate],DATE(2026,12,18),tblDaily[WardCode],"FAE")),"")</f>
        <v/>
      </c>
      <c r="J465" s="13" t="str">
        <f>IFERROR(IF(SUMIFS(tblDaily[Discharges],tblDaily[EntryDate],DATE(2026,12,18),tblDaily[WardCode],"FAE")=0,"",SUMIFS(tblDaily[Discharges],tblDaily[EntryDate],DATE(2026,12,18),tblDaily[WardCode],"FAE")),"")</f>
        <v/>
      </c>
      <c r="K465" s="13" t="str">
        <f>IFERROR(IF(SUMIFS(tblDaily[Deaths],tblDaily[EntryDate],DATE(2026,12,18),tblDaily[WardCode],"FAE")=0,"",SUMIFS(tblDaily[Deaths],tblDaily[EntryDate],DATE(2026,12,18),tblDaily[WardCode],"FAE")),"")</f>
        <v/>
      </c>
      <c r="L465" s="13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3" t="str">
        <f>IFERROR(IF(SUMIFS(tblDaily[TransfersIn],tblDaily[EntryDate],DATE(2026,12,18),tblDaily[WardCode],"FAE")=0,"",SUMIFS(tblDaily[TransfersIn],tblDaily[EntryDate],DATE(2026,12,18),tblDaily[WardCode],"FAE")),"")</f>
        <v/>
      </c>
      <c r="N465" s="13" t="str">
        <f>IFERROR(IF(SUMIFS(tblDaily[TransfersOut],tblDaily[EntryDate],DATE(2026,12,18),tblDaily[WardCode],"FAE")=0,"",SUMIFS(tblDaily[TransfersOut],tblDaily[EntryDate],DATE(2026,12,18),tblDaily[WardCode],"FAE")),"")</f>
        <v/>
      </c>
      <c r="O465" s="13" t="str">
        <f>IFERROR(IF(SUMIFS(tblDaily[Remaining],tblDaily[EntryDate],DATE(2026,12,18),tblDaily[WardCode],"FAE")=0,"",SUMIFS(tblDaily[Remaining],tblDaily[EntryDate],DATE(2026,12,18),tblDaily[WardCode],"FAE")),"")</f>
        <v/>
      </c>
    </row>
    <row r="466" spans="1:15" x14ac:dyDescent="0.25">
      <c r="A466" s="13">
        <v>19</v>
      </c>
      <c r="B466" s="13" t="str">
        <f>IFERROR(IF(SUMIFS(tblDaily[Admissions],tblDaily[EntryDate],DATE(2026,12,19),tblDaily[WardCode],"MAE")=0,"",SUMIFS(tblDaily[Admissions],tblDaily[EntryDate],DATE(2026,12,19),tblDaily[WardCode],"MAE")),"")</f>
        <v/>
      </c>
      <c r="C466" s="13" t="str">
        <f>IFERROR(IF(SUMIFS(tblDaily[Discharges],tblDaily[EntryDate],DATE(2026,12,19),tblDaily[WardCode],"MAE")=0,"",SUMIFS(tblDaily[Discharges],tblDaily[EntryDate],DATE(2026,12,19),tblDaily[WardCode],"MAE")),"")</f>
        <v/>
      </c>
      <c r="D466" s="13" t="str">
        <f>IFERROR(IF(SUMIFS(tblDaily[Deaths],tblDaily[EntryDate],DATE(2026,12,19),tblDaily[WardCode],"MAE")=0,"",SUMIFS(tblDaily[Deaths],tblDaily[EntryDate],DATE(2026,12,19),tblDaily[WardCode],"MAE")),"")</f>
        <v/>
      </c>
      <c r="E466" s="13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3" t="str">
        <f>IFERROR(IF(SUMIFS(tblDaily[TransfersIn],tblDaily[EntryDate],DATE(2026,12,19),tblDaily[WardCode],"MAE")=0,"",SUMIFS(tblDaily[TransfersIn],tblDaily[EntryDate],DATE(2026,12,19),tblDaily[WardCode],"MAE")),"")</f>
        <v/>
      </c>
      <c r="G466" s="13" t="str">
        <f>IFERROR(IF(SUMIFS(tblDaily[TransfersOut],tblDaily[EntryDate],DATE(2026,12,19),tblDaily[WardCode],"MAE")=0,"",SUMIFS(tblDaily[TransfersOut],tblDaily[EntryDate],DATE(2026,12,19),tblDaily[WardCode],"MAE")),"")</f>
        <v/>
      </c>
      <c r="H466" s="13" t="str">
        <f>IFERROR(IF(SUMIFS(tblDaily[Remaining],tblDaily[EntryDate],DATE(2026,12,19),tblDaily[WardCode],"MAE")=0,"",SUMIFS(tblDaily[Remaining],tblDaily[EntryDate],DATE(2026,12,19),tblDaily[WardCode],"MAE")),"")</f>
        <v/>
      </c>
      <c r="I466" s="13" t="str">
        <f>IFERROR(IF(SUMIFS(tblDaily[Admissions],tblDaily[EntryDate],DATE(2026,12,19),tblDaily[WardCode],"FAE")=0,"",SUMIFS(tblDaily[Admissions],tblDaily[EntryDate],DATE(2026,12,19),tblDaily[WardCode],"FAE")),"")</f>
        <v/>
      </c>
      <c r="J466" s="13" t="str">
        <f>IFERROR(IF(SUMIFS(tblDaily[Discharges],tblDaily[EntryDate],DATE(2026,12,19),tblDaily[WardCode],"FAE")=0,"",SUMIFS(tblDaily[Discharges],tblDaily[EntryDate],DATE(2026,12,19),tblDaily[WardCode],"FAE")),"")</f>
        <v/>
      </c>
      <c r="K466" s="13" t="str">
        <f>IFERROR(IF(SUMIFS(tblDaily[Deaths],tblDaily[EntryDate],DATE(2026,12,19),tblDaily[WardCode],"FAE")=0,"",SUMIFS(tblDaily[Deaths],tblDaily[EntryDate],DATE(2026,12,19),tblDaily[WardCode],"FAE")),"")</f>
        <v/>
      </c>
      <c r="L466" s="13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3" t="str">
        <f>IFERROR(IF(SUMIFS(tblDaily[TransfersIn],tblDaily[EntryDate],DATE(2026,12,19),tblDaily[WardCode],"FAE")=0,"",SUMIFS(tblDaily[TransfersIn],tblDaily[EntryDate],DATE(2026,12,19),tblDaily[WardCode],"FAE")),"")</f>
        <v/>
      </c>
      <c r="N466" s="13" t="str">
        <f>IFERROR(IF(SUMIFS(tblDaily[TransfersOut],tblDaily[EntryDate],DATE(2026,12,19),tblDaily[WardCode],"FAE")=0,"",SUMIFS(tblDaily[TransfersOut],tblDaily[EntryDate],DATE(2026,12,19),tblDaily[WardCode],"FAE")),"")</f>
        <v/>
      </c>
      <c r="O466" s="13" t="str">
        <f>IFERROR(IF(SUMIFS(tblDaily[Remaining],tblDaily[EntryDate],DATE(2026,12,19),tblDaily[WardCode],"FAE")=0,"",SUMIFS(tblDaily[Remaining],tblDaily[EntryDate],DATE(2026,12,19),tblDaily[WardCode],"FAE")),"")</f>
        <v/>
      </c>
    </row>
    <row r="467" spans="1:15" x14ac:dyDescent="0.25">
      <c r="A467" s="13">
        <v>20</v>
      </c>
      <c r="B467" s="13" t="str">
        <f>IFERROR(IF(SUMIFS(tblDaily[Admissions],tblDaily[EntryDate],DATE(2026,12,20),tblDaily[WardCode],"MAE")=0,"",SUMIFS(tblDaily[Admissions],tblDaily[EntryDate],DATE(2026,12,20),tblDaily[WardCode],"MAE")),"")</f>
        <v/>
      </c>
      <c r="C467" s="13" t="str">
        <f>IFERROR(IF(SUMIFS(tblDaily[Discharges],tblDaily[EntryDate],DATE(2026,12,20),tblDaily[WardCode],"MAE")=0,"",SUMIFS(tblDaily[Discharges],tblDaily[EntryDate],DATE(2026,12,20),tblDaily[WardCode],"MAE")),"")</f>
        <v/>
      </c>
      <c r="D467" s="13" t="str">
        <f>IFERROR(IF(SUMIFS(tblDaily[Deaths],tblDaily[EntryDate],DATE(2026,12,20),tblDaily[WardCode],"MAE")=0,"",SUMIFS(tblDaily[Deaths],tblDaily[EntryDate],DATE(2026,12,20),tblDaily[WardCode],"MAE")),"")</f>
        <v/>
      </c>
      <c r="E467" s="13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3" t="str">
        <f>IFERROR(IF(SUMIFS(tblDaily[TransfersIn],tblDaily[EntryDate],DATE(2026,12,20),tblDaily[WardCode],"MAE")=0,"",SUMIFS(tblDaily[TransfersIn],tblDaily[EntryDate],DATE(2026,12,20),tblDaily[WardCode],"MAE")),"")</f>
        <v/>
      </c>
      <c r="G467" s="13" t="str">
        <f>IFERROR(IF(SUMIFS(tblDaily[TransfersOut],tblDaily[EntryDate],DATE(2026,12,20),tblDaily[WardCode],"MAE")=0,"",SUMIFS(tblDaily[TransfersOut],tblDaily[EntryDate],DATE(2026,12,20),tblDaily[WardCode],"MAE")),"")</f>
        <v/>
      </c>
      <c r="H467" s="13" t="str">
        <f>IFERROR(IF(SUMIFS(tblDaily[Remaining],tblDaily[EntryDate],DATE(2026,12,20),tblDaily[WardCode],"MAE")=0,"",SUMIFS(tblDaily[Remaining],tblDaily[EntryDate],DATE(2026,12,20),tblDaily[WardCode],"MAE")),"")</f>
        <v/>
      </c>
      <c r="I467" s="13" t="str">
        <f>IFERROR(IF(SUMIFS(tblDaily[Admissions],tblDaily[EntryDate],DATE(2026,12,20),tblDaily[WardCode],"FAE")=0,"",SUMIFS(tblDaily[Admissions],tblDaily[EntryDate],DATE(2026,12,20),tblDaily[WardCode],"FAE")),"")</f>
        <v/>
      </c>
      <c r="J467" s="13" t="str">
        <f>IFERROR(IF(SUMIFS(tblDaily[Discharges],tblDaily[EntryDate],DATE(2026,12,20),tblDaily[WardCode],"FAE")=0,"",SUMIFS(tblDaily[Discharges],tblDaily[EntryDate],DATE(2026,12,20),tblDaily[WardCode],"FAE")),"")</f>
        <v/>
      </c>
      <c r="K467" s="13" t="str">
        <f>IFERROR(IF(SUMIFS(tblDaily[Deaths],tblDaily[EntryDate],DATE(2026,12,20),tblDaily[WardCode],"FAE")=0,"",SUMIFS(tblDaily[Deaths],tblDaily[EntryDate],DATE(2026,12,20),tblDaily[WardCode],"FAE")),"")</f>
        <v/>
      </c>
      <c r="L467" s="13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3" t="str">
        <f>IFERROR(IF(SUMIFS(tblDaily[TransfersIn],tblDaily[EntryDate],DATE(2026,12,20),tblDaily[WardCode],"FAE")=0,"",SUMIFS(tblDaily[TransfersIn],tblDaily[EntryDate],DATE(2026,12,20),tblDaily[WardCode],"FAE")),"")</f>
        <v/>
      </c>
      <c r="N467" s="13" t="str">
        <f>IFERROR(IF(SUMIFS(tblDaily[TransfersOut],tblDaily[EntryDate],DATE(2026,12,20),tblDaily[WardCode],"FAE")=0,"",SUMIFS(tblDaily[TransfersOut],tblDaily[EntryDate],DATE(2026,12,20),tblDaily[WardCode],"FAE")),"")</f>
        <v/>
      </c>
      <c r="O467" s="13" t="str">
        <f>IFERROR(IF(SUMIFS(tblDaily[Remaining],tblDaily[EntryDate],DATE(2026,12,20),tblDaily[WardCode],"FAE")=0,"",SUMIFS(tblDaily[Remaining],tblDaily[EntryDate],DATE(2026,12,20),tblDaily[WardCode],"FAE")),"")</f>
        <v/>
      </c>
    </row>
    <row r="468" spans="1:15" x14ac:dyDescent="0.25">
      <c r="A468" s="13">
        <v>21</v>
      </c>
      <c r="B468" s="13" t="str">
        <f>IFERROR(IF(SUMIFS(tblDaily[Admissions],tblDaily[EntryDate],DATE(2026,12,21),tblDaily[WardCode],"MAE")=0,"",SUMIFS(tblDaily[Admissions],tblDaily[EntryDate],DATE(2026,12,21),tblDaily[WardCode],"MAE")),"")</f>
        <v/>
      </c>
      <c r="C468" s="13" t="str">
        <f>IFERROR(IF(SUMIFS(tblDaily[Discharges],tblDaily[EntryDate],DATE(2026,12,21),tblDaily[WardCode],"MAE")=0,"",SUMIFS(tblDaily[Discharges],tblDaily[EntryDate],DATE(2026,12,21),tblDaily[WardCode],"MAE")),"")</f>
        <v/>
      </c>
      <c r="D468" s="13" t="str">
        <f>IFERROR(IF(SUMIFS(tblDaily[Deaths],tblDaily[EntryDate],DATE(2026,12,21),tblDaily[WardCode],"MAE")=0,"",SUMIFS(tblDaily[Deaths],tblDaily[EntryDate],DATE(2026,12,21),tblDaily[WardCode],"MAE")),"")</f>
        <v/>
      </c>
      <c r="E468" s="13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3" t="str">
        <f>IFERROR(IF(SUMIFS(tblDaily[TransfersIn],tblDaily[EntryDate],DATE(2026,12,21),tblDaily[WardCode],"MAE")=0,"",SUMIFS(tblDaily[TransfersIn],tblDaily[EntryDate],DATE(2026,12,21),tblDaily[WardCode],"MAE")),"")</f>
        <v/>
      </c>
      <c r="G468" s="13" t="str">
        <f>IFERROR(IF(SUMIFS(tblDaily[TransfersOut],tblDaily[EntryDate],DATE(2026,12,21),tblDaily[WardCode],"MAE")=0,"",SUMIFS(tblDaily[TransfersOut],tblDaily[EntryDate],DATE(2026,12,21),tblDaily[WardCode],"MAE")),"")</f>
        <v/>
      </c>
      <c r="H468" s="13" t="str">
        <f>IFERROR(IF(SUMIFS(tblDaily[Remaining],tblDaily[EntryDate],DATE(2026,12,21),tblDaily[WardCode],"MAE")=0,"",SUMIFS(tblDaily[Remaining],tblDaily[EntryDate],DATE(2026,12,21),tblDaily[WardCode],"MAE")),"")</f>
        <v/>
      </c>
      <c r="I468" s="13" t="str">
        <f>IFERROR(IF(SUMIFS(tblDaily[Admissions],tblDaily[EntryDate],DATE(2026,12,21),tblDaily[WardCode],"FAE")=0,"",SUMIFS(tblDaily[Admissions],tblDaily[EntryDate],DATE(2026,12,21),tblDaily[WardCode],"FAE")),"")</f>
        <v/>
      </c>
      <c r="J468" s="13" t="str">
        <f>IFERROR(IF(SUMIFS(tblDaily[Discharges],tblDaily[EntryDate],DATE(2026,12,21),tblDaily[WardCode],"FAE")=0,"",SUMIFS(tblDaily[Discharges],tblDaily[EntryDate],DATE(2026,12,21),tblDaily[WardCode],"FAE")),"")</f>
        <v/>
      </c>
      <c r="K468" s="13" t="str">
        <f>IFERROR(IF(SUMIFS(tblDaily[Deaths],tblDaily[EntryDate],DATE(2026,12,21),tblDaily[WardCode],"FAE")=0,"",SUMIFS(tblDaily[Deaths],tblDaily[EntryDate],DATE(2026,12,21),tblDaily[WardCode],"FAE")),"")</f>
        <v/>
      </c>
      <c r="L468" s="13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3" t="str">
        <f>IFERROR(IF(SUMIFS(tblDaily[TransfersIn],tblDaily[EntryDate],DATE(2026,12,21),tblDaily[WardCode],"FAE")=0,"",SUMIFS(tblDaily[TransfersIn],tblDaily[EntryDate],DATE(2026,12,21),tblDaily[WardCode],"FAE")),"")</f>
        <v/>
      </c>
      <c r="N468" s="13" t="str">
        <f>IFERROR(IF(SUMIFS(tblDaily[TransfersOut],tblDaily[EntryDate],DATE(2026,12,21),tblDaily[WardCode],"FAE")=0,"",SUMIFS(tblDaily[TransfersOut],tblDaily[EntryDate],DATE(2026,12,21),tblDaily[WardCode],"FAE")),"")</f>
        <v/>
      </c>
      <c r="O468" s="13" t="str">
        <f>IFERROR(IF(SUMIFS(tblDaily[Remaining],tblDaily[EntryDate],DATE(2026,12,21),tblDaily[WardCode],"FAE")=0,"",SUMIFS(tblDaily[Remaining],tblDaily[EntryDate],DATE(2026,12,21),tblDaily[WardCode],"FAE")),"")</f>
        <v/>
      </c>
    </row>
    <row r="469" spans="1:15" x14ac:dyDescent="0.25">
      <c r="A469" s="13">
        <v>22</v>
      </c>
      <c r="B469" s="13" t="str">
        <f>IFERROR(IF(SUMIFS(tblDaily[Admissions],tblDaily[EntryDate],DATE(2026,12,22),tblDaily[WardCode],"MAE")=0,"",SUMIFS(tblDaily[Admissions],tblDaily[EntryDate],DATE(2026,12,22),tblDaily[WardCode],"MAE")),"")</f>
        <v/>
      </c>
      <c r="C469" s="13" t="str">
        <f>IFERROR(IF(SUMIFS(tblDaily[Discharges],tblDaily[EntryDate],DATE(2026,12,22),tblDaily[WardCode],"MAE")=0,"",SUMIFS(tblDaily[Discharges],tblDaily[EntryDate],DATE(2026,12,22),tblDaily[WardCode],"MAE")),"")</f>
        <v/>
      </c>
      <c r="D469" s="13" t="str">
        <f>IFERROR(IF(SUMIFS(tblDaily[Deaths],tblDaily[EntryDate],DATE(2026,12,22),tblDaily[WardCode],"MAE")=0,"",SUMIFS(tblDaily[Deaths],tblDaily[EntryDate],DATE(2026,12,22),tblDaily[WardCode],"MAE")),"")</f>
        <v/>
      </c>
      <c r="E469" s="13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3" t="str">
        <f>IFERROR(IF(SUMIFS(tblDaily[TransfersIn],tblDaily[EntryDate],DATE(2026,12,22),tblDaily[WardCode],"MAE")=0,"",SUMIFS(tblDaily[TransfersIn],tblDaily[EntryDate],DATE(2026,12,22),tblDaily[WardCode],"MAE")),"")</f>
        <v/>
      </c>
      <c r="G469" s="13" t="str">
        <f>IFERROR(IF(SUMIFS(tblDaily[TransfersOut],tblDaily[EntryDate],DATE(2026,12,22),tblDaily[WardCode],"MAE")=0,"",SUMIFS(tblDaily[TransfersOut],tblDaily[EntryDate],DATE(2026,12,22),tblDaily[WardCode],"MAE")),"")</f>
        <v/>
      </c>
      <c r="H469" s="13" t="str">
        <f>IFERROR(IF(SUMIFS(tblDaily[Remaining],tblDaily[EntryDate],DATE(2026,12,22),tblDaily[WardCode],"MAE")=0,"",SUMIFS(tblDaily[Remaining],tblDaily[EntryDate],DATE(2026,12,22),tblDaily[WardCode],"MAE")),"")</f>
        <v/>
      </c>
      <c r="I469" s="13" t="str">
        <f>IFERROR(IF(SUMIFS(tblDaily[Admissions],tblDaily[EntryDate],DATE(2026,12,22),tblDaily[WardCode],"FAE")=0,"",SUMIFS(tblDaily[Admissions],tblDaily[EntryDate],DATE(2026,12,22),tblDaily[WardCode],"FAE")),"")</f>
        <v/>
      </c>
      <c r="J469" s="13" t="str">
        <f>IFERROR(IF(SUMIFS(tblDaily[Discharges],tblDaily[EntryDate],DATE(2026,12,22),tblDaily[WardCode],"FAE")=0,"",SUMIFS(tblDaily[Discharges],tblDaily[EntryDate],DATE(2026,12,22),tblDaily[WardCode],"FAE")),"")</f>
        <v/>
      </c>
      <c r="K469" s="13" t="str">
        <f>IFERROR(IF(SUMIFS(tblDaily[Deaths],tblDaily[EntryDate],DATE(2026,12,22),tblDaily[WardCode],"FAE")=0,"",SUMIFS(tblDaily[Deaths],tblDaily[EntryDate],DATE(2026,12,22),tblDaily[WardCode],"FAE")),"")</f>
        <v/>
      </c>
      <c r="L469" s="13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3" t="str">
        <f>IFERROR(IF(SUMIFS(tblDaily[TransfersIn],tblDaily[EntryDate],DATE(2026,12,22),tblDaily[WardCode],"FAE")=0,"",SUMIFS(tblDaily[TransfersIn],tblDaily[EntryDate],DATE(2026,12,22),tblDaily[WardCode],"FAE")),"")</f>
        <v/>
      </c>
      <c r="N469" s="13" t="str">
        <f>IFERROR(IF(SUMIFS(tblDaily[TransfersOut],tblDaily[EntryDate],DATE(2026,12,22),tblDaily[WardCode],"FAE")=0,"",SUMIFS(tblDaily[TransfersOut],tblDaily[EntryDate],DATE(2026,12,22),tblDaily[WardCode],"FAE")),"")</f>
        <v/>
      </c>
      <c r="O469" s="13" t="str">
        <f>IFERROR(IF(SUMIFS(tblDaily[Remaining],tblDaily[EntryDate],DATE(2026,12,22),tblDaily[WardCode],"FAE")=0,"",SUMIFS(tblDaily[Remaining],tblDaily[EntryDate],DATE(2026,12,22),tblDaily[WardCode],"FAE")),"")</f>
        <v/>
      </c>
    </row>
    <row r="470" spans="1:15" x14ac:dyDescent="0.25">
      <c r="A470" s="13">
        <v>23</v>
      </c>
      <c r="B470" s="13" t="str">
        <f>IFERROR(IF(SUMIFS(tblDaily[Admissions],tblDaily[EntryDate],DATE(2026,12,23),tblDaily[WardCode],"MAE")=0,"",SUMIFS(tblDaily[Admissions],tblDaily[EntryDate],DATE(2026,12,23),tblDaily[WardCode],"MAE")),"")</f>
        <v/>
      </c>
      <c r="C470" s="13" t="str">
        <f>IFERROR(IF(SUMIFS(tblDaily[Discharges],tblDaily[EntryDate],DATE(2026,12,23),tblDaily[WardCode],"MAE")=0,"",SUMIFS(tblDaily[Discharges],tblDaily[EntryDate],DATE(2026,12,23),tblDaily[WardCode],"MAE")),"")</f>
        <v/>
      </c>
      <c r="D470" s="13" t="str">
        <f>IFERROR(IF(SUMIFS(tblDaily[Deaths],tblDaily[EntryDate],DATE(2026,12,23),tblDaily[WardCode],"MAE")=0,"",SUMIFS(tblDaily[Deaths],tblDaily[EntryDate],DATE(2026,12,23),tblDaily[WardCode],"MAE")),"")</f>
        <v/>
      </c>
      <c r="E470" s="13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3" t="str">
        <f>IFERROR(IF(SUMIFS(tblDaily[TransfersIn],tblDaily[EntryDate],DATE(2026,12,23),tblDaily[WardCode],"MAE")=0,"",SUMIFS(tblDaily[TransfersIn],tblDaily[EntryDate],DATE(2026,12,23),tblDaily[WardCode],"MAE")),"")</f>
        <v/>
      </c>
      <c r="G470" s="13" t="str">
        <f>IFERROR(IF(SUMIFS(tblDaily[TransfersOut],tblDaily[EntryDate],DATE(2026,12,23),tblDaily[WardCode],"MAE")=0,"",SUMIFS(tblDaily[TransfersOut],tblDaily[EntryDate],DATE(2026,12,23),tblDaily[WardCode],"MAE")),"")</f>
        <v/>
      </c>
      <c r="H470" s="13" t="str">
        <f>IFERROR(IF(SUMIFS(tblDaily[Remaining],tblDaily[EntryDate],DATE(2026,12,23),tblDaily[WardCode],"MAE")=0,"",SUMIFS(tblDaily[Remaining],tblDaily[EntryDate],DATE(2026,12,23),tblDaily[WardCode],"MAE")),"")</f>
        <v/>
      </c>
      <c r="I470" s="13" t="str">
        <f>IFERROR(IF(SUMIFS(tblDaily[Admissions],tblDaily[EntryDate],DATE(2026,12,23),tblDaily[WardCode],"FAE")=0,"",SUMIFS(tblDaily[Admissions],tblDaily[EntryDate],DATE(2026,12,23),tblDaily[WardCode],"FAE")),"")</f>
        <v/>
      </c>
      <c r="J470" s="13" t="str">
        <f>IFERROR(IF(SUMIFS(tblDaily[Discharges],tblDaily[EntryDate],DATE(2026,12,23),tblDaily[WardCode],"FAE")=0,"",SUMIFS(tblDaily[Discharges],tblDaily[EntryDate],DATE(2026,12,23),tblDaily[WardCode],"FAE")),"")</f>
        <v/>
      </c>
      <c r="K470" s="13" t="str">
        <f>IFERROR(IF(SUMIFS(tblDaily[Deaths],tblDaily[EntryDate],DATE(2026,12,23),tblDaily[WardCode],"FAE")=0,"",SUMIFS(tblDaily[Deaths],tblDaily[EntryDate],DATE(2026,12,23),tblDaily[WardCode],"FAE")),"")</f>
        <v/>
      </c>
      <c r="L470" s="13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3" t="str">
        <f>IFERROR(IF(SUMIFS(tblDaily[TransfersIn],tblDaily[EntryDate],DATE(2026,12,23),tblDaily[WardCode],"FAE")=0,"",SUMIFS(tblDaily[TransfersIn],tblDaily[EntryDate],DATE(2026,12,23),tblDaily[WardCode],"FAE")),"")</f>
        <v/>
      </c>
      <c r="N470" s="13" t="str">
        <f>IFERROR(IF(SUMIFS(tblDaily[TransfersOut],tblDaily[EntryDate],DATE(2026,12,23),tblDaily[WardCode],"FAE")=0,"",SUMIFS(tblDaily[TransfersOut],tblDaily[EntryDate],DATE(2026,12,23),tblDaily[WardCode],"FAE")),"")</f>
        <v/>
      </c>
      <c r="O470" s="13" t="str">
        <f>IFERROR(IF(SUMIFS(tblDaily[Remaining],tblDaily[EntryDate],DATE(2026,12,23),tblDaily[WardCode],"FAE")=0,"",SUMIFS(tblDaily[Remaining],tblDaily[EntryDate],DATE(2026,12,23),tblDaily[WardCode],"FAE")),"")</f>
        <v/>
      </c>
    </row>
    <row r="471" spans="1:15" x14ac:dyDescent="0.25">
      <c r="A471" s="13">
        <v>24</v>
      </c>
      <c r="B471" s="13" t="str">
        <f>IFERROR(IF(SUMIFS(tblDaily[Admissions],tblDaily[EntryDate],DATE(2026,12,24),tblDaily[WardCode],"MAE")=0,"",SUMIFS(tblDaily[Admissions],tblDaily[EntryDate],DATE(2026,12,24),tblDaily[WardCode],"MAE")),"")</f>
        <v/>
      </c>
      <c r="C471" s="13" t="str">
        <f>IFERROR(IF(SUMIFS(tblDaily[Discharges],tblDaily[EntryDate],DATE(2026,12,24),tblDaily[WardCode],"MAE")=0,"",SUMIFS(tblDaily[Discharges],tblDaily[EntryDate],DATE(2026,12,24),tblDaily[WardCode],"MAE")),"")</f>
        <v/>
      </c>
      <c r="D471" s="13" t="str">
        <f>IFERROR(IF(SUMIFS(tblDaily[Deaths],tblDaily[EntryDate],DATE(2026,12,24),tblDaily[WardCode],"MAE")=0,"",SUMIFS(tblDaily[Deaths],tblDaily[EntryDate],DATE(2026,12,24),tblDaily[WardCode],"MAE")),"")</f>
        <v/>
      </c>
      <c r="E471" s="13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3" t="str">
        <f>IFERROR(IF(SUMIFS(tblDaily[TransfersIn],tblDaily[EntryDate],DATE(2026,12,24),tblDaily[WardCode],"MAE")=0,"",SUMIFS(tblDaily[TransfersIn],tblDaily[EntryDate],DATE(2026,12,24),tblDaily[WardCode],"MAE")),"")</f>
        <v/>
      </c>
      <c r="G471" s="13" t="str">
        <f>IFERROR(IF(SUMIFS(tblDaily[TransfersOut],tblDaily[EntryDate],DATE(2026,12,24),tblDaily[WardCode],"MAE")=0,"",SUMIFS(tblDaily[TransfersOut],tblDaily[EntryDate],DATE(2026,12,24),tblDaily[WardCode],"MAE")),"")</f>
        <v/>
      </c>
      <c r="H471" s="13" t="str">
        <f>IFERROR(IF(SUMIFS(tblDaily[Remaining],tblDaily[EntryDate],DATE(2026,12,24),tblDaily[WardCode],"MAE")=0,"",SUMIFS(tblDaily[Remaining],tblDaily[EntryDate],DATE(2026,12,24),tblDaily[WardCode],"MAE")),"")</f>
        <v/>
      </c>
      <c r="I471" s="13" t="str">
        <f>IFERROR(IF(SUMIFS(tblDaily[Admissions],tblDaily[EntryDate],DATE(2026,12,24),tblDaily[WardCode],"FAE")=0,"",SUMIFS(tblDaily[Admissions],tblDaily[EntryDate],DATE(2026,12,24),tblDaily[WardCode],"FAE")),"")</f>
        <v/>
      </c>
      <c r="J471" s="13" t="str">
        <f>IFERROR(IF(SUMIFS(tblDaily[Discharges],tblDaily[EntryDate],DATE(2026,12,24),tblDaily[WardCode],"FAE")=0,"",SUMIFS(tblDaily[Discharges],tblDaily[EntryDate],DATE(2026,12,24),tblDaily[WardCode],"FAE")),"")</f>
        <v/>
      </c>
      <c r="K471" s="13" t="str">
        <f>IFERROR(IF(SUMIFS(tblDaily[Deaths],tblDaily[EntryDate],DATE(2026,12,24),tblDaily[WardCode],"FAE")=0,"",SUMIFS(tblDaily[Deaths],tblDaily[EntryDate],DATE(2026,12,24),tblDaily[WardCode],"FAE")),"")</f>
        <v/>
      </c>
      <c r="L471" s="13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3" t="str">
        <f>IFERROR(IF(SUMIFS(tblDaily[TransfersIn],tblDaily[EntryDate],DATE(2026,12,24),tblDaily[WardCode],"FAE")=0,"",SUMIFS(tblDaily[TransfersIn],tblDaily[EntryDate],DATE(2026,12,24),tblDaily[WardCode],"FAE")),"")</f>
        <v/>
      </c>
      <c r="N471" s="13" t="str">
        <f>IFERROR(IF(SUMIFS(tblDaily[TransfersOut],tblDaily[EntryDate],DATE(2026,12,24),tblDaily[WardCode],"FAE")=0,"",SUMIFS(tblDaily[TransfersOut],tblDaily[EntryDate],DATE(2026,12,24),tblDaily[WardCode],"FAE")),"")</f>
        <v/>
      </c>
      <c r="O471" s="13" t="str">
        <f>IFERROR(IF(SUMIFS(tblDaily[Remaining],tblDaily[EntryDate],DATE(2026,12,24),tblDaily[WardCode],"FAE")=0,"",SUMIFS(tblDaily[Remaining],tblDaily[EntryDate],DATE(2026,12,24),tblDaily[WardCode],"FAE")),"")</f>
        <v/>
      </c>
    </row>
    <row r="472" spans="1:15" x14ac:dyDescent="0.25">
      <c r="A472" s="13">
        <v>25</v>
      </c>
      <c r="B472" s="13" t="str">
        <f>IFERROR(IF(SUMIFS(tblDaily[Admissions],tblDaily[EntryDate],DATE(2026,12,25),tblDaily[WardCode],"MAE")=0,"",SUMIFS(tblDaily[Admissions],tblDaily[EntryDate],DATE(2026,12,25),tblDaily[WardCode],"MAE")),"")</f>
        <v/>
      </c>
      <c r="C472" s="13" t="str">
        <f>IFERROR(IF(SUMIFS(tblDaily[Discharges],tblDaily[EntryDate],DATE(2026,12,25),tblDaily[WardCode],"MAE")=0,"",SUMIFS(tblDaily[Discharges],tblDaily[EntryDate],DATE(2026,12,25),tblDaily[WardCode],"MAE")),"")</f>
        <v/>
      </c>
      <c r="D472" s="13" t="str">
        <f>IFERROR(IF(SUMIFS(tblDaily[Deaths],tblDaily[EntryDate],DATE(2026,12,25),tblDaily[WardCode],"MAE")=0,"",SUMIFS(tblDaily[Deaths],tblDaily[EntryDate],DATE(2026,12,25),tblDaily[WardCode],"MAE")),"")</f>
        <v/>
      </c>
      <c r="E472" s="13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3" t="str">
        <f>IFERROR(IF(SUMIFS(tblDaily[TransfersIn],tblDaily[EntryDate],DATE(2026,12,25),tblDaily[WardCode],"MAE")=0,"",SUMIFS(tblDaily[TransfersIn],tblDaily[EntryDate],DATE(2026,12,25),tblDaily[WardCode],"MAE")),"")</f>
        <v/>
      </c>
      <c r="G472" s="13" t="str">
        <f>IFERROR(IF(SUMIFS(tblDaily[TransfersOut],tblDaily[EntryDate],DATE(2026,12,25),tblDaily[WardCode],"MAE")=0,"",SUMIFS(tblDaily[TransfersOut],tblDaily[EntryDate],DATE(2026,12,25),tblDaily[WardCode],"MAE")),"")</f>
        <v/>
      </c>
      <c r="H472" s="13" t="str">
        <f>IFERROR(IF(SUMIFS(tblDaily[Remaining],tblDaily[EntryDate],DATE(2026,12,25),tblDaily[WardCode],"MAE")=0,"",SUMIFS(tblDaily[Remaining],tblDaily[EntryDate],DATE(2026,12,25),tblDaily[WardCode],"MAE")),"")</f>
        <v/>
      </c>
      <c r="I472" s="13" t="str">
        <f>IFERROR(IF(SUMIFS(tblDaily[Admissions],tblDaily[EntryDate],DATE(2026,12,25),tblDaily[WardCode],"FAE")=0,"",SUMIFS(tblDaily[Admissions],tblDaily[EntryDate],DATE(2026,12,25),tblDaily[WardCode],"FAE")),"")</f>
        <v/>
      </c>
      <c r="J472" s="13" t="str">
        <f>IFERROR(IF(SUMIFS(tblDaily[Discharges],tblDaily[EntryDate],DATE(2026,12,25),tblDaily[WardCode],"FAE")=0,"",SUMIFS(tblDaily[Discharges],tblDaily[EntryDate],DATE(2026,12,25),tblDaily[WardCode],"FAE")),"")</f>
        <v/>
      </c>
      <c r="K472" s="13" t="str">
        <f>IFERROR(IF(SUMIFS(tblDaily[Deaths],tblDaily[EntryDate],DATE(2026,12,25),tblDaily[WardCode],"FAE")=0,"",SUMIFS(tblDaily[Deaths],tblDaily[EntryDate],DATE(2026,12,25),tblDaily[WardCode],"FAE")),"")</f>
        <v/>
      </c>
      <c r="L472" s="13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3" t="str">
        <f>IFERROR(IF(SUMIFS(tblDaily[TransfersIn],tblDaily[EntryDate],DATE(2026,12,25),tblDaily[WardCode],"FAE")=0,"",SUMIFS(tblDaily[TransfersIn],tblDaily[EntryDate],DATE(2026,12,25),tblDaily[WardCode],"FAE")),"")</f>
        <v/>
      </c>
      <c r="N472" s="13" t="str">
        <f>IFERROR(IF(SUMIFS(tblDaily[TransfersOut],tblDaily[EntryDate],DATE(2026,12,25),tblDaily[WardCode],"FAE")=0,"",SUMIFS(tblDaily[TransfersOut],tblDaily[EntryDate],DATE(2026,12,25),tblDaily[WardCode],"FAE")),"")</f>
        <v/>
      </c>
      <c r="O472" s="13" t="str">
        <f>IFERROR(IF(SUMIFS(tblDaily[Remaining],tblDaily[EntryDate],DATE(2026,12,25),tblDaily[WardCode],"FAE")=0,"",SUMIFS(tblDaily[Remaining],tblDaily[EntryDate],DATE(2026,12,25),tblDaily[WardCode],"FAE")),"")</f>
        <v/>
      </c>
    </row>
    <row r="473" spans="1:15" x14ac:dyDescent="0.25">
      <c r="A473" s="13">
        <v>26</v>
      </c>
      <c r="B473" s="13" t="str">
        <f>IFERROR(IF(SUMIFS(tblDaily[Admissions],tblDaily[EntryDate],DATE(2026,12,26),tblDaily[WardCode],"MAE")=0,"",SUMIFS(tblDaily[Admissions],tblDaily[EntryDate],DATE(2026,12,26),tblDaily[WardCode],"MAE")),"")</f>
        <v/>
      </c>
      <c r="C473" s="13" t="str">
        <f>IFERROR(IF(SUMIFS(tblDaily[Discharges],tblDaily[EntryDate],DATE(2026,12,26),tblDaily[WardCode],"MAE")=0,"",SUMIFS(tblDaily[Discharges],tblDaily[EntryDate],DATE(2026,12,26),tblDaily[WardCode],"MAE")),"")</f>
        <v/>
      </c>
      <c r="D473" s="13" t="str">
        <f>IFERROR(IF(SUMIFS(tblDaily[Deaths],tblDaily[EntryDate],DATE(2026,12,26),tblDaily[WardCode],"MAE")=0,"",SUMIFS(tblDaily[Deaths],tblDaily[EntryDate],DATE(2026,12,26),tblDaily[WardCode],"MAE")),"")</f>
        <v/>
      </c>
      <c r="E473" s="13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3" t="str">
        <f>IFERROR(IF(SUMIFS(tblDaily[TransfersIn],tblDaily[EntryDate],DATE(2026,12,26),tblDaily[WardCode],"MAE")=0,"",SUMIFS(tblDaily[TransfersIn],tblDaily[EntryDate],DATE(2026,12,26),tblDaily[WardCode],"MAE")),"")</f>
        <v/>
      </c>
      <c r="G473" s="13" t="str">
        <f>IFERROR(IF(SUMIFS(tblDaily[TransfersOut],tblDaily[EntryDate],DATE(2026,12,26),tblDaily[WardCode],"MAE")=0,"",SUMIFS(tblDaily[TransfersOut],tblDaily[EntryDate],DATE(2026,12,26),tblDaily[WardCode],"MAE")),"")</f>
        <v/>
      </c>
      <c r="H473" s="13" t="str">
        <f>IFERROR(IF(SUMIFS(tblDaily[Remaining],tblDaily[EntryDate],DATE(2026,12,26),tblDaily[WardCode],"MAE")=0,"",SUMIFS(tblDaily[Remaining],tblDaily[EntryDate],DATE(2026,12,26),tblDaily[WardCode],"MAE")),"")</f>
        <v/>
      </c>
      <c r="I473" s="13" t="str">
        <f>IFERROR(IF(SUMIFS(tblDaily[Admissions],tblDaily[EntryDate],DATE(2026,12,26),tblDaily[WardCode],"FAE")=0,"",SUMIFS(tblDaily[Admissions],tblDaily[EntryDate],DATE(2026,12,26),tblDaily[WardCode],"FAE")),"")</f>
        <v/>
      </c>
      <c r="J473" s="13" t="str">
        <f>IFERROR(IF(SUMIFS(tblDaily[Discharges],tblDaily[EntryDate],DATE(2026,12,26),tblDaily[WardCode],"FAE")=0,"",SUMIFS(tblDaily[Discharges],tblDaily[EntryDate],DATE(2026,12,26),tblDaily[WardCode],"FAE")),"")</f>
        <v/>
      </c>
      <c r="K473" s="13" t="str">
        <f>IFERROR(IF(SUMIFS(tblDaily[Deaths],tblDaily[EntryDate],DATE(2026,12,26),tblDaily[WardCode],"FAE")=0,"",SUMIFS(tblDaily[Deaths],tblDaily[EntryDate],DATE(2026,12,26),tblDaily[WardCode],"FAE")),"")</f>
        <v/>
      </c>
      <c r="L473" s="13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3" t="str">
        <f>IFERROR(IF(SUMIFS(tblDaily[TransfersIn],tblDaily[EntryDate],DATE(2026,12,26),tblDaily[WardCode],"FAE")=0,"",SUMIFS(tblDaily[TransfersIn],tblDaily[EntryDate],DATE(2026,12,26),tblDaily[WardCode],"FAE")),"")</f>
        <v/>
      </c>
      <c r="N473" s="13" t="str">
        <f>IFERROR(IF(SUMIFS(tblDaily[TransfersOut],tblDaily[EntryDate],DATE(2026,12,26),tblDaily[WardCode],"FAE")=0,"",SUMIFS(tblDaily[TransfersOut],tblDaily[EntryDate],DATE(2026,12,26),tblDaily[WardCode],"FAE")),"")</f>
        <v/>
      </c>
      <c r="O473" s="13" t="str">
        <f>IFERROR(IF(SUMIFS(tblDaily[Remaining],tblDaily[EntryDate],DATE(2026,12,26),tblDaily[WardCode],"FAE")=0,"",SUMIFS(tblDaily[Remaining],tblDaily[EntryDate],DATE(2026,12,26),tblDaily[WardCode],"FAE")),"")</f>
        <v/>
      </c>
    </row>
    <row r="474" spans="1:15" x14ac:dyDescent="0.25">
      <c r="A474" s="13">
        <v>27</v>
      </c>
      <c r="B474" s="13" t="str">
        <f>IFERROR(IF(SUMIFS(tblDaily[Admissions],tblDaily[EntryDate],DATE(2026,12,27),tblDaily[WardCode],"MAE")=0,"",SUMIFS(tblDaily[Admissions],tblDaily[EntryDate],DATE(2026,12,27),tblDaily[WardCode],"MAE")),"")</f>
        <v/>
      </c>
      <c r="C474" s="13" t="str">
        <f>IFERROR(IF(SUMIFS(tblDaily[Discharges],tblDaily[EntryDate],DATE(2026,12,27),tblDaily[WardCode],"MAE")=0,"",SUMIFS(tblDaily[Discharges],tblDaily[EntryDate],DATE(2026,12,27),tblDaily[WardCode],"MAE")),"")</f>
        <v/>
      </c>
      <c r="D474" s="13" t="str">
        <f>IFERROR(IF(SUMIFS(tblDaily[Deaths],tblDaily[EntryDate],DATE(2026,12,27),tblDaily[WardCode],"MAE")=0,"",SUMIFS(tblDaily[Deaths],tblDaily[EntryDate],DATE(2026,12,27),tblDaily[WardCode],"MAE")),"")</f>
        <v/>
      </c>
      <c r="E474" s="13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3" t="str">
        <f>IFERROR(IF(SUMIFS(tblDaily[TransfersIn],tblDaily[EntryDate],DATE(2026,12,27),tblDaily[WardCode],"MAE")=0,"",SUMIFS(tblDaily[TransfersIn],tblDaily[EntryDate],DATE(2026,12,27),tblDaily[WardCode],"MAE")),"")</f>
        <v/>
      </c>
      <c r="G474" s="13" t="str">
        <f>IFERROR(IF(SUMIFS(tblDaily[TransfersOut],tblDaily[EntryDate],DATE(2026,12,27),tblDaily[WardCode],"MAE")=0,"",SUMIFS(tblDaily[TransfersOut],tblDaily[EntryDate],DATE(2026,12,27),tblDaily[WardCode],"MAE")),"")</f>
        <v/>
      </c>
      <c r="H474" s="13" t="str">
        <f>IFERROR(IF(SUMIFS(tblDaily[Remaining],tblDaily[EntryDate],DATE(2026,12,27),tblDaily[WardCode],"MAE")=0,"",SUMIFS(tblDaily[Remaining],tblDaily[EntryDate],DATE(2026,12,27),tblDaily[WardCode],"MAE")),"")</f>
        <v/>
      </c>
      <c r="I474" s="13" t="str">
        <f>IFERROR(IF(SUMIFS(tblDaily[Admissions],tblDaily[EntryDate],DATE(2026,12,27),tblDaily[WardCode],"FAE")=0,"",SUMIFS(tblDaily[Admissions],tblDaily[EntryDate],DATE(2026,12,27),tblDaily[WardCode],"FAE")),"")</f>
        <v/>
      </c>
      <c r="J474" s="13" t="str">
        <f>IFERROR(IF(SUMIFS(tblDaily[Discharges],tblDaily[EntryDate],DATE(2026,12,27),tblDaily[WardCode],"FAE")=0,"",SUMIFS(tblDaily[Discharges],tblDaily[EntryDate],DATE(2026,12,27),tblDaily[WardCode],"FAE")),"")</f>
        <v/>
      </c>
      <c r="K474" s="13" t="str">
        <f>IFERROR(IF(SUMIFS(tblDaily[Deaths],tblDaily[EntryDate],DATE(2026,12,27),tblDaily[WardCode],"FAE")=0,"",SUMIFS(tblDaily[Deaths],tblDaily[EntryDate],DATE(2026,12,27),tblDaily[WardCode],"FAE")),"")</f>
        <v/>
      </c>
      <c r="L474" s="13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3" t="str">
        <f>IFERROR(IF(SUMIFS(tblDaily[TransfersIn],tblDaily[EntryDate],DATE(2026,12,27),tblDaily[WardCode],"FAE")=0,"",SUMIFS(tblDaily[TransfersIn],tblDaily[EntryDate],DATE(2026,12,27),tblDaily[WardCode],"FAE")),"")</f>
        <v/>
      </c>
      <c r="N474" s="13" t="str">
        <f>IFERROR(IF(SUMIFS(tblDaily[TransfersOut],tblDaily[EntryDate],DATE(2026,12,27),tblDaily[WardCode],"FAE")=0,"",SUMIFS(tblDaily[TransfersOut],tblDaily[EntryDate],DATE(2026,12,27),tblDaily[WardCode],"FAE")),"")</f>
        <v/>
      </c>
      <c r="O474" s="13" t="str">
        <f>IFERROR(IF(SUMIFS(tblDaily[Remaining],tblDaily[EntryDate],DATE(2026,12,27),tblDaily[WardCode],"FAE")=0,"",SUMIFS(tblDaily[Remaining],tblDaily[EntryDate],DATE(2026,12,27),tblDaily[WardCode],"FAE")),"")</f>
        <v/>
      </c>
    </row>
    <row r="475" spans="1:15" x14ac:dyDescent="0.25">
      <c r="A475" s="13">
        <v>28</v>
      </c>
      <c r="B475" s="13" t="str">
        <f>IFERROR(IF(SUMIFS(tblDaily[Admissions],tblDaily[EntryDate],DATE(2026,12,28),tblDaily[WardCode],"MAE")=0,"",SUMIFS(tblDaily[Admissions],tblDaily[EntryDate],DATE(2026,12,28),tblDaily[WardCode],"MAE")),"")</f>
        <v/>
      </c>
      <c r="C475" s="13" t="str">
        <f>IFERROR(IF(SUMIFS(tblDaily[Discharges],tblDaily[EntryDate],DATE(2026,12,28),tblDaily[WardCode],"MAE")=0,"",SUMIFS(tblDaily[Discharges],tblDaily[EntryDate],DATE(2026,12,28),tblDaily[WardCode],"MAE")),"")</f>
        <v/>
      </c>
      <c r="D475" s="13" t="str">
        <f>IFERROR(IF(SUMIFS(tblDaily[Deaths],tblDaily[EntryDate],DATE(2026,12,28),tblDaily[WardCode],"MAE")=0,"",SUMIFS(tblDaily[Deaths],tblDaily[EntryDate],DATE(2026,12,28),tblDaily[WardCode],"MAE")),"")</f>
        <v/>
      </c>
      <c r="E475" s="13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3" t="str">
        <f>IFERROR(IF(SUMIFS(tblDaily[TransfersIn],tblDaily[EntryDate],DATE(2026,12,28),tblDaily[WardCode],"MAE")=0,"",SUMIFS(tblDaily[TransfersIn],tblDaily[EntryDate],DATE(2026,12,28),tblDaily[WardCode],"MAE")),"")</f>
        <v/>
      </c>
      <c r="G475" s="13" t="str">
        <f>IFERROR(IF(SUMIFS(tblDaily[TransfersOut],tblDaily[EntryDate],DATE(2026,12,28),tblDaily[WardCode],"MAE")=0,"",SUMIFS(tblDaily[TransfersOut],tblDaily[EntryDate],DATE(2026,12,28),tblDaily[WardCode],"MAE")),"")</f>
        <v/>
      </c>
      <c r="H475" s="13" t="str">
        <f>IFERROR(IF(SUMIFS(tblDaily[Remaining],tblDaily[EntryDate],DATE(2026,12,28),tblDaily[WardCode],"MAE")=0,"",SUMIFS(tblDaily[Remaining],tblDaily[EntryDate],DATE(2026,12,28),tblDaily[WardCode],"MAE")),"")</f>
        <v/>
      </c>
      <c r="I475" s="13" t="str">
        <f>IFERROR(IF(SUMIFS(tblDaily[Admissions],tblDaily[EntryDate],DATE(2026,12,28),tblDaily[WardCode],"FAE")=0,"",SUMIFS(tblDaily[Admissions],tblDaily[EntryDate],DATE(2026,12,28),tblDaily[WardCode],"FAE")),"")</f>
        <v/>
      </c>
      <c r="J475" s="13" t="str">
        <f>IFERROR(IF(SUMIFS(tblDaily[Discharges],tblDaily[EntryDate],DATE(2026,12,28),tblDaily[WardCode],"FAE")=0,"",SUMIFS(tblDaily[Discharges],tblDaily[EntryDate],DATE(2026,12,28),tblDaily[WardCode],"FAE")),"")</f>
        <v/>
      </c>
      <c r="K475" s="13" t="str">
        <f>IFERROR(IF(SUMIFS(tblDaily[Deaths],tblDaily[EntryDate],DATE(2026,12,28),tblDaily[WardCode],"FAE")=0,"",SUMIFS(tblDaily[Deaths],tblDaily[EntryDate],DATE(2026,12,28),tblDaily[WardCode],"FAE")),"")</f>
        <v/>
      </c>
      <c r="L475" s="13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3" t="str">
        <f>IFERROR(IF(SUMIFS(tblDaily[TransfersIn],tblDaily[EntryDate],DATE(2026,12,28),tblDaily[WardCode],"FAE")=0,"",SUMIFS(tblDaily[TransfersIn],tblDaily[EntryDate],DATE(2026,12,28),tblDaily[WardCode],"FAE")),"")</f>
        <v/>
      </c>
      <c r="N475" s="13" t="str">
        <f>IFERROR(IF(SUMIFS(tblDaily[TransfersOut],tblDaily[EntryDate],DATE(2026,12,28),tblDaily[WardCode],"FAE")=0,"",SUMIFS(tblDaily[TransfersOut],tblDaily[EntryDate],DATE(2026,12,28),tblDaily[WardCode],"FAE")),"")</f>
        <v/>
      </c>
      <c r="O475" s="13" t="str">
        <f>IFERROR(IF(SUMIFS(tblDaily[Remaining],tblDaily[EntryDate],DATE(2026,12,28),tblDaily[WardCode],"FAE")=0,"",SUMIFS(tblDaily[Remaining],tblDaily[EntryDate],DATE(2026,12,28),tblDaily[WardCode],"FAE")),"")</f>
        <v/>
      </c>
    </row>
    <row r="476" spans="1:15" x14ac:dyDescent="0.25">
      <c r="A476" s="13">
        <v>29</v>
      </c>
      <c r="B476" s="13" t="str">
        <f>IFERROR(IF(SUMIFS(tblDaily[Admissions],tblDaily[EntryDate],DATE(2026,12,29),tblDaily[WardCode],"MAE")=0,"",SUMIFS(tblDaily[Admissions],tblDaily[EntryDate],DATE(2026,12,29),tblDaily[WardCode],"MAE")),"")</f>
        <v/>
      </c>
      <c r="C476" s="13" t="str">
        <f>IFERROR(IF(SUMIFS(tblDaily[Discharges],tblDaily[EntryDate],DATE(2026,12,29),tblDaily[WardCode],"MAE")=0,"",SUMIFS(tblDaily[Discharges],tblDaily[EntryDate],DATE(2026,12,29),tblDaily[WardCode],"MAE")),"")</f>
        <v/>
      </c>
      <c r="D476" s="13" t="str">
        <f>IFERROR(IF(SUMIFS(tblDaily[Deaths],tblDaily[EntryDate],DATE(2026,12,29),tblDaily[WardCode],"MAE")=0,"",SUMIFS(tblDaily[Deaths],tblDaily[EntryDate],DATE(2026,12,29),tblDaily[WardCode],"MAE")),"")</f>
        <v/>
      </c>
      <c r="E476" s="13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3" t="str">
        <f>IFERROR(IF(SUMIFS(tblDaily[TransfersIn],tblDaily[EntryDate],DATE(2026,12,29),tblDaily[WardCode],"MAE")=0,"",SUMIFS(tblDaily[TransfersIn],tblDaily[EntryDate],DATE(2026,12,29),tblDaily[WardCode],"MAE")),"")</f>
        <v/>
      </c>
      <c r="G476" s="13" t="str">
        <f>IFERROR(IF(SUMIFS(tblDaily[TransfersOut],tblDaily[EntryDate],DATE(2026,12,29),tblDaily[WardCode],"MAE")=0,"",SUMIFS(tblDaily[TransfersOut],tblDaily[EntryDate],DATE(2026,12,29),tblDaily[WardCode],"MAE")),"")</f>
        <v/>
      </c>
      <c r="H476" s="13" t="str">
        <f>IFERROR(IF(SUMIFS(tblDaily[Remaining],tblDaily[EntryDate],DATE(2026,12,29),tblDaily[WardCode],"MAE")=0,"",SUMIFS(tblDaily[Remaining],tblDaily[EntryDate],DATE(2026,12,29),tblDaily[WardCode],"MAE")),"")</f>
        <v/>
      </c>
      <c r="I476" s="13" t="str">
        <f>IFERROR(IF(SUMIFS(tblDaily[Admissions],tblDaily[EntryDate],DATE(2026,12,29),tblDaily[WardCode],"FAE")=0,"",SUMIFS(tblDaily[Admissions],tblDaily[EntryDate],DATE(2026,12,29),tblDaily[WardCode],"FAE")),"")</f>
        <v/>
      </c>
      <c r="J476" s="13" t="str">
        <f>IFERROR(IF(SUMIFS(tblDaily[Discharges],tblDaily[EntryDate],DATE(2026,12,29),tblDaily[WardCode],"FAE")=0,"",SUMIFS(tblDaily[Discharges],tblDaily[EntryDate],DATE(2026,12,29),tblDaily[WardCode],"FAE")),"")</f>
        <v/>
      </c>
      <c r="K476" s="13" t="str">
        <f>IFERROR(IF(SUMIFS(tblDaily[Deaths],tblDaily[EntryDate],DATE(2026,12,29),tblDaily[WardCode],"FAE")=0,"",SUMIFS(tblDaily[Deaths],tblDaily[EntryDate],DATE(2026,12,29),tblDaily[WardCode],"FAE")),"")</f>
        <v/>
      </c>
      <c r="L476" s="13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3" t="str">
        <f>IFERROR(IF(SUMIFS(tblDaily[TransfersIn],tblDaily[EntryDate],DATE(2026,12,29),tblDaily[WardCode],"FAE")=0,"",SUMIFS(tblDaily[TransfersIn],tblDaily[EntryDate],DATE(2026,12,29),tblDaily[WardCode],"FAE")),"")</f>
        <v/>
      </c>
      <c r="N476" s="13" t="str">
        <f>IFERROR(IF(SUMIFS(tblDaily[TransfersOut],tblDaily[EntryDate],DATE(2026,12,29),tblDaily[WardCode],"FAE")=0,"",SUMIFS(tblDaily[TransfersOut],tblDaily[EntryDate],DATE(2026,12,29),tblDaily[WardCode],"FAE")),"")</f>
        <v/>
      </c>
      <c r="O476" s="13" t="str">
        <f>IFERROR(IF(SUMIFS(tblDaily[Remaining],tblDaily[EntryDate],DATE(2026,12,29),tblDaily[WardCode],"FAE")=0,"",SUMIFS(tblDaily[Remaining],tblDaily[EntryDate],DATE(2026,12,29),tblDaily[WardCode],"FAE")),"")</f>
        <v/>
      </c>
    </row>
    <row r="477" spans="1:15" x14ac:dyDescent="0.25">
      <c r="A477" s="13">
        <v>30</v>
      </c>
      <c r="B477" s="13" t="str">
        <f>IFERROR(IF(SUMIFS(tblDaily[Admissions],tblDaily[EntryDate],DATE(2026,12,30),tblDaily[WardCode],"MAE")=0,"",SUMIFS(tblDaily[Admissions],tblDaily[EntryDate],DATE(2026,12,30),tblDaily[WardCode],"MAE")),"")</f>
        <v/>
      </c>
      <c r="C477" s="13" t="str">
        <f>IFERROR(IF(SUMIFS(tblDaily[Discharges],tblDaily[EntryDate],DATE(2026,12,30),tblDaily[WardCode],"MAE")=0,"",SUMIFS(tblDaily[Discharges],tblDaily[EntryDate],DATE(2026,12,30),tblDaily[WardCode],"MAE")),"")</f>
        <v/>
      </c>
      <c r="D477" s="13" t="str">
        <f>IFERROR(IF(SUMIFS(tblDaily[Deaths],tblDaily[EntryDate],DATE(2026,12,30),tblDaily[WardCode],"MAE")=0,"",SUMIFS(tblDaily[Deaths],tblDaily[EntryDate],DATE(2026,12,30),tblDaily[WardCode],"MAE")),"")</f>
        <v/>
      </c>
      <c r="E477" s="13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3" t="str">
        <f>IFERROR(IF(SUMIFS(tblDaily[TransfersIn],tblDaily[EntryDate],DATE(2026,12,30),tblDaily[WardCode],"MAE")=0,"",SUMIFS(tblDaily[TransfersIn],tblDaily[EntryDate],DATE(2026,12,30),tblDaily[WardCode],"MAE")),"")</f>
        <v/>
      </c>
      <c r="G477" s="13" t="str">
        <f>IFERROR(IF(SUMIFS(tblDaily[TransfersOut],tblDaily[EntryDate],DATE(2026,12,30),tblDaily[WardCode],"MAE")=0,"",SUMIFS(tblDaily[TransfersOut],tblDaily[EntryDate],DATE(2026,12,30),tblDaily[WardCode],"MAE")),"")</f>
        <v/>
      </c>
      <c r="H477" s="13" t="str">
        <f>IFERROR(IF(SUMIFS(tblDaily[Remaining],tblDaily[EntryDate],DATE(2026,12,30),tblDaily[WardCode],"MAE")=0,"",SUMIFS(tblDaily[Remaining],tblDaily[EntryDate],DATE(2026,12,30),tblDaily[WardCode],"MAE")),"")</f>
        <v/>
      </c>
      <c r="I477" s="13" t="str">
        <f>IFERROR(IF(SUMIFS(tblDaily[Admissions],tblDaily[EntryDate],DATE(2026,12,30),tblDaily[WardCode],"FAE")=0,"",SUMIFS(tblDaily[Admissions],tblDaily[EntryDate],DATE(2026,12,30),tblDaily[WardCode],"FAE")),"")</f>
        <v/>
      </c>
      <c r="J477" s="13" t="str">
        <f>IFERROR(IF(SUMIFS(tblDaily[Discharges],tblDaily[EntryDate],DATE(2026,12,30),tblDaily[WardCode],"FAE")=0,"",SUMIFS(tblDaily[Discharges],tblDaily[EntryDate],DATE(2026,12,30),tblDaily[WardCode],"FAE")),"")</f>
        <v/>
      </c>
      <c r="K477" s="13" t="str">
        <f>IFERROR(IF(SUMIFS(tblDaily[Deaths],tblDaily[EntryDate],DATE(2026,12,30),tblDaily[WardCode],"FAE")=0,"",SUMIFS(tblDaily[Deaths],tblDaily[EntryDate],DATE(2026,12,30),tblDaily[WardCode],"FAE")),"")</f>
        <v/>
      </c>
      <c r="L477" s="13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3" t="str">
        <f>IFERROR(IF(SUMIFS(tblDaily[TransfersIn],tblDaily[EntryDate],DATE(2026,12,30),tblDaily[WardCode],"FAE")=0,"",SUMIFS(tblDaily[TransfersIn],tblDaily[EntryDate],DATE(2026,12,30),tblDaily[WardCode],"FAE")),"")</f>
        <v/>
      </c>
      <c r="N477" s="13" t="str">
        <f>IFERROR(IF(SUMIFS(tblDaily[TransfersOut],tblDaily[EntryDate],DATE(2026,12,30),tblDaily[WardCode],"FAE")=0,"",SUMIFS(tblDaily[TransfersOut],tblDaily[EntryDate],DATE(2026,12,30),tblDaily[WardCode],"FAE")),"")</f>
        <v/>
      </c>
      <c r="O477" s="13" t="str">
        <f>IFERROR(IF(SUMIFS(tblDaily[Remaining],tblDaily[EntryDate],DATE(2026,12,30),tblDaily[WardCode],"FAE")=0,"",SUMIFS(tblDaily[Remaining],tblDaily[EntryDate],DATE(2026,12,30),tblDaily[WardCode],"FAE")),"")</f>
        <v/>
      </c>
    </row>
    <row r="478" spans="1:15" x14ac:dyDescent="0.25">
      <c r="A478" s="13">
        <v>31</v>
      </c>
      <c r="B478" s="13" t="str">
        <f>IFERROR(IF(SUMIFS(tblDaily[Admissions],tblDaily[EntryDate],DATE(2026,12,31),tblDaily[WardCode],"MAE")=0,"",SUMIFS(tblDaily[Admissions],tblDaily[EntryDate],DATE(2026,12,31),tblDaily[WardCode],"MAE")),"")</f>
        <v/>
      </c>
      <c r="C478" s="13" t="str">
        <f>IFERROR(IF(SUMIFS(tblDaily[Discharges],tblDaily[EntryDate],DATE(2026,12,31),tblDaily[WardCode],"MAE")=0,"",SUMIFS(tblDaily[Discharges],tblDaily[EntryDate],DATE(2026,12,31),tblDaily[WardCode],"MAE")),"")</f>
        <v/>
      </c>
      <c r="D478" s="13" t="str">
        <f>IFERROR(IF(SUMIFS(tblDaily[Deaths],tblDaily[EntryDate],DATE(2026,12,31),tblDaily[WardCode],"MAE")=0,"",SUMIFS(tblDaily[Deaths],tblDaily[EntryDate],DATE(2026,12,31),tblDaily[WardCode],"MAE")),"")</f>
        <v/>
      </c>
      <c r="E478" s="13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3" t="str">
        <f>IFERROR(IF(SUMIFS(tblDaily[TransfersIn],tblDaily[EntryDate],DATE(2026,12,31),tblDaily[WardCode],"MAE")=0,"",SUMIFS(tblDaily[TransfersIn],tblDaily[EntryDate],DATE(2026,12,31),tblDaily[WardCode],"MAE")),"")</f>
        <v/>
      </c>
      <c r="G478" s="13" t="str">
        <f>IFERROR(IF(SUMIFS(tblDaily[TransfersOut],tblDaily[EntryDate],DATE(2026,12,31),tblDaily[WardCode],"MAE")=0,"",SUMIFS(tblDaily[TransfersOut],tblDaily[EntryDate],DATE(2026,12,31),tblDaily[WardCode],"MAE")),"")</f>
        <v/>
      </c>
      <c r="H478" s="13" t="str">
        <f>IFERROR(IF(SUMIFS(tblDaily[Remaining],tblDaily[EntryDate],DATE(2026,12,31),tblDaily[WardCode],"MAE")=0,"",SUMIFS(tblDaily[Remaining],tblDaily[EntryDate],DATE(2026,12,31),tblDaily[WardCode],"MAE")),"")</f>
        <v/>
      </c>
      <c r="I478" s="13" t="str">
        <f>IFERROR(IF(SUMIFS(tblDaily[Admissions],tblDaily[EntryDate],DATE(2026,12,31),tblDaily[WardCode],"FAE")=0,"",SUMIFS(tblDaily[Admissions],tblDaily[EntryDate],DATE(2026,12,31),tblDaily[WardCode],"FAE")),"")</f>
        <v/>
      </c>
      <c r="J478" s="13" t="str">
        <f>IFERROR(IF(SUMIFS(tblDaily[Discharges],tblDaily[EntryDate],DATE(2026,12,31),tblDaily[WardCode],"FAE")=0,"",SUMIFS(tblDaily[Discharges],tblDaily[EntryDate],DATE(2026,12,31),tblDaily[WardCode],"FAE")),"")</f>
        <v/>
      </c>
      <c r="K478" s="13" t="str">
        <f>IFERROR(IF(SUMIFS(tblDaily[Deaths],tblDaily[EntryDate],DATE(2026,12,31),tblDaily[WardCode],"FAE")=0,"",SUMIFS(tblDaily[Deaths],tblDaily[EntryDate],DATE(2026,12,31),tblDaily[WardCode],"FAE")),"")</f>
        <v/>
      </c>
      <c r="L478" s="13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3" t="str">
        <f>IFERROR(IF(SUMIFS(tblDaily[TransfersIn],tblDaily[EntryDate],DATE(2026,12,31),tblDaily[WardCode],"FAE")=0,"",SUMIFS(tblDaily[TransfersIn],tblDaily[EntryDate],DATE(2026,12,31),tblDaily[WardCode],"FAE")),"")</f>
        <v/>
      </c>
      <c r="N478" s="13" t="str">
        <f>IFERROR(IF(SUMIFS(tblDaily[TransfersOut],tblDaily[EntryDate],DATE(2026,12,31),tblDaily[WardCode],"FAE")=0,"",SUMIFS(tblDaily[TransfersOut],tblDaily[EntryDate],DATE(2026,12,31),tblDaily[WardCode],"FAE")),"")</f>
        <v/>
      </c>
      <c r="O478" s="13" t="str">
        <f>IFERROR(IF(SUMIFS(tblDaily[Remaining],tblDaily[EntryDate],DATE(2026,12,31),tblDaily[WardCode],"FAE")=0,"",SUMIFS(tblDaily[Remaining],tblDaily[EntryDate],DATE(2026,12,31),tblDaily[WardCode],"FAE")),"")</f>
        <v/>
      </c>
    </row>
    <row r="479" spans="1:15" x14ac:dyDescent="0.25">
      <c r="A479" s="9" t="s">
        <v>110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</row>
  </sheetData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>
      <selection sqref="A1:P1"/>
    </sheetView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1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ht="15.75" x14ac:dyDescent="0.25">
      <c r="A2" s="34" t="s">
        <v>128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1:16" ht="38.25" x14ac:dyDescent="0.25">
      <c r="A3" s="8" t="s">
        <v>129</v>
      </c>
      <c r="B3" s="8" t="s">
        <v>130</v>
      </c>
      <c r="C3" s="8" t="s">
        <v>131</v>
      </c>
      <c r="D3" s="8" t="s">
        <v>72</v>
      </c>
      <c r="E3" s="8" t="s">
        <v>73</v>
      </c>
      <c r="F3" s="8" t="s">
        <v>74</v>
      </c>
      <c r="G3" s="8" t="s">
        <v>106</v>
      </c>
      <c r="H3" s="8" t="s">
        <v>132</v>
      </c>
      <c r="I3" s="8" t="s">
        <v>133</v>
      </c>
      <c r="J3" s="8" t="s">
        <v>134</v>
      </c>
      <c r="K3" s="8" t="s">
        <v>135</v>
      </c>
      <c r="L3" s="8" t="s">
        <v>136</v>
      </c>
      <c r="M3" s="8" t="s">
        <v>137</v>
      </c>
      <c r="N3" s="8" t="s">
        <v>138</v>
      </c>
      <c r="O3" s="8" t="s">
        <v>139</v>
      </c>
      <c r="P3" s="8" t="s">
        <v>140</v>
      </c>
    </row>
    <row r="4" spans="1:16" x14ac:dyDescent="0.25">
      <c r="A4" s="14" t="s">
        <v>29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653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5">
        <f t="shared" ref="K4:K12" si="0">IFERROR(H4/31,0)</f>
        <v>21.06451612903226</v>
      </c>
      <c r="L4" s="15">
        <f t="shared" ref="L4:L12" si="1">IFERROR(H4/(E4+F4),0)</f>
        <v>5.7280701754385968</v>
      </c>
      <c r="M4" s="15">
        <f t="shared" ref="M4:M12" si="2">IFERROR((C4*31-H4)/(E4+F4),0)</f>
        <v>2.9736842105263159</v>
      </c>
      <c r="N4" s="15">
        <f t="shared" ref="N4:N12" si="3">IFERROR((E4+F4)/C4,0)</f>
        <v>3.5625</v>
      </c>
      <c r="O4" s="15">
        <f t="shared" ref="O4:O12" si="4">IFERROR((H4/(C4*31))*100,0)</f>
        <v>65.826612903225808</v>
      </c>
      <c r="P4" s="15">
        <f t="shared" ref="P4:P12" si="5">IFERROR((F4/(D4+B4))*100,0)</f>
        <v>12.222222222222221</v>
      </c>
    </row>
    <row r="5" spans="1:16" x14ac:dyDescent="0.25">
      <c r="A5" s="14" t="s">
        <v>31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525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5">
        <f t="shared" si="0"/>
        <v>16.93548387096774</v>
      </c>
      <c r="L5" s="15">
        <f t="shared" si="1"/>
        <v>4.7727272727272725</v>
      </c>
      <c r="M5" s="15">
        <f t="shared" si="2"/>
        <v>3.1181818181818182</v>
      </c>
      <c r="N5" s="15">
        <f t="shared" si="3"/>
        <v>3.9285714285714284</v>
      </c>
      <c r="O5" s="15">
        <f t="shared" si="4"/>
        <v>60.483870967741936</v>
      </c>
      <c r="P5" s="15">
        <f t="shared" si="5"/>
        <v>10.526315789473683</v>
      </c>
    </row>
    <row r="6" spans="1:16" x14ac:dyDescent="0.25">
      <c r="A6" s="14" t="s">
        <v>33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297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5">
        <f t="shared" si="0"/>
        <v>9.5806451612903221</v>
      </c>
      <c r="L6" s="15">
        <f t="shared" si="1"/>
        <v>3.8076923076923075</v>
      </c>
      <c r="M6" s="15">
        <f t="shared" si="2"/>
        <v>6.9230769230769234</v>
      </c>
      <c r="N6" s="15">
        <f t="shared" si="3"/>
        <v>2.8888888888888888</v>
      </c>
      <c r="O6" s="15">
        <f t="shared" si="4"/>
        <v>35.483870967741936</v>
      </c>
      <c r="P6" s="15">
        <f t="shared" si="5"/>
        <v>0</v>
      </c>
    </row>
    <row r="7" spans="1:16" x14ac:dyDescent="0.25">
      <c r="A7" s="14" t="s">
        <v>35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201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5">
        <f t="shared" si="0"/>
        <v>6.4838709677419351</v>
      </c>
      <c r="L7" s="15">
        <f t="shared" si="1"/>
        <v>3.0923076923076924</v>
      </c>
      <c r="M7" s="15">
        <f t="shared" si="2"/>
        <v>6.4461538461538463</v>
      </c>
      <c r="N7" s="15">
        <f t="shared" si="3"/>
        <v>3.25</v>
      </c>
      <c r="O7" s="15">
        <f t="shared" si="4"/>
        <v>32.41935483870968</v>
      </c>
      <c r="P7" s="15">
        <f t="shared" si="5"/>
        <v>0</v>
      </c>
    </row>
    <row r="8" spans="1:16" x14ac:dyDescent="0.25">
      <c r="A8" s="14" t="s">
        <v>37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342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5">
        <f t="shared" si="0"/>
        <v>11.03225806451613</v>
      </c>
      <c r="L8" s="15">
        <f t="shared" si="1"/>
        <v>2.8032786885245899</v>
      </c>
      <c r="M8" s="15">
        <f t="shared" si="2"/>
        <v>0.75409836065573765</v>
      </c>
      <c r="N8" s="15">
        <f t="shared" si="3"/>
        <v>8.7142857142857135</v>
      </c>
      <c r="O8" s="15">
        <f t="shared" si="4"/>
        <v>78.801843317972356</v>
      </c>
      <c r="P8" s="15">
        <f t="shared" si="5"/>
        <v>0</v>
      </c>
    </row>
    <row r="9" spans="1:16" x14ac:dyDescent="0.25">
      <c r="A9" s="14" t="s">
        <v>39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369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5">
        <f t="shared" si="0"/>
        <v>11.903225806451612</v>
      </c>
      <c r="L9" s="15">
        <f t="shared" si="1"/>
        <v>4.5555555555555554</v>
      </c>
      <c r="M9" s="15">
        <f t="shared" si="2"/>
        <v>3.8641975308641974</v>
      </c>
      <c r="N9" s="15">
        <f t="shared" si="3"/>
        <v>3.6818181818181817</v>
      </c>
      <c r="O9" s="15">
        <f t="shared" si="4"/>
        <v>54.105571847507328</v>
      </c>
      <c r="P9" s="15">
        <f t="shared" si="5"/>
        <v>0</v>
      </c>
    </row>
    <row r="10" spans="1:16" x14ac:dyDescent="0.25">
      <c r="A10" s="14" t="s">
        <v>41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410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5">
        <f t="shared" si="0"/>
        <v>13.225806451612904</v>
      </c>
      <c r="L10" s="15">
        <f t="shared" si="1"/>
        <v>7.5925925925925926</v>
      </c>
      <c r="M10" s="15">
        <f t="shared" si="2"/>
        <v>1.0185185185185186</v>
      </c>
      <c r="N10" s="15">
        <f t="shared" si="3"/>
        <v>3.6</v>
      </c>
      <c r="O10" s="15">
        <f t="shared" si="4"/>
        <v>88.172043010752688</v>
      </c>
      <c r="P10" s="15">
        <f t="shared" si="5"/>
        <v>13.114754098360656</v>
      </c>
    </row>
    <row r="11" spans="1:16" x14ac:dyDescent="0.25">
      <c r="A11" s="14" t="s">
        <v>43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86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148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5">
        <f t="shared" si="0"/>
        <v>4.774193548387097</v>
      </c>
      <c r="L11" s="15">
        <f t="shared" si="1"/>
        <v>3.1489361702127661</v>
      </c>
      <c r="M11" s="15">
        <f t="shared" si="2"/>
        <v>3.4468085106382977</v>
      </c>
      <c r="N11" s="15">
        <f t="shared" si="3"/>
        <v>4.7</v>
      </c>
      <c r="O11" s="15">
        <f t="shared" si="4"/>
        <v>47.741935483870968</v>
      </c>
      <c r="P11" s="15">
        <f t="shared" si="5"/>
        <v>4.2105263157894735</v>
      </c>
    </row>
    <row r="12" spans="1:16" x14ac:dyDescent="0.25">
      <c r="A12" s="14" t="s">
        <v>45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46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55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5">
        <f t="shared" si="0"/>
        <v>1.7741935483870968</v>
      </c>
      <c r="L12" s="15">
        <f t="shared" si="1"/>
        <v>4.2307692307692308</v>
      </c>
      <c r="M12" s="15">
        <f t="shared" si="2"/>
        <v>19.615384615384617</v>
      </c>
      <c r="N12" s="15">
        <f t="shared" si="3"/>
        <v>1.3</v>
      </c>
      <c r="O12" s="15">
        <f t="shared" si="4"/>
        <v>17.741935483870968</v>
      </c>
      <c r="P12" s="15">
        <f t="shared" si="5"/>
        <v>0</v>
      </c>
    </row>
    <row r="13" spans="1:16" x14ac:dyDescent="0.25">
      <c r="A13" s="16" t="s">
        <v>141</v>
      </c>
      <c r="B13" s="14">
        <f>SUMIFS(tblDaily[Remaining],tblDaily[EntryDate],DATE(2026,1,31),tblDaily[WardCode],"MAE")+SUMIFS(tblDaily[Remaining],tblDaily[EntryDate],DATE(2026,1,31),tblDaily[WardCode],"FAE")</f>
        <v>5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x14ac:dyDescent="0.25">
      <c r="A14" s="9" t="s">
        <v>110</v>
      </c>
      <c r="B14" s="9">
        <f t="shared" ref="B14:J14" si="6">SUM(B4:B12)</f>
        <v>102</v>
      </c>
      <c r="C14" s="9">
        <f t="shared" si="6"/>
        <v>178</v>
      </c>
      <c r="D14" s="9">
        <f t="shared" si="6"/>
        <v>662</v>
      </c>
      <c r="E14" s="9">
        <f t="shared" si="6"/>
        <v>651</v>
      </c>
      <c r="F14" s="9">
        <f t="shared" si="6"/>
        <v>33</v>
      </c>
      <c r="G14" s="9">
        <f t="shared" si="6"/>
        <v>6</v>
      </c>
      <c r="H14" s="9">
        <f t="shared" si="6"/>
        <v>3000</v>
      </c>
      <c r="I14" s="9">
        <f t="shared" si="6"/>
        <v>131</v>
      </c>
      <c r="J14" s="9">
        <f t="shared" si="6"/>
        <v>131</v>
      </c>
      <c r="K14" s="18">
        <f>IFERROR(H14/31,0)</f>
        <v>96.774193548387103</v>
      </c>
      <c r="L14" s="18">
        <f>IFERROR(H14/(E14+F14),0)</f>
        <v>4.3859649122807021</v>
      </c>
      <c r="M14" s="18">
        <f>IFERROR((C14*31-H14)/(E14+F14),0)</f>
        <v>3.6812865497076022</v>
      </c>
      <c r="N14" s="18">
        <f>IFERROR((E14+F14)/C14,0)</f>
        <v>3.8426966292134832</v>
      </c>
      <c r="O14" s="18">
        <f>IFERROR((H14/(C14*31))*100,0)</f>
        <v>54.367524465386005</v>
      </c>
      <c r="P14" s="18">
        <f>IFERROR((F14/(D14+B14))*100,0)</f>
        <v>4.3193717277486909</v>
      </c>
    </row>
    <row r="15" spans="1:16" x14ac:dyDescent="0.25">
      <c r="A15" s="19" t="s">
        <v>142</v>
      </c>
      <c r="B15" s="19">
        <f t="shared" ref="B15:J15" si="7">B11+B12</f>
        <v>10</v>
      </c>
      <c r="C15" s="19">
        <f t="shared" si="7"/>
        <v>20</v>
      </c>
      <c r="D15" s="19">
        <f t="shared" si="7"/>
        <v>132</v>
      </c>
      <c r="E15" s="19">
        <f t="shared" si="7"/>
        <v>56</v>
      </c>
      <c r="F15" s="19">
        <f t="shared" si="7"/>
        <v>4</v>
      </c>
      <c r="G15" s="19">
        <f t="shared" si="7"/>
        <v>6</v>
      </c>
      <c r="H15" s="19">
        <f t="shared" si="7"/>
        <v>203</v>
      </c>
      <c r="I15" s="19">
        <f t="shared" si="7"/>
        <v>0</v>
      </c>
      <c r="J15" s="19">
        <f t="shared" si="7"/>
        <v>77</v>
      </c>
      <c r="K15" s="20">
        <f>IFERROR(H15/31,0)</f>
        <v>6.5483870967741939</v>
      </c>
      <c r="L15" s="20">
        <f>IFERROR(H15/(E15+F15),0)</f>
        <v>3.3833333333333333</v>
      </c>
      <c r="M15" s="20">
        <f>IFERROR((C15*31-H15)/(E15+F15),0)</f>
        <v>6.95</v>
      </c>
      <c r="N15" s="20">
        <f>IFERROR((E15+F15)/C15,0)</f>
        <v>3</v>
      </c>
      <c r="O15" s="20">
        <f>IFERROR((H15/(C15*31))*100,0)</f>
        <v>32.741935483870968</v>
      </c>
      <c r="P15" s="20">
        <f>IFERROR((F15/(D15+B15))*100,0)</f>
        <v>2.8169014084507045</v>
      </c>
    </row>
    <row r="17" spans="1:16" ht="18.75" x14ac:dyDescent="0.25">
      <c r="A17" s="31" t="s">
        <v>0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1:16" ht="15.75" x14ac:dyDescent="0.25">
      <c r="A18" s="34" t="s">
        <v>143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1:16" ht="38.25" x14ac:dyDescent="0.25">
      <c r="A19" s="8" t="s">
        <v>129</v>
      </c>
      <c r="B19" s="8" t="s">
        <v>130</v>
      </c>
      <c r="C19" s="8" t="s">
        <v>131</v>
      </c>
      <c r="D19" s="8" t="s">
        <v>72</v>
      </c>
      <c r="E19" s="8" t="s">
        <v>73</v>
      </c>
      <c r="F19" s="8" t="s">
        <v>74</v>
      </c>
      <c r="G19" s="8" t="s">
        <v>106</v>
      </c>
      <c r="H19" s="8" t="s">
        <v>132</v>
      </c>
      <c r="I19" s="8" t="s">
        <v>133</v>
      </c>
      <c r="J19" s="8" t="s">
        <v>134</v>
      </c>
      <c r="K19" s="8" t="s">
        <v>135</v>
      </c>
      <c r="L19" s="8" t="s">
        <v>136</v>
      </c>
      <c r="M19" s="8" t="s">
        <v>137</v>
      </c>
      <c r="N19" s="8" t="s">
        <v>138</v>
      </c>
      <c r="O19" s="8" t="s">
        <v>139</v>
      </c>
      <c r="P19" s="8" t="s">
        <v>140</v>
      </c>
    </row>
    <row r="20" spans="1:16" x14ac:dyDescent="0.25">
      <c r="A20" s="14" t="s">
        <v>29</v>
      </c>
      <c r="B20" s="4">
        <f>IFERROR(SUMIFS(tblDaily[Remaining],tblDaily[EntryDate],DATE(2026,1,31),tblDaily[WardCode],"MW"),0)</f>
        <v>19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32</v>
      </c>
      <c r="E20" s="4">
        <f>SUMIFS(tblDaily[Discharges],tblDaily[Month],2,tblDaily[WardCode],"MW")</f>
        <v>38</v>
      </c>
      <c r="F20" s="4">
        <f>SUMIFS(tblDaily[Deaths],tblDaily[Month],2,tblDaily[WardCode],"MW")</f>
        <v>8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249</v>
      </c>
      <c r="I20" s="4">
        <f>SUMIFS(tblDaily[TransfersIn],tblDaily[Month],2,tblDaily[WardCode],"MW")</f>
        <v>14</v>
      </c>
      <c r="J20" s="4">
        <f>SUMIFS(tblDaily[TransfersOut],tblDaily[Month],2,tblDaily[WardCode],"MW")</f>
        <v>0</v>
      </c>
      <c r="K20" s="15">
        <f t="shared" ref="K20:K28" si="8">IFERROR(H20/28,0)</f>
        <v>8.8928571428571423</v>
      </c>
      <c r="L20" s="15">
        <f t="shared" ref="L20:L28" si="9">IFERROR(H20/(E20+F20),0)</f>
        <v>5.4130434782608692</v>
      </c>
      <c r="M20" s="15">
        <f t="shared" ref="M20:M28" si="10">IFERROR((C20*28-H20)/(E20+F20),0)</f>
        <v>14.065217391304348</v>
      </c>
      <c r="N20" s="15">
        <f t="shared" ref="N20:N28" si="11">IFERROR((E20+F20)/C20,0)</f>
        <v>1.4375</v>
      </c>
      <c r="O20" s="15">
        <f t="shared" ref="O20:O28" si="12">IFERROR((H20/(C20*28))*100,0)</f>
        <v>27.790178571428569</v>
      </c>
      <c r="P20" s="15">
        <f t="shared" ref="P20:P28" si="13">IFERROR((F20/(D20+B20))*100,0)</f>
        <v>15.686274509803921</v>
      </c>
    </row>
    <row r="21" spans="1:16" x14ac:dyDescent="0.25">
      <c r="A21" s="14" t="s">
        <v>31</v>
      </c>
      <c r="B21" s="4">
        <f>IFERROR(SUMIFS(tblDaily[Remaining],tblDaily[EntryDate],DATE(2026,1,31),tblDaily[WardCode],"FW"),0)</f>
        <v>12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4</v>
      </c>
      <c r="E21" s="4">
        <f>SUMIFS(tblDaily[Discharges],tblDaily[Month],2,tblDaily[WardCode],"FW")</f>
        <v>2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30</v>
      </c>
      <c r="I21" s="4">
        <f>SUMIFS(tblDaily[TransfersIn],tblDaily[Month],2,tblDaily[WardCode],"FW")</f>
        <v>1</v>
      </c>
      <c r="J21" s="4">
        <f>SUMIFS(tblDaily[TransfersOut],tblDaily[Month],2,tblDaily[WardCode],"FW")</f>
        <v>0</v>
      </c>
      <c r="K21" s="15">
        <f t="shared" si="8"/>
        <v>1.0714285714285714</v>
      </c>
      <c r="L21" s="15">
        <f t="shared" si="9"/>
        <v>15</v>
      </c>
      <c r="M21" s="15">
        <f t="shared" si="10"/>
        <v>377</v>
      </c>
      <c r="N21" s="15">
        <f t="shared" si="11"/>
        <v>7.1428571428571425E-2</v>
      </c>
      <c r="O21" s="15">
        <f t="shared" si="12"/>
        <v>3.8265306122448979</v>
      </c>
      <c r="P21" s="15">
        <f t="shared" si="13"/>
        <v>0</v>
      </c>
    </row>
    <row r="22" spans="1:16" x14ac:dyDescent="0.25">
      <c r="A22" s="14" t="s">
        <v>33</v>
      </c>
      <c r="B22" s="4">
        <f>IFERROR(SUMIFS(tblDaily[Remaining],tblDaily[EntryDate],DATE(2026,1,31),tblDaily[WardCode],"CW"),0)</f>
        <v>12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2</v>
      </c>
      <c r="E22" s="4">
        <f>SUMIFS(tblDaily[Discharges],tblDaily[Month],2,tblDaily[WardCode],"CW")</f>
        <v>2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12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5">
        <f t="shared" si="8"/>
        <v>0.42857142857142855</v>
      </c>
      <c r="L22" s="15">
        <f t="shared" si="9"/>
        <v>6</v>
      </c>
      <c r="M22" s="15">
        <f t="shared" si="10"/>
        <v>372</v>
      </c>
      <c r="N22" s="15">
        <f t="shared" si="11"/>
        <v>7.407407407407407E-2</v>
      </c>
      <c r="O22" s="15">
        <f t="shared" si="12"/>
        <v>1.5873015873015872</v>
      </c>
      <c r="P22" s="15">
        <f t="shared" si="13"/>
        <v>0</v>
      </c>
    </row>
    <row r="23" spans="1:16" x14ac:dyDescent="0.25">
      <c r="A23" s="14" t="s">
        <v>35</v>
      </c>
      <c r="B23" s="4">
        <f>IFERROR(SUMIFS(tblDaily[Remaining],tblDaily[EntryDate],DATE(2026,1,31),tblDaily[WardCode],"BF"),0)</f>
        <v>6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3</v>
      </c>
      <c r="E23" s="4">
        <f>SUMIFS(tblDaily[Discharges],tblDaily[Month],2,tblDaily[WardCode],"BF")</f>
        <v>1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8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5">
        <f t="shared" si="8"/>
        <v>0.2857142857142857</v>
      </c>
      <c r="L23" s="15">
        <f t="shared" si="9"/>
        <v>8</v>
      </c>
      <c r="M23" s="15">
        <f t="shared" si="10"/>
        <v>552</v>
      </c>
      <c r="N23" s="15">
        <f t="shared" si="11"/>
        <v>0.05</v>
      </c>
      <c r="O23" s="15">
        <f t="shared" si="12"/>
        <v>1.4285714285714286</v>
      </c>
      <c r="P23" s="15">
        <f t="shared" si="13"/>
        <v>0</v>
      </c>
    </row>
    <row r="24" spans="1:16" x14ac:dyDescent="0.25">
      <c r="A24" s="14" t="s">
        <v>37</v>
      </c>
      <c r="B24" s="4">
        <f>IFERROR(SUMIFS(tblDaily[Remaining],tblDaily[EntryDate],DATE(2026,1,31),tblDaily[WardCode],"BG"),0)</f>
        <v>12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12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5">
        <f t="shared" si="8"/>
        <v>0.42857142857142855</v>
      </c>
      <c r="L24" s="15">
        <f t="shared" si="9"/>
        <v>0</v>
      </c>
      <c r="M24" s="15">
        <f t="shared" si="10"/>
        <v>0</v>
      </c>
      <c r="N24" s="15">
        <f t="shared" si="11"/>
        <v>0</v>
      </c>
      <c r="O24" s="15">
        <f t="shared" si="12"/>
        <v>3.0612244897959182</v>
      </c>
      <c r="P24" s="15">
        <f t="shared" si="13"/>
        <v>0</v>
      </c>
    </row>
    <row r="25" spans="1:16" x14ac:dyDescent="0.25">
      <c r="A25" s="14" t="s">
        <v>39</v>
      </c>
      <c r="B25" s="4">
        <f>IFERROR(SUMIFS(tblDaily[Remaining],tblDaily[EntryDate],DATE(2026,1,31),tblDaily[WardCode],"BH"),0)</f>
        <v>7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7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5">
        <f t="shared" si="8"/>
        <v>0.25</v>
      </c>
      <c r="L25" s="15">
        <f t="shared" si="9"/>
        <v>0</v>
      </c>
      <c r="M25" s="15">
        <f t="shared" si="10"/>
        <v>0</v>
      </c>
      <c r="N25" s="15">
        <f t="shared" si="11"/>
        <v>0</v>
      </c>
      <c r="O25" s="15">
        <f t="shared" si="12"/>
        <v>1.1363636363636365</v>
      </c>
      <c r="P25" s="15">
        <f t="shared" si="13"/>
        <v>0</v>
      </c>
    </row>
    <row r="26" spans="1:16" x14ac:dyDescent="0.25">
      <c r="A26" s="14" t="s">
        <v>41</v>
      </c>
      <c r="B26" s="4">
        <f>IFERROR(SUMIFS(tblDaily[Remaining],tblDaily[EntryDate],DATE(2026,1,31),tblDaily[WardCode],"NICU"),0)</f>
        <v>7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4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8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5">
        <f t="shared" si="8"/>
        <v>0.2857142857142857</v>
      </c>
      <c r="L26" s="15">
        <f t="shared" si="9"/>
        <v>2</v>
      </c>
      <c r="M26" s="15">
        <f t="shared" si="10"/>
        <v>103</v>
      </c>
      <c r="N26" s="15">
        <f t="shared" si="11"/>
        <v>0.26666666666666666</v>
      </c>
      <c r="O26" s="15">
        <f t="shared" si="12"/>
        <v>1.9047619047619049</v>
      </c>
      <c r="P26" s="15">
        <f t="shared" si="13"/>
        <v>0</v>
      </c>
    </row>
    <row r="27" spans="1:16" x14ac:dyDescent="0.25">
      <c r="A27" s="14" t="s">
        <v>43</v>
      </c>
      <c r="B27" s="4">
        <f>IFERROR(SUMIFS(tblDaily[Remaining],tblDaily[EntryDate],DATE(2026,1,31),tblDaily[WardCode],"MAE"),0)</f>
        <v>1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3</v>
      </c>
      <c r="E27" s="4">
        <f>SUMIFS(tblDaily[Discharges],tblDaily[Month],2,tblDaily[WardCode],"MAE")</f>
        <v>3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3</v>
      </c>
      <c r="I27" s="4">
        <f>SUMIFS(tblDaily[TransfersIn],tblDaily[Month],2,tblDaily[WardCode],"MAE")</f>
        <v>2</v>
      </c>
      <c r="J27" s="4">
        <f>SUMIFS(tblDaily[TransfersOut],tblDaily[Month],2,tblDaily[WardCode],"MAE")</f>
        <v>0</v>
      </c>
      <c r="K27" s="15">
        <f t="shared" si="8"/>
        <v>0.10714285714285714</v>
      </c>
      <c r="L27" s="15">
        <f t="shared" si="9"/>
        <v>1</v>
      </c>
      <c r="M27" s="15">
        <f t="shared" si="10"/>
        <v>92.333333333333329</v>
      </c>
      <c r="N27" s="15">
        <f t="shared" si="11"/>
        <v>0.3</v>
      </c>
      <c r="O27" s="15">
        <f t="shared" si="12"/>
        <v>1.0714285714285714</v>
      </c>
      <c r="P27" s="15">
        <f t="shared" si="13"/>
        <v>0</v>
      </c>
    </row>
    <row r="28" spans="1:16" x14ac:dyDescent="0.25">
      <c r="A28" s="14" t="s">
        <v>45</v>
      </c>
      <c r="B28" s="4">
        <f>IFERROR(SUMIFS(tblDaily[Remaining],tblDaily[EntryDate],DATE(2026,1,31),tblDaily[WardCode],"FAE"),0)</f>
        <v>4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5">
        <f t="shared" si="8"/>
        <v>0</v>
      </c>
      <c r="L28" s="15">
        <f t="shared" si="9"/>
        <v>0</v>
      </c>
      <c r="M28" s="15">
        <f t="shared" si="10"/>
        <v>0</v>
      </c>
      <c r="N28" s="15">
        <f t="shared" si="11"/>
        <v>0</v>
      </c>
      <c r="O28" s="15">
        <f t="shared" si="12"/>
        <v>0</v>
      </c>
      <c r="P28" s="15">
        <f t="shared" si="13"/>
        <v>0</v>
      </c>
    </row>
    <row r="29" spans="1:16" x14ac:dyDescent="0.25">
      <c r="A29" s="16" t="s">
        <v>141</v>
      </c>
      <c r="B29" s="14">
        <f>SUMIFS(tblDaily[Remaining],tblDaily[EntryDate],DATE(2026,2,28),tblDaily[WardCode],"MAE")+SUMIFS(tblDaily[Remaining],tblDaily[EntryDate],DATE(2026,2,28),tblDaily[WardCode],"FAE")</f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</row>
    <row r="30" spans="1:16" x14ac:dyDescent="0.25">
      <c r="A30" s="9" t="s">
        <v>110</v>
      </c>
      <c r="B30" s="9">
        <f t="shared" ref="B30:J30" si="14">SUM(B20:B28)</f>
        <v>80</v>
      </c>
      <c r="C30" s="9">
        <f t="shared" si="14"/>
        <v>178</v>
      </c>
      <c r="D30" s="9">
        <f t="shared" si="14"/>
        <v>44</v>
      </c>
      <c r="E30" s="9">
        <f t="shared" si="14"/>
        <v>50</v>
      </c>
      <c r="F30" s="9">
        <f t="shared" si="14"/>
        <v>8</v>
      </c>
      <c r="G30" s="9">
        <f t="shared" si="14"/>
        <v>0</v>
      </c>
      <c r="H30" s="9">
        <f t="shared" si="14"/>
        <v>329</v>
      </c>
      <c r="I30" s="9">
        <f t="shared" si="14"/>
        <v>17</v>
      </c>
      <c r="J30" s="9">
        <f t="shared" si="14"/>
        <v>0</v>
      </c>
      <c r="K30" s="18">
        <f>IFERROR(H30/28,0)</f>
        <v>11.75</v>
      </c>
      <c r="L30" s="18">
        <f>IFERROR(H30/(E30+F30),0)</f>
        <v>5.6724137931034484</v>
      </c>
      <c r="M30" s="18">
        <f>IFERROR((C30*28-H30)/(E30+F30),0)</f>
        <v>80.258620689655174</v>
      </c>
      <c r="N30" s="18">
        <f>IFERROR((E30+F30)/C30,0)</f>
        <v>0.3258426966292135</v>
      </c>
      <c r="O30" s="18">
        <f>IFERROR((H30/(C30*28))*100,0)</f>
        <v>6.6011235955056176</v>
      </c>
      <c r="P30" s="18">
        <f>IFERROR((F30/(D30+B30))*100,0)</f>
        <v>6.4516129032258061</v>
      </c>
    </row>
    <row r="31" spans="1:16" x14ac:dyDescent="0.25">
      <c r="A31" s="19" t="s">
        <v>142</v>
      </c>
      <c r="B31" s="19">
        <f t="shared" ref="B31:J31" si="15">B27+B28</f>
        <v>5</v>
      </c>
      <c r="C31" s="19">
        <f t="shared" si="15"/>
        <v>20</v>
      </c>
      <c r="D31" s="19">
        <f t="shared" si="15"/>
        <v>3</v>
      </c>
      <c r="E31" s="19">
        <f t="shared" si="15"/>
        <v>3</v>
      </c>
      <c r="F31" s="19">
        <f t="shared" si="15"/>
        <v>0</v>
      </c>
      <c r="G31" s="19">
        <f t="shared" si="15"/>
        <v>0</v>
      </c>
      <c r="H31" s="19">
        <f t="shared" si="15"/>
        <v>3</v>
      </c>
      <c r="I31" s="19">
        <f t="shared" si="15"/>
        <v>2</v>
      </c>
      <c r="J31" s="19">
        <f t="shared" si="15"/>
        <v>0</v>
      </c>
      <c r="K31" s="20">
        <f>IFERROR(H31/28,0)</f>
        <v>0.10714285714285714</v>
      </c>
      <c r="L31" s="20">
        <f>IFERROR(H31/(E31+F31),0)</f>
        <v>1</v>
      </c>
      <c r="M31" s="20">
        <f>IFERROR((C31*28-H31)/(E31+F31),0)</f>
        <v>185.66666666666666</v>
      </c>
      <c r="N31" s="20">
        <f>IFERROR((E31+F31)/C31,0)</f>
        <v>0.15</v>
      </c>
      <c r="O31" s="20">
        <f>IFERROR((H31/(C31*28))*100,0)</f>
        <v>0.5357142857142857</v>
      </c>
      <c r="P31" s="20">
        <f>IFERROR((F31/(D31+B31))*100,0)</f>
        <v>0</v>
      </c>
    </row>
    <row r="33" spans="1:16" ht="18.75" x14ac:dyDescent="0.25">
      <c r="A33" s="31" t="s">
        <v>0</v>
      </c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1:16" ht="15.75" x14ac:dyDescent="0.25">
      <c r="A34" s="34" t="s">
        <v>144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</row>
    <row r="35" spans="1:16" ht="38.25" x14ac:dyDescent="0.25">
      <c r="A35" s="8" t="s">
        <v>129</v>
      </c>
      <c r="B35" s="8" t="s">
        <v>130</v>
      </c>
      <c r="C35" s="8" t="s">
        <v>131</v>
      </c>
      <c r="D35" s="8" t="s">
        <v>72</v>
      </c>
      <c r="E35" s="8" t="s">
        <v>73</v>
      </c>
      <c r="F35" s="8" t="s">
        <v>74</v>
      </c>
      <c r="G35" s="8" t="s">
        <v>106</v>
      </c>
      <c r="H35" s="8" t="s">
        <v>132</v>
      </c>
      <c r="I35" s="8" t="s">
        <v>133</v>
      </c>
      <c r="J35" s="8" t="s">
        <v>134</v>
      </c>
      <c r="K35" s="8" t="s">
        <v>135</v>
      </c>
      <c r="L35" s="8" t="s">
        <v>136</v>
      </c>
      <c r="M35" s="8" t="s">
        <v>137</v>
      </c>
      <c r="N35" s="8" t="s">
        <v>138</v>
      </c>
      <c r="O35" s="8" t="s">
        <v>139</v>
      </c>
      <c r="P35" s="8" t="s">
        <v>140</v>
      </c>
    </row>
    <row r="36" spans="1:16" x14ac:dyDescent="0.25">
      <c r="A36" s="14" t="s">
        <v>29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5">
        <f t="shared" ref="K36:K44" si="16">IFERROR(H36/31,0)</f>
        <v>0</v>
      </c>
      <c r="L36" s="15">
        <f t="shared" ref="L36:L44" si="17">IFERROR(H36/(E36+F36),0)</f>
        <v>0</v>
      </c>
      <c r="M36" s="15">
        <f t="shared" ref="M36:M44" si="18">IFERROR((C36*31-H36)/(E36+F36),0)</f>
        <v>0</v>
      </c>
      <c r="N36" s="15">
        <f t="shared" ref="N36:N44" si="19">IFERROR((E36+F36)/C36,0)</f>
        <v>0</v>
      </c>
      <c r="O36" s="15">
        <f t="shared" ref="O36:O44" si="20">IFERROR((H36/(C36*31))*100,0)</f>
        <v>0</v>
      </c>
      <c r="P36" s="15">
        <f t="shared" ref="P36:P44" si="21">IFERROR((F36/(D36+B36))*100,0)</f>
        <v>0</v>
      </c>
    </row>
    <row r="37" spans="1:16" x14ac:dyDescent="0.25">
      <c r="A37" s="14" t="s">
        <v>31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5">
        <f t="shared" si="16"/>
        <v>0</v>
      </c>
      <c r="L37" s="15">
        <f t="shared" si="17"/>
        <v>0</v>
      </c>
      <c r="M37" s="15">
        <f t="shared" si="18"/>
        <v>0</v>
      </c>
      <c r="N37" s="15">
        <f t="shared" si="19"/>
        <v>0</v>
      </c>
      <c r="O37" s="15">
        <f t="shared" si="20"/>
        <v>0</v>
      </c>
      <c r="P37" s="15">
        <f t="shared" si="21"/>
        <v>0</v>
      </c>
    </row>
    <row r="38" spans="1:16" x14ac:dyDescent="0.25">
      <c r="A38" s="14" t="s">
        <v>33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5">
        <f t="shared" si="16"/>
        <v>0</v>
      </c>
      <c r="L38" s="15">
        <f t="shared" si="17"/>
        <v>0</v>
      </c>
      <c r="M38" s="15">
        <f t="shared" si="18"/>
        <v>0</v>
      </c>
      <c r="N38" s="15">
        <f t="shared" si="19"/>
        <v>0</v>
      </c>
      <c r="O38" s="15">
        <f t="shared" si="20"/>
        <v>0</v>
      </c>
      <c r="P38" s="15">
        <f t="shared" si="21"/>
        <v>0</v>
      </c>
    </row>
    <row r="39" spans="1:16" x14ac:dyDescent="0.25">
      <c r="A39" s="14" t="s">
        <v>35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5">
        <f t="shared" si="16"/>
        <v>0</v>
      </c>
      <c r="L39" s="15">
        <f t="shared" si="17"/>
        <v>0</v>
      </c>
      <c r="M39" s="15">
        <f t="shared" si="18"/>
        <v>0</v>
      </c>
      <c r="N39" s="15">
        <f t="shared" si="19"/>
        <v>0</v>
      </c>
      <c r="O39" s="15">
        <f t="shared" si="20"/>
        <v>0</v>
      </c>
      <c r="P39" s="15">
        <f t="shared" si="21"/>
        <v>0</v>
      </c>
    </row>
    <row r="40" spans="1:16" x14ac:dyDescent="0.25">
      <c r="A40" s="14" t="s">
        <v>37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5">
        <f t="shared" si="16"/>
        <v>0</v>
      </c>
      <c r="L40" s="15">
        <f t="shared" si="17"/>
        <v>0</v>
      </c>
      <c r="M40" s="15">
        <f t="shared" si="18"/>
        <v>0</v>
      </c>
      <c r="N40" s="15">
        <f t="shared" si="19"/>
        <v>0</v>
      </c>
      <c r="O40" s="15">
        <f t="shared" si="20"/>
        <v>0</v>
      </c>
      <c r="P40" s="15">
        <f t="shared" si="21"/>
        <v>0</v>
      </c>
    </row>
    <row r="41" spans="1:16" x14ac:dyDescent="0.25">
      <c r="A41" s="14" t="s">
        <v>39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5">
        <f t="shared" si="16"/>
        <v>0</v>
      </c>
      <c r="L41" s="15">
        <f t="shared" si="17"/>
        <v>0</v>
      </c>
      <c r="M41" s="15">
        <f t="shared" si="18"/>
        <v>0</v>
      </c>
      <c r="N41" s="15">
        <f t="shared" si="19"/>
        <v>0</v>
      </c>
      <c r="O41" s="15">
        <f t="shared" si="20"/>
        <v>0</v>
      </c>
      <c r="P41" s="15">
        <f t="shared" si="21"/>
        <v>0</v>
      </c>
    </row>
    <row r="42" spans="1:16" x14ac:dyDescent="0.25">
      <c r="A42" s="14" t="s">
        <v>41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5">
        <f t="shared" si="16"/>
        <v>0</v>
      </c>
      <c r="L42" s="15">
        <f t="shared" si="17"/>
        <v>0</v>
      </c>
      <c r="M42" s="15">
        <f t="shared" si="18"/>
        <v>0</v>
      </c>
      <c r="N42" s="15">
        <f t="shared" si="19"/>
        <v>0</v>
      </c>
      <c r="O42" s="15">
        <f t="shared" si="20"/>
        <v>0</v>
      </c>
      <c r="P42" s="15">
        <f t="shared" si="21"/>
        <v>0</v>
      </c>
    </row>
    <row r="43" spans="1:16" x14ac:dyDescent="0.25">
      <c r="A43" s="14" t="s">
        <v>43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5">
        <f t="shared" si="16"/>
        <v>0</v>
      </c>
      <c r="L43" s="15">
        <f t="shared" si="17"/>
        <v>0</v>
      </c>
      <c r="M43" s="15">
        <f t="shared" si="18"/>
        <v>0</v>
      </c>
      <c r="N43" s="15">
        <f t="shared" si="19"/>
        <v>0</v>
      </c>
      <c r="O43" s="15">
        <f t="shared" si="20"/>
        <v>0</v>
      </c>
      <c r="P43" s="15">
        <f t="shared" si="21"/>
        <v>0</v>
      </c>
    </row>
    <row r="44" spans="1:16" x14ac:dyDescent="0.25">
      <c r="A44" s="14" t="s">
        <v>45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5" spans="1:16" x14ac:dyDescent="0.25">
      <c r="A45" s="16" t="s">
        <v>141</v>
      </c>
      <c r="B45" s="14">
        <f>SUMIFS(tblDaily[Remaining],tblDaily[EntryDate],DATE(2026,3,31),tblDaily[WardCode],"MAE")+SUMIFS(tblDaily[Remaining],tblDaily[EntryDate],DATE(2026,3,31),tblDaily[WardCode],"FAE")</f>
        <v>0</v>
      </c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</row>
    <row r="46" spans="1:16" x14ac:dyDescent="0.25">
      <c r="A46" s="9" t="s">
        <v>110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8">
        <f>IFERROR(H46/31,0)</f>
        <v>0</v>
      </c>
      <c r="L46" s="18">
        <f>IFERROR(H46/(E46+F46),0)</f>
        <v>0</v>
      </c>
      <c r="M46" s="18">
        <f>IFERROR((C46*31-H46)/(E46+F46),0)</f>
        <v>0</v>
      </c>
      <c r="N46" s="18">
        <f>IFERROR((E46+F46)/C46,0)</f>
        <v>0</v>
      </c>
      <c r="O46" s="18">
        <f>IFERROR((H46/(C46*31))*100,0)</f>
        <v>0</v>
      </c>
      <c r="P46" s="18">
        <f>IFERROR((F46/(D46+B46))*100,0)</f>
        <v>0</v>
      </c>
    </row>
    <row r="47" spans="1:16" x14ac:dyDescent="0.25">
      <c r="A47" s="19" t="s">
        <v>142</v>
      </c>
      <c r="B47" s="19">
        <f t="shared" ref="B47:J47" si="23">B43+B44</f>
        <v>0</v>
      </c>
      <c r="C47" s="19">
        <f t="shared" si="23"/>
        <v>20</v>
      </c>
      <c r="D47" s="19">
        <f t="shared" si="23"/>
        <v>0</v>
      </c>
      <c r="E47" s="19">
        <f t="shared" si="23"/>
        <v>0</v>
      </c>
      <c r="F47" s="19">
        <f t="shared" si="23"/>
        <v>0</v>
      </c>
      <c r="G47" s="19">
        <f t="shared" si="23"/>
        <v>0</v>
      </c>
      <c r="H47" s="19">
        <f t="shared" si="23"/>
        <v>0</v>
      </c>
      <c r="I47" s="19">
        <f t="shared" si="23"/>
        <v>0</v>
      </c>
      <c r="J47" s="19">
        <f t="shared" si="23"/>
        <v>0</v>
      </c>
      <c r="K47" s="20">
        <f>IFERROR(H47/31,0)</f>
        <v>0</v>
      </c>
      <c r="L47" s="20">
        <f>IFERROR(H47/(E47+F47),0)</f>
        <v>0</v>
      </c>
      <c r="M47" s="20">
        <f>IFERROR((C47*31-H47)/(E47+F47),0)</f>
        <v>0</v>
      </c>
      <c r="N47" s="20">
        <f>IFERROR((E47+F47)/C47,0)</f>
        <v>0</v>
      </c>
      <c r="O47" s="20">
        <f>IFERROR((H47/(C47*31))*100,0)</f>
        <v>0</v>
      </c>
      <c r="P47" s="20">
        <f>IFERROR((F47/(D47+B47))*100,0)</f>
        <v>0</v>
      </c>
    </row>
    <row r="49" spans="1:16" ht="18.75" x14ac:dyDescent="0.25">
      <c r="A49" s="31" t="s">
        <v>0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</row>
    <row r="50" spans="1:16" ht="15.75" x14ac:dyDescent="0.25">
      <c r="A50" s="34" t="s">
        <v>145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</row>
    <row r="51" spans="1:16" ht="38.25" x14ac:dyDescent="0.25">
      <c r="A51" s="8" t="s">
        <v>129</v>
      </c>
      <c r="B51" s="8" t="s">
        <v>130</v>
      </c>
      <c r="C51" s="8" t="s">
        <v>131</v>
      </c>
      <c r="D51" s="8" t="s">
        <v>72</v>
      </c>
      <c r="E51" s="8" t="s">
        <v>73</v>
      </c>
      <c r="F51" s="8" t="s">
        <v>74</v>
      </c>
      <c r="G51" s="8" t="s">
        <v>106</v>
      </c>
      <c r="H51" s="8" t="s">
        <v>132</v>
      </c>
      <c r="I51" s="8" t="s">
        <v>133</v>
      </c>
      <c r="J51" s="8" t="s">
        <v>134</v>
      </c>
      <c r="K51" s="8" t="s">
        <v>135</v>
      </c>
      <c r="L51" s="8" t="s">
        <v>136</v>
      </c>
      <c r="M51" s="8" t="s">
        <v>137</v>
      </c>
      <c r="N51" s="8" t="s">
        <v>138</v>
      </c>
      <c r="O51" s="8" t="s">
        <v>139</v>
      </c>
      <c r="P51" s="8" t="s">
        <v>140</v>
      </c>
    </row>
    <row r="52" spans="1:16" x14ac:dyDescent="0.25">
      <c r="A52" s="14" t="s">
        <v>29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5">
        <f t="shared" ref="K52:K60" si="24">IFERROR(H52/30,0)</f>
        <v>0</v>
      </c>
      <c r="L52" s="15">
        <f t="shared" ref="L52:L60" si="25">IFERROR(H52/(E52+F52),0)</f>
        <v>0</v>
      </c>
      <c r="M52" s="15">
        <f t="shared" ref="M52:M60" si="26">IFERROR((C52*30-H52)/(E52+F52),0)</f>
        <v>0</v>
      </c>
      <c r="N52" s="15">
        <f t="shared" ref="N52:N60" si="27">IFERROR((E52+F52)/C52,0)</f>
        <v>0</v>
      </c>
      <c r="O52" s="15">
        <f t="shared" ref="O52:O60" si="28">IFERROR((H52/(C52*30))*100,0)</f>
        <v>0</v>
      </c>
      <c r="P52" s="15">
        <f t="shared" ref="P52:P60" si="29">IFERROR((F52/(D52+B52))*100,0)</f>
        <v>0</v>
      </c>
    </row>
    <row r="53" spans="1:16" x14ac:dyDescent="0.25">
      <c r="A53" s="14" t="s">
        <v>31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5">
        <f t="shared" si="24"/>
        <v>0</v>
      </c>
      <c r="L53" s="15">
        <f t="shared" si="25"/>
        <v>0</v>
      </c>
      <c r="M53" s="15">
        <f t="shared" si="26"/>
        <v>0</v>
      </c>
      <c r="N53" s="15">
        <f t="shared" si="27"/>
        <v>0</v>
      </c>
      <c r="O53" s="15">
        <f t="shared" si="28"/>
        <v>0</v>
      </c>
      <c r="P53" s="15">
        <f t="shared" si="29"/>
        <v>0</v>
      </c>
    </row>
    <row r="54" spans="1:16" x14ac:dyDescent="0.25">
      <c r="A54" s="14" t="s">
        <v>33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5">
        <f t="shared" si="24"/>
        <v>0</v>
      </c>
      <c r="L54" s="15">
        <f t="shared" si="25"/>
        <v>0</v>
      </c>
      <c r="M54" s="15">
        <f t="shared" si="26"/>
        <v>0</v>
      </c>
      <c r="N54" s="15">
        <f t="shared" si="27"/>
        <v>0</v>
      </c>
      <c r="O54" s="15">
        <f t="shared" si="28"/>
        <v>0</v>
      </c>
      <c r="P54" s="15">
        <f t="shared" si="29"/>
        <v>0</v>
      </c>
    </row>
    <row r="55" spans="1:16" x14ac:dyDescent="0.25">
      <c r="A55" s="14" t="s">
        <v>35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5">
        <f t="shared" si="24"/>
        <v>0</v>
      </c>
      <c r="L55" s="15">
        <f t="shared" si="25"/>
        <v>0</v>
      </c>
      <c r="M55" s="15">
        <f t="shared" si="26"/>
        <v>0</v>
      </c>
      <c r="N55" s="15">
        <f t="shared" si="27"/>
        <v>0</v>
      </c>
      <c r="O55" s="15">
        <f t="shared" si="28"/>
        <v>0</v>
      </c>
      <c r="P55" s="15">
        <f t="shared" si="29"/>
        <v>0</v>
      </c>
    </row>
    <row r="56" spans="1:16" x14ac:dyDescent="0.25">
      <c r="A56" s="14" t="s">
        <v>37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5">
        <f t="shared" si="24"/>
        <v>0</v>
      </c>
      <c r="L56" s="15">
        <f t="shared" si="25"/>
        <v>0</v>
      </c>
      <c r="M56" s="15">
        <f t="shared" si="26"/>
        <v>0</v>
      </c>
      <c r="N56" s="15">
        <f t="shared" si="27"/>
        <v>0</v>
      </c>
      <c r="O56" s="15">
        <f t="shared" si="28"/>
        <v>0</v>
      </c>
      <c r="P56" s="15">
        <f t="shared" si="29"/>
        <v>0</v>
      </c>
    </row>
    <row r="57" spans="1:16" x14ac:dyDescent="0.25">
      <c r="A57" s="14" t="s">
        <v>39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5">
        <f t="shared" si="24"/>
        <v>0</v>
      </c>
      <c r="L57" s="15">
        <f t="shared" si="25"/>
        <v>0</v>
      </c>
      <c r="M57" s="15">
        <f t="shared" si="26"/>
        <v>0</v>
      </c>
      <c r="N57" s="15">
        <f t="shared" si="27"/>
        <v>0</v>
      </c>
      <c r="O57" s="15">
        <f t="shared" si="28"/>
        <v>0</v>
      </c>
      <c r="P57" s="15">
        <f t="shared" si="29"/>
        <v>0</v>
      </c>
    </row>
    <row r="58" spans="1:16" x14ac:dyDescent="0.25">
      <c r="A58" s="14" t="s">
        <v>41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5">
        <f t="shared" si="24"/>
        <v>0</v>
      </c>
      <c r="L58" s="15">
        <f t="shared" si="25"/>
        <v>0</v>
      </c>
      <c r="M58" s="15">
        <f t="shared" si="26"/>
        <v>0</v>
      </c>
      <c r="N58" s="15">
        <f t="shared" si="27"/>
        <v>0</v>
      </c>
      <c r="O58" s="15">
        <f t="shared" si="28"/>
        <v>0</v>
      </c>
      <c r="P58" s="15">
        <f t="shared" si="29"/>
        <v>0</v>
      </c>
    </row>
    <row r="59" spans="1:16" x14ac:dyDescent="0.25">
      <c r="A59" s="14" t="s">
        <v>43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0" spans="1:16" x14ac:dyDescent="0.25">
      <c r="A60" s="14" t="s">
        <v>45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5">
        <f t="shared" si="24"/>
        <v>0</v>
      </c>
      <c r="L60" s="15">
        <f t="shared" si="25"/>
        <v>0</v>
      </c>
      <c r="M60" s="15">
        <f t="shared" si="26"/>
        <v>0</v>
      </c>
      <c r="N60" s="15">
        <f t="shared" si="27"/>
        <v>0</v>
      </c>
      <c r="O60" s="15">
        <f t="shared" si="28"/>
        <v>0</v>
      </c>
      <c r="P60" s="15">
        <f t="shared" si="29"/>
        <v>0</v>
      </c>
    </row>
    <row r="61" spans="1:16" x14ac:dyDescent="0.25">
      <c r="A61" s="16" t="s">
        <v>141</v>
      </c>
      <c r="B61" s="14">
        <f>SUMIFS(tblDaily[Remaining],tblDaily[EntryDate],DATE(2026,4,30),tblDaily[WardCode],"MAE")+SUMIFS(tblDaily[Remaining],tblDaily[EntryDate],DATE(2026,4,30),tblDaily[WardCode],"FAE")</f>
        <v>0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x14ac:dyDescent="0.25">
      <c r="A62" s="9" t="s">
        <v>110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8">
        <f>IFERROR(H62/30,0)</f>
        <v>0</v>
      </c>
      <c r="L62" s="18">
        <f>IFERROR(H62/(E62+F62),0)</f>
        <v>0</v>
      </c>
      <c r="M62" s="18">
        <f>IFERROR((C62*30-H62)/(E62+F62),0)</f>
        <v>0</v>
      </c>
      <c r="N62" s="18">
        <f>IFERROR((E62+F62)/C62,0)</f>
        <v>0</v>
      </c>
      <c r="O62" s="18">
        <f>IFERROR((H62/(C62*30))*100,0)</f>
        <v>0</v>
      </c>
      <c r="P62" s="18">
        <f>IFERROR((F62/(D62+B62))*100,0)</f>
        <v>0</v>
      </c>
    </row>
    <row r="63" spans="1:16" x14ac:dyDescent="0.25">
      <c r="A63" s="19" t="s">
        <v>142</v>
      </c>
      <c r="B63" s="19">
        <f t="shared" ref="B63:J63" si="31">B59+B60</f>
        <v>0</v>
      </c>
      <c r="C63" s="19">
        <f t="shared" si="31"/>
        <v>20</v>
      </c>
      <c r="D63" s="19">
        <f t="shared" si="31"/>
        <v>0</v>
      </c>
      <c r="E63" s="19">
        <f t="shared" si="31"/>
        <v>0</v>
      </c>
      <c r="F63" s="19">
        <f t="shared" si="31"/>
        <v>0</v>
      </c>
      <c r="G63" s="19">
        <f t="shared" si="31"/>
        <v>0</v>
      </c>
      <c r="H63" s="19">
        <f t="shared" si="31"/>
        <v>0</v>
      </c>
      <c r="I63" s="19">
        <f t="shared" si="31"/>
        <v>0</v>
      </c>
      <c r="J63" s="19">
        <f t="shared" si="31"/>
        <v>0</v>
      </c>
      <c r="K63" s="20">
        <f>IFERROR(H63/30,0)</f>
        <v>0</v>
      </c>
      <c r="L63" s="20">
        <f>IFERROR(H63/(E63+F63),0)</f>
        <v>0</v>
      </c>
      <c r="M63" s="20">
        <f>IFERROR((C63*30-H63)/(E63+F63),0)</f>
        <v>0</v>
      </c>
      <c r="N63" s="20">
        <f>IFERROR((E63+F63)/C63,0)</f>
        <v>0</v>
      </c>
      <c r="O63" s="20">
        <f>IFERROR((H63/(C63*30))*100,0)</f>
        <v>0</v>
      </c>
      <c r="P63" s="20">
        <f>IFERROR((F63/(D63+B63))*100,0)</f>
        <v>0</v>
      </c>
    </row>
    <row r="65" spans="1:16" ht="18.75" x14ac:dyDescent="0.25">
      <c r="A65" s="31" t="s">
        <v>0</v>
      </c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</row>
    <row r="66" spans="1:16" ht="15.75" x14ac:dyDescent="0.25">
      <c r="A66" s="34" t="s">
        <v>146</v>
      </c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 ht="38.25" x14ac:dyDescent="0.25">
      <c r="A67" s="8" t="s">
        <v>129</v>
      </c>
      <c r="B67" s="8" t="s">
        <v>130</v>
      </c>
      <c r="C67" s="8" t="s">
        <v>131</v>
      </c>
      <c r="D67" s="8" t="s">
        <v>72</v>
      </c>
      <c r="E67" s="8" t="s">
        <v>73</v>
      </c>
      <c r="F67" s="8" t="s">
        <v>74</v>
      </c>
      <c r="G67" s="8" t="s">
        <v>106</v>
      </c>
      <c r="H67" s="8" t="s">
        <v>132</v>
      </c>
      <c r="I67" s="8" t="s">
        <v>133</v>
      </c>
      <c r="J67" s="8" t="s">
        <v>134</v>
      </c>
      <c r="K67" s="8" t="s">
        <v>135</v>
      </c>
      <c r="L67" s="8" t="s">
        <v>136</v>
      </c>
      <c r="M67" s="8" t="s">
        <v>137</v>
      </c>
      <c r="N67" s="8" t="s">
        <v>138</v>
      </c>
      <c r="O67" s="8" t="s">
        <v>139</v>
      </c>
      <c r="P67" s="8" t="s">
        <v>140</v>
      </c>
    </row>
    <row r="68" spans="1:16" x14ac:dyDescent="0.25">
      <c r="A68" s="14" t="s">
        <v>29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5">
        <f t="shared" ref="K68:K76" si="32">IFERROR(H68/31,0)</f>
        <v>0</v>
      </c>
      <c r="L68" s="15">
        <f t="shared" ref="L68:L76" si="33">IFERROR(H68/(E68+F68),0)</f>
        <v>0</v>
      </c>
      <c r="M68" s="15">
        <f t="shared" ref="M68:M76" si="34">IFERROR((C68*31-H68)/(E68+F68),0)</f>
        <v>0</v>
      </c>
      <c r="N68" s="15">
        <f t="shared" ref="N68:N76" si="35">IFERROR((E68+F68)/C68,0)</f>
        <v>0</v>
      </c>
      <c r="O68" s="15">
        <f t="shared" ref="O68:O76" si="36">IFERROR((H68/(C68*31))*100,0)</f>
        <v>0</v>
      </c>
      <c r="P68" s="15">
        <f t="shared" ref="P68:P76" si="37">IFERROR((F68/(D68+B68))*100,0)</f>
        <v>0</v>
      </c>
    </row>
    <row r="69" spans="1:16" x14ac:dyDescent="0.25">
      <c r="A69" s="14" t="s">
        <v>31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5">
        <f t="shared" si="32"/>
        <v>0</v>
      </c>
      <c r="L69" s="15">
        <f t="shared" si="33"/>
        <v>0</v>
      </c>
      <c r="M69" s="15">
        <f t="shared" si="34"/>
        <v>0</v>
      </c>
      <c r="N69" s="15">
        <f t="shared" si="35"/>
        <v>0</v>
      </c>
      <c r="O69" s="15">
        <f t="shared" si="36"/>
        <v>0</v>
      </c>
      <c r="P69" s="15">
        <f t="shared" si="37"/>
        <v>0</v>
      </c>
    </row>
    <row r="70" spans="1:16" x14ac:dyDescent="0.25">
      <c r="A70" s="14" t="s">
        <v>33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5">
        <f t="shared" si="32"/>
        <v>0</v>
      </c>
      <c r="L70" s="15">
        <f t="shared" si="33"/>
        <v>0</v>
      </c>
      <c r="M70" s="15">
        <f t="shared" si="34"/>
        <v>0</v>
      </c>
      <c r="N70" s="15">
        <f t="shared" si="35"/>
        <v>0</v>
      </c>
      <c r="O70" s="15">
        <f t="shared" si="36"/>
        <v>0</v>
      </c>
      <c r="P70" s="15">
        <f t="shared" si="37"/>
        <v>0</v>
      </c>
    </row>
    <row r="71" spans="1:16" x14ac:dyDescent="0.25">
      <c r="A71" s="14" t="s">
        <v>35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5">
        <f t="shared" si="32"/>
        <v>0</v>
      </c>
      <c r="L71" s="15">
        <f t="shared" si="33"/>
        <v>0</v>
      </c>
      <c r="M71" s="15">
        <f t="shared" si="34"/>
        <v>0</v>
      </c>
      <c r="N71" s="15">
        <f t="shared" si="35"/>
        <v>0</v>
      </c>
      <c r="O71" s="15">
        <f t="shared" si="36"/>
        <v>0</v>
      </c>
      <c r="P71" s="15">
        <f t="shared" si="37"/>
        <v>0</v>
      </c>
    </row>
    <row r="72" spans="1:16" x14ac:dyDescent="0.25">
      <c r="A72" s="14" t="s">
        <v>37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5">
        <f t="shared" si="32"/>
        <v>0</v>
      </c>
      <c r="L72" s="15">
        <f t="shared" si="33"/>
        <v>0</v>
      </c>
      <c r="M72" s="15">
        <f t="shared" si="34"/>
        <v>0</v>
      </c>
      <c r="N72" s="15">
        <f t="shared" si="35"/>
        <v>0</v>
      </c>
      <c r="O72" s="15">
        <f t="shared" si="36"/>
        <v>0</v>
      </c>
      <c r="P72" s="15">
        <f t="shared" si="37"/>
        <v>0</v>
      </c>
    </row>
    <row r="73" spans="1:16" x14ac:dyDescent="0.25">
      <c r="A73" s="14" t="s">
        <v>39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5">
        <f t="shared" si="32"/>
        <v>0</v>
      </c>
      <c r="L73" s="15">
        <f t="shared" si="33"/>
        <v>0</v>
      </c>
      <c r="M73" s="15">
        <f t="shared" si="34"/>
        <v>0</v>
      </c>
      <c r="N73" s="15">
        <f t="shared" si="35"/>
        <v>0</v>
      </c>
      <c r="O73" s="15">
        <f t="shared" si="36"/>
        <v>0</v>
      </c>
      <c r="P73" s="15">
        <f t="shared" si="37"/>
        <v>0</v>
      </c>
    </row>
    <row r="74" spans="1:16" x14ac:dyDescent="0.25">
      <c r="A74" s="14" t="s">
        <v>41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5" spans="1:16" x14ac:dyDescent="0.25">
      <c r="A75" s="14" t="s">
        <v>43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5">
        <f t="shared" si="32"/>
        <v>0</v>
      </c>
      <c r="L75" s="15">
        <f t="shared" si="33"/>
        <v>0</v>
      </c>
      <c r="M75" s="15">
        <f t="shared" si="34"/>
        <v>0</v>
      </c>
      <c r="N75" s="15">
        <f t="shared" si="35"/>
        <v>0</v>
      </c>
      <c r="O75" s="15">
        <f t="shared" si="36"/>
        <v>0</v>
      </c>
      <c r="P75" s="15">
        <f t="shared" si="37"/>
        <v>0</v>
      </c>
    </row>
    <row r="76" spans="1:16" x14ac:dyDescent="0.25">
      <c r="A76" s="14" t="s">
        <v>45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5">
        <f t="shared" si="32"/>
        <v>0</v>
      </c>
      <c r="L76" s="15">
        <f t="shared" si="33"/>
        <v>0</v>
      </c>
      <c r="M76" s="15">
        <f t="shared" si="34"/>
        <v>0</v>
      </c>
      <c r="N76" s="15">
        <f t="shared" si="35"/>
        <v>0</v>
      </c>
      <c r="O76" s="15">
        <f t="shared" si="36"/>
        <v>0</v>
      </c>
      <c r="P76" s="15">
        <f t="shared" si="37"/>
        <v>0</v>
      </c>
    </row>
    <row r="77" spans="1:16" x14ac:dyDescent="0.25">
      <c r="A77" s="16" t="s">
        <v>141</v>
      </c>
      <c r="B77" s="14">
        <f>SUMIFS(tblDaily[Remaining],tblDaily[EntryDate],DATE(2026,5,31),tblDaily[WardCode],"MAE")+SUMIFS(tblDaily[Remaining],tblDaily[EntryDate],DATE(2026,5,31),tblDaily[WardCode],"FAE")</f>
        <v>0</v>
      </c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</row>
    <row r="78" spans="1:16" x14ac:dyDescent="0.25">
      <c r="A78" s="9" t="s">
        <v>110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8">
        <f>IFERROR(H78/31,0)</f>
        <v>0</v>
      </c>
      <c r="L78" s="18">
        <f>IFERROR(H78/(E78+F78),0)</f>
        <v>0</v>
      </c>
      <c r="M78" s="18">
        <f>IFERROR((C78*31-H78)/(E78+F78),0)</f>
        <v>0</v>
      </c>
      <c r="N78" s="18">
        <f>IFERROR((E78+F78)/C78,0)</f>
        <v>0</v>
      </c>
      <c r="O78" s="18">
        <f>IFERROR((H78/(C78*31))*100,0)</f>
        <v>0</v>
      </c>
      <c r="P78" s="18">
        <f>IFERROR((F78/(D78+B78))*100,0)</f>
        <v>0</v>
      </c>
    </row>
    <row r="79" spans="1:16" x14ac:dyDescent="0.25">
      <c r="A79" s="19" t="s">
        <v>142</v>
      </c>
      <c r="B79" s="19">
        <f t="shared" ref="B79:J79" si="39">B75+B76</f>
        <v>0</v>
      </c>
      <c r="C79" s="19">
        <f t="shared" si="39"/>
        <v>20</v>
      </c>
      <c r="D79" s="19">
        <f t="shared" si="39"/>
        <v>0</v>
      </c>
      <c r="E79" s="19">
        <f t="shared" si="39"/>
        <v>0</v>
      </c>
      <c r="F79" s="19">
        <f t="shared" si="39"/>
        <v>0</v>
      </c>
      <c r="G79" s="19">
        <f t="shared" si="39"/>
        <v>0</v>
      </c>
      <c r="H79" s="19">
        <f t="shared" si="39"/>
        <v>0</v>
      </c>
      <c r="I79" s="19">
        <f t="shared" si="39"/>
        <v>0</v>
      </c>
      <c r="J79" s="19">
        <f t="shared" si="39"/>
        <v>0</v>
      </c>
      <c r="K79" s="20">
        <f>IFERROR(H79/31,0)</f>
        <v>0</v>
      </c>
      <c r="L79" s="20">
        <f>IFERROR(H79/(E79+F79),0)</f>
        <v>0</v>
      </c>
      <c r="M79" s="20">
        <f>IFERROR((C79*31-H79)/(E79+F79),0)</f>
        <v>0</v>
      </c>
      <c r="N79" s="20">
        <f>IFERROR((E79+F79)/C79,0)</f>
        <v>0</v>
      </c>
      <c r="O79" s="20">
        <f>IFERROR((H79/(C79*31))*100,0)</f>
        <v>0</v>
      </c>
      <c r="P79" s="20">
        <f>IFERROR((F79/(D79+B79))*100,0)</f>
        <v>0</v>
      </c>
    </row>
    <row r="81" spans="1:16" ht="18.75" x14ac:dyDescent="0.25">
      <c r="A81" s="31" t="s">
        <v>0</v>
      </c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 ht="15.75" x14ac:dyDescent="0.25">
      <c r="A82" s="34" t="s">
        <v>147</v>
      </c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 ht="38.25" x14ac:dyDescent="0.25">
      <c r="A83" s="8" t="s">
        <v>129</v>
      </c>
      <c r="B83" s="8" t="s">
        <v>130</v>
      </c>
      <c r="C83" s="8" t="s">
        <v>131</v>
      </c>
      <c r="D83" s="8" t="s">
        <v>72</v>
      </c>
      <c r="E83" s="8" t="s">
        <v>73</v>
      </c>
      <c r="F83" s="8" t="s">
        <v>74</v>
      </c>
      <c r="G83" s="8" t="s">
        <v>106</v>
      </c>
      <c r="H83" s="8" t="s">
        <v>132</v>
      </c>
      <c r="I83" s="8" t="s">
        <v>133</v>
      </c>
      <c r="J83" s="8" t="s">
        <v>134</v>
      </c>
      <c r="K83" s="8" t="s">
        <v>135</v>
      </c>
      <c r="L83" s="8" t="s">
        <v>136</v>
      </c>
      <c r="M83" s="8" t="s">
        <v>137</v>
      </c>
      <c r="N83" s="8" t="s">
        <v>138</v>
      </c>
      <c r="O83" s="8" t="s">
        <v>139</v>
      </c>
      <c r="P83" s="8" t="s">
        <v>140</v>
      </c>
    </row>
    <row r="84" spans="1:16" x14ac:dyDescent="0.25">
      <c r="A84" s="14" t="s">
        <v>29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5">
        <f t="shared" ref="K84:K92" si="40">IFERROR(H84/30,0)</f>
        <v>0</v>
      </c>
      <c r="L84" s="15">
        <f t="shared" ref="L84:L92" si="41">IFERROR(H84/(E84+F84),0)</f>
        <v>0</v>
      </c>
      <c r="M84" s="15">
        <f t="shared" ref="M84:M92" si="42">IFERROR((C84*30-H84)/(E84+F84),0)</f>
        <v>0</v>
      </c>
      <c r="N84" s="15">
        <f t="shared" ref="N84:N92" si="43">IFERROR((E84+F84)/C84,0)</f>
        <v>0</v>
      </c>
      <c r="O84" s="15">
        <f t="shared" ref="O84:O92" si="44">IFERROR((H84/(C84*30))*100,0)</f>
        <v>0</v>
      </c>
      <c r="P84" s="15">
        <f t="shared" ref="P84:P92" si="45">IFERROR((F84/(D84+B84))*100,0)</f>
        <v>0</v>
      </c>
    </row>
    <row r="85" spans="1:16" x14ac:dyDescent="0.25">
      <c r="A85" s="14" t="s">
        <v>31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5">
        <f t="shared" si="40"/>
        <v>0</v>
      </c>
      <c r="L85" s="15">
        <f t="shared" si="41"/>
        <v>0</v>
      </c>
      <c r="M85" s="15">
        <f t="shared" si="42"/>
        <v>0</v>
      </c>
      <c r="N85" s="15">
        <f t="shared" si="43"/>
        <v>0</v>
      </c>
      <c r="O85" s="15">
        <f t="shared" si="44"/>
        <v>0</v>
      </c>
      <c r="P85" s="15">
        <f t="shared" si="45"/>
        <v>0</v>
      </c>
    </row>
    <row r="86" spans="1:16" x14ac:dyDescent="0.25">
      <c r="A86" s="14" t="s">
        <v>33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5">
        <f t="shared" si="40"/>
        <v>0</v>
      </c>
      <c r="L86" s="15">
        <f t="shared" si="41"/>
        <v>0</v>
      </c>
      <c r="M86" s="15">
        <f t="shared" si="42"/>
        <v>0</v>
      </c>
      <c r="N86" s="15">
        <f t="shared" si="43"/>
        <v>0</v>
      </c>
      <c r="O86" s="15">
        <f t="shared" si="44"/>
        <v>0</v>
      </c>
      <c r="P86" s="15">
        <f t="shared" si="45"/>
        <v>0</v>
      </c>
    </row>
    <row r="87" spans="1:16" x14ac:dyDescent="0.25">
      <c r="A87" s="14" t="s">
        <v>35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5">
        <f t="shared" si="40"/>
        <v>0</v>
      </c>
      <c r="L87" s="15">
        <f t="shared" si="41"/>
        <v>0</v>
      </c>
      <c r="M87" s="15">
        <f t="shared" si="42"/>
        <v>0</v>
      </c>
      <c r="N87" s="15">
        <f t="shared" si="43"/>
        <v>0</v>
      </c>
      <c r="O87" s="15">
        <f t="shared" si="44"/>
        <v>0</v>
      </c>
      <c r="P87" s="15">
        <f t="shared" si="45"/>
        <v>0</v>
      </c>
    </row>
    <row r="88" spans="1:16" x14ac:dyDescent="0.25">
      <c r="A88" s="14" t="s">
        <v>37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5">
        <f t="shared" si="40"/>
        <v>0</v>
      </c>
      <c r="L88" s="15">
        <f t="shared" si="41"/>
        <v>0</v>
      </c>
      <c r="M88" s="15">
        <f t="shared" si="42"/>
        <v>0</v>
      </c>
      <c r="N88" s="15">
        <f t="shared" si="43"/>
        <v>0</v>
      </c>
      <c r="O88" s="15">
        <f t="shared" si="44"/>
        <v>0</v>
      </c>
      <c r="P88" s="15">
        <f t="shared" si="45"/>
        <v>0</v>
      </c>
    </row>
    <row r="89" spans="1:16" x14ac:dyDescent="0.25">
      <c r="A89" s="14" t="s">
        <v>39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0" spans="1:16" x14ac:dyDescent="0.25">
      <c r="A90" s="14" t="s">
        <v>41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5">
        <f t="shared" si="40"/>
        <v>0</v>
      </c>
      <c r="L90" s="15">
        <f t="shared" si="41"/>
        <v>0</v>
      </c>
      <c r="M90" s="15">
        <f t="shared" si="42"/>
        <v>0</v>
      </c>
      <c r="N90" s="15">
        <f t="shared" si="43"/>
        <v>0</v>
      </c>
      <c r="O90" s="15">
        <f t="shared" si="44"/>
        <v>0</v>
      </c>
      <c r="P90" s="15">
        <f t="shared" si="45"/>
        <v>0</v>
      </c>
    </row>
    <row r="91" spans="1:16" x14ac:dyDescent="0.25">
      <c r="A91" s="14" t="s">
        <v>43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5">
        <f t="shared" si="40"/>
        <v>0</v>
      </c>
      <c r="L91" s="15">
        <f t="shared" si="41"/>
        <v>0</v>
      </c>
      <c r="M91" s="15">
        <f t="shared" si="42"/>
        <v>0</v>
      </c>
      <c r="N91" s="15">
        <f t="shared" si="43"/>
        <v>0</v>
      </c>
      <c r="O91" s="15">
        <f t="shared" si="44"/>
        <v>0</v>
      </c>
      <c r="P91" s="15">
        <f t="shared" si="45"/>
        <v>0</v>
      </c>
    </row>
    <row r="92" spans="1:16" x14ac:dyDescent="0.25">
      <c r="A92" s="14" t="s">
        <v>45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5">
        <f t="shared" si="40"/>
        <v>0</v>
      </c>
      <c r="L92" s="15">
        <f t="shared" si="41"/>
        <v>0</v>
      </c>
      <c r="M92" s="15">
        <f t="shared" si="42"/>
        <v>0</v>
      </c>
      <c r="N92" s="15">
        <f t="shared" si="43"/>
        <v>0</v>
      </c>
      <c r="O92" s="15">
        <f t="shared" si="44"/>
        <v>0</v>
      </c>
      <c r="P92" s="15">
        <f t="shared" si="45"/>
        <v>0</v>
      </c>
    </row>
    <row r="93" spans="1:16" x14ac:dyDescent="0.25">
      <c r="A93" s="16" t="s">
        <v>141</v>
      </c>
      <c r="B93" s="14">
        <f>SUMIFS(tblDaily[Remaining],tblDaily[EntryDate],DATE(2026,6,30),tblDaily[WardCode],"MAE")+SUMIFS(tblDaily[Remaining],tblDaily[EntryDate],DATE(2026,6,30),tblDaily[WardCode],"FAE")</f>
        <v>0</v>
      </c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</row>
    <row r="94" spans="1:16" x14ac:dyDescent="0.25">
      <c r="A94" s="9" t="s">
        <v>110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8">
        <f>IFERROR(H94/30,0)</f>
        <v>0</v>
      </c>
      <c r="L94" s="18">
        <f>IFERROR(H94/(E94+F94),0)</f>
        <v>0</v>
      </c>
      <c r="M94" s="18">
        <f>IFERROR((C94*30-H94)/(E94+F94),0)</f>
        <v>0</v>
      </c>
      <c r="N94" s="18">
        <f>IFERROR((E94+F94)/C94,0)</f>
        <v>0</v>
      </c>
      <c r="O94" s="18">
        <f>IFERROR((H94/(C94*30))*100,0)</f>
        <v>0</v>
      </c>
      <c r="P94" s="18">
        <f>IFERROR((F94/(D94+B94))*100,0)</f>
        <v>0</v>
      </c>
    </row>
    <row r="95" spans="1:16" x14ac:dyDescent="0.25">
      <c r="A95" s="19" t="s">
        <v>142</v>
      </c>
      <c r="B95" s="19">
        <f t="shared" ref="B95:J95" si="47">B91+B92</f>
        <v>0</v>
      </c>
      <c r="C95" s="19">
        <f t="shared" si="47"/>
        <v>20</v>
      </c>
      <c r="D95" s="19">
        <f t="shared" si="47"/>
        <v>0</v>
      </c>
      <c r="E95" s="19">
        <f t="shared" si="47"/>
        <v>0</v>
      </c>
      <c r="F95" s="19">
        <f t="shared" si="47"/>
        <v>0</v>
      </c>
      <c r="G95" s="19">
        <f t="shared" si="47"/>
        <v>0</v>
      </c>
      <c r="H95" s="19">
        <f t="shared" si="47"/>
        <v>0</v>
      </c>
      <c r="I95" s="19">
        <f t="shared" si="47"/>
        <v>0</v>
      </c>
      <c r="J95" s="19">
        <f t="shared" si="47"/>
        <v>0</v>
      </c>
      <c r="K95" s="20">
        <f>IFERROR(H95/30,0)</f>
        <v>0</v>
      </c>
      <c r="L95" s="20">
        <f>IFERROR(H95/(E95+F95),0)</f>
        <v>0</v>
      </c>
      <c r="M95" s="20">
        <f>IFERROR((C95*30-H95)/(E95+F95),0)</f>
        <v>0</v>
      </c>
      <c r="N95" s="20">
        <f>IFERROR((E95+F95)/C95,0)</f>
        <v>0</v>
      </c>
      <c r="O95" s="20">
        <f>IFERROR((H95/(C95*30))*100,0)</f>
        <v>0</v>
      </c>
      <c r="P95" s="20">
        <f>IFERROR((F95/(D95+B95))*100,0)</f>
        <v>0</v>
      </c>
    </row>
    <row r="97" spans="1:16" ht="18.75" x14ac:dyDescent="0.25">
      <c r="A97" s="31" t="s">
        <v>0</v>
      </c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 ht="15.75" x14ac:dyDescent="0.25">
      <c r="A98" s="34" t="s">
        <v>148</v>
      </c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 ht="38.25" x14ac:dyDescent="0.25">
      <c r="A99" s="8" t="s">
        <v>129</v>
      </c>
      <c r="B99" s="8" t="s">
        <v>130</v>
      </c>
      <c r="C99" s="8" t="s">
        <v>131</v>
      </c>
      <c r="D99" s="8" t="s">
        <v>72</v>
      </c>
      <c r="E99" s="8" t="s">
        <v>73</v>
      </c>
      <c r="F99" s="8" t="s">
        <v>74</v>
      </c>
      <c r="G99" s="8" t="s">
        <v>106</v>
      </c>
      <c r="H99" s="8" t="s">
        <v>132</v>
      </c>
      <c r="I99" s="8" t="s">
        <v>133</v>
      </c>
      <c r="J99" s="8" t="s">
        <v>134</v>
      </c>
      <c r="K99" s="8" t="s">
        <v>135</v>
      </c>
      <c r="L99" s="8" t="s">
        <v>136</v>
      </c>
      <c r="M99" s="8" t="s">
        <v>137</v>
      </c>
      <c r="N99" s="8" t="s">
        <v>138</v>
      </c>
      <c r="O99" s="8" t="s">
        <v>139</v>
      </c>
      <c r="P99" s="8" t="s">
        <v>140</v>
      </c>
    </row>
    <row r="100" spans="1:16" x14ac:dyDescent="0.25">
      <c r="A100" s="14" t="s">
        <v>29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5">
        <f t="shared" ref="K100:K108" si="48">IFERROR(H100/31,0)</f>
        <v>0</v>
      </c>
      <c r="L100" s="15">
        <f t="shared" ref="L100:L108" si="49">IFERROR(H100/(E100+F100),0)</f>
        <v>0</v>
      </c>
      <c r="M100" s="15">
        <f t="shared" ref="M100:M108" si="50">IFERROR((C100*31-H100)/(E100+F100),0)</f>
        <v>0</v>
      </c>
      <c r="N100" s="15">
        <f t="shared" ref="N100:N108" si="51">IFERROR((E100+F100)/C100,0)</f>
        <v>0</v>
      </c>
      <c r="O100" s="15">
        <f t="shared" ref="O100:O108" si="52">IFERROR((H100/(C100*31))*100,0)</f>
        <v>0</v>
      </c>
      <c r="P100" s="15">
        <f t="shared" ref="P100:P108" si="53">IFERROR((F100/(D100+B100))*100,0)</f>
        <v>0</v>
      </c>
    </row>
    <row r="101" spans="1:16" x14ac:dyDescent="0.25">
      <c r="A101" s="14" t="s">
        <v>31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5">
        <f t="shared" si="48"/>
        <v>0</v>
      </c>
      <c r="L101" s="15">
        <f t="shared" si="49"/>
        <v>0</v>
      </c>
      <c r="M101" s="15">
        <f t="shared" si="50"/>
        <v>0</v>
      </c>
      <c r="N101" s="15">
        <f t="shared" si="51"/>
        <v>0</v>
      </c>
      <c r="O101" s="15">
        <f t="shared" si="52"/>
        <v>0</v>
      </c>
      <c r="P101" s="15">
        <f t="shared" si="53"/>
        <v>0</v>
      </c>
    </row>
    <row r="102" spans="1:16" x14ac:dyDescent="0.25">
      <c r="A102" s="14" t="s">
        <v>33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5">
        <f t="shared" si="48"/>
        <v>0</v>
      </c>
      <c r="L102" s="15">
        <f t="shared" si="49"/>
        <v>0</v>
      </c>
      <c r="M102" s="15">
        <f t="shared" si="50"/>
        <v>0</v>
      </c>
      <c r="N102" s="15">
        <f t="shared" si="51"/>
        <v>0</v>
      </c>
      <c r="O102" s="15">
        <f t="shared" si="52"/>
        <v>0</v>
      </c>
      <c r="P102" s="15">
        <f t="shared" si="53"/>
        <v>0</v>
      </c>
    </row>
    <row r="103" spans="1:16" x14ac:dyDescent="0.25">
      <c r="A103" s="14" t="s">
        <v>35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5">
        <f t="shared" si="48"/>
        <v>0</v>
      </c>
      <c r="L103" s="15">
        <f t="shared" si="49"/>
        <v>0</v>
      </c>
      <c r="M103" s="15">
        <f t="shared" si="50"/>
        <v>0</v>
      </c>
      <c r="N103" s="15">
        <f t="shared" si="51"/>
        <v>0</v>
      </c>
      <c r="O103" s="15">
        <f t="shared" si="52"/>
        <v>0</v>
      </c>
      <c r="P103" s="15">
        <f t="shared" si="53"/>
        <v>0</v>
      </c>
    </row>
    <row r="104" spans="1:16" x14ac:dyDescent="0.25">
      <c r="A104" s="14" t="s">
        <v>37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5" spans="1:16" x14ac:dyDescent="0.25">
      <c r="A105" s="14" t="s">
        <v>39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5">
        <f t="shared" si="48"/>
        <v>0</v>
      </c>
      <c r="L105" s="15">
        <f t="shared" si="49"/>
        <v>0</v>
      </c>
      <c r="M105" s="15">
        <f t="shared" si="50"/>
        <v>0</v>
      </c>
      <c r="N105" s="15">
        <f t="shared" si="51"/>
        <v>0</v>
      </c>
      <c r="O105" s="15">
        <f t="shared" si="52"/>
        <v>0</v>
      </c>
      <c r="P105" s="15">
        <f t="shared" si="53"/>
        <v>0</v>
      </c>
    </row>
    <row r="106" spans="1:16" x14ac:dyDescent="0.25">
      <c r="A106" s="14" t="s">
        <v>41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5">
        <f t="shared" si="48"/>
        <v>0</v>
      </c>
      <c r="L106" s="15">
        <f t="shared" si="49"/>
        <v>0</v>
      </c>
      <c r="M106" s="15">
        <f t="shared" si="50"/>
        <v>0</v>
      </c>
      <c r="N106" s="15">
        <f t="shared" si="51"/>
        <v>0</v>
      </c>
      <c r="O106" s="15">
        <f t="shared" si="52"/>
        <v>0</v>
      </c>
      <c r="P106" s="15">
        <f t="shared" si="53"/>
        <v>0</v>
      </c>
    </row>
    <row r="107" spans="1:16" x14ac:dyDescent="0.25">
      <c r="A107" s="14" t="s">
        <v>43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5">
        <f t="shared" si="48"/>
        <v>0</v>
      </c>
      <c r="L107" s="15">
        <f t="shared" si="49"/>
        <v>0</v>
      </c>
      <c r="M107" s="15">
        <f t="shared" si="50"/>
        <v>0</v>
      </c>
      <c r="N107" s="15">
        <f t="shared" si="51"/>
        <v>0</v>
      </c>
      <c r="O107" s="15">
        <f t="shared" si="52"/>
        <v>0</v>
      </c>
      <c r="P107" s="15">
        <f t="shared" si="53"/>
        <v>0</v>
      </c>
    </row>
    <row r="108" spans="1:16" x14ac:dyDescent="0.25">
      <c r="A108" s="14" t="s">
        <v>45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5">
        <f t="shared" si="48"/>
        <v>0</v>
      </c>
      <c r="L108" s="15">
        <f t="shared" si="49"/>
        <v>0</v>
      </c>
      <c r="M108" s="15">
        <f t="shared" si="50"/>
        <v>0</v>
      </c>
      <c r="N108" s="15">
        <f t="shared" si="51"/>
        <v>0</v>
      </c>
      <c r="O108" s="15">
        <f t="shared" si="52"/>
        <v>0</v>
      </c>
      <c r="P108" s="15">
        <f t="shared" si="53"/>
        <v>0</v>
      </c>
    </row>
    <row r="109" spans="1:16" x14ac:dyDescent="0.25">
      <c r="A109" s="16" t="s">
        <v>141</v>
      </c>
      <c r="B109" s="14">
        <f>SUMIFS(tblDaily[Remaining],tblDaily[EntryDate],DATE(2026,7,31),tblDaily[WardCode],"MAE")+SUMIFS(tblDaily[Remaining],tblDaily[EntryDate],DATE(2026,7,31),tblDaily[WardCode],"FAE")</f>
        <v>0</v>
      </c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</row>
    <row r="110" spans="1:16" x14ac:dyDescent="0.25">
      <c r="A110" s="9" t="s">
        <v>110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8">
        <f>IFERROR(H110/31,0)</f>
        <v>0</v>
      </c>
      <c r="L110" s="18">
        <f>IFERROR(H110/(E110+F110),0)</f>
        <v>0</v>
      </c>
      <c r="M110" s="18">
        <f>IFERROR((C110*31-H110)/(E110+F110),0)</f>
        <v>0</v>
      </c>
      <c r="N110" s="18">
        <f>IFERROR((E110+F110)/C110,0)</f>
        <v>0</v>
      </c>
      <c r="O110" s="18">
        <f>IFERROR((H110/(C110*31))*100,0)</f>
        <v>0</v>
      </c>
      <c r="P110" s="18">
        <f>IFERROR((F110/(D110+B110))*100,0)</f>
        <v>0</v>
      </c>
    </row>
    <row r="111" spans="1:16" x14ac:dyDescent="0.25">
      <c r="A111" s="19" t="s">
        <v>142</v>
      </c>
      <c r="B111" s="19">
        <f t="shared" ref="B111:J111" si="55">B107+B108</f>
        <v>0</v>
      </c>
      <c r="C111" s="19">
        <f t="shared" si="55"/>
        <v>20</v>
      </c>
      <c r="D111" s="19">
        <f t="shared" si="55"/>
        <v>0</v>
      </c>
      <c r="E111" s="19">
        <f t="shared" si="55"/>
        <v>0</v>
      </c>
      <c r="F111" s="19">
        <f t="shared" si="55"/>
        <v>0</v>
      </c>
      <c r="G111" s="19">
        <f t="shared" si="55"/>
        <v>0</v>
      </c>
      <c r="H111" s="19">
        <f t="shared" si="55"/>
        <v>0</v>
      </c>
      <c r="I111" s="19">
        <f t="shared" si="55"/>
        <v>0</v>
      </c>
      <c r="J111" s="19">
        <f t="shared" si="55"/>
        <v>0</v>
      </c>
      <c r="K111" s="20">
        <f>IFERROR(H111/31,0)</f>
        <v>0</v>
      </c>
      <c r="L111" s="20">
        <f>IFERROR(H111/(E111+F111),0)</f>
        <v>0</v>
      </c>
      <c r="M111" s="20">
        <f>IFERROR((C111*31-H111)/(E111+F111),0)</f>
        <v>0</v>
      </c>
      <c r="N111" s="20">
        <f>IFERROR((E111+F111)/C111,0)</f>
        <v>0</v>
      </c>
      <c r="O111" s="20">
        <f>IFERROR((H111/(C111*31))*100,0)</f>
        <v>0</v>
      </c>
      <c r="P111" s="20">
        <f>IFERROR((F111/(D111+B111))*100,0)</f>
        <v>0</v>
      </c>
    </row>
    <row r="113" spans="1:16" ht="18.75" x14ac:dyDescent="0.25">
      <c r="A113" s="31" t="s">
        <v>0</v>
      </c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</row>
    <row r="114" spans="1:16" ht="15.75" x14ac:dyDescent="0.25">
      <c r="A114" s="34" t="s">
        <v>149</v>
      </c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</row>
    <row r="115" spans="1:16" ht="38.25" x14ac:dyDescent="0.25">
      <c r="A115" s="8" t="s">
        <v>129</v>
      </c>
      <c r="B115" s="8" t="s">
        <v>130</v>
      </c>
      <c r="C115" s="8" t="s">
        <v>131</v>
      </c>
      <c r="D115" s="8" t="s">
        <v>72</v>
      </c>
      <c r="E115" s="8" t="s">
        <v>73</v>
      </c>
      <c r="F115" s="8" t="s">
        <v>74</v>
      </c>
      <c r="G115" s="8" t="s">
        <v>106</v>
      </c>
      <c r="H115" s="8" t="s">
        <v>132</v>
      </c>
      <c r="I115" s="8" t="s">
        <v>133</v>
      </c>
      <c r="J115" s="8" t="s">
        <v>134</v>
      </c>
      <c r="K115" s="8" t="s">
        <v>135</v>
      </c>
      <c r="L115" s="8" t="s">
        <v>136</v>
      </c>
      <c r="M115" s="8" t="s">
        <v>137</v>
      </c>
      <c r="N115" s="8" t="s">
        <v>138</v>
      </c>
      <c r="O115" s="8" t="s">
        <v>139</v>
      </c>
      <c r="P115" s="8" t="s">
        <v>140</v>
      </c>
    </row>
    <row r="116" spans="1:16" x14ac:dyDescent="0.25">
      <c r="A116" s="14" t="s">
        <v>29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5">
        <f t="shared" ref="K116:K124" si="56">IFERROR(H116/31,0)</f>
        <v>0</v>
      </c>
      <c r="L116" s="15">
        <f t="shared" ref="L116:L124" si="57">IFERROR(H116/(E116+F116),0)</f>
        <v>0</v>
      </c>
      <c r="M116" s="15">
        <f t="shared" ref="M116:M124" si="58">IFERROR((C116*31-H116)/(E116+F116),0)</f>
        <v>0</v>
      </c>
      <c r="N116" s="15">
        <f t="shared" ref="N116:N124" si="59">IFERROR((E116+F116)/C116,0)</f>
        <v>0</v>
      </c>
      <c r="O116" s="15">
        <f t="shared" ref="O116:O124" si="60">IFERROR((H116/(C116*31))*100,0)</f>
        <v>0</v>
      </c>
      <c r="P116" s="15">
        <f t="shared" ref="P116:P124" si="61">IFERROR((F116/(D116+B116))*100,0)</f>
        <v>0</v>
      </c>
    </row>
    <row r="117" spans="1:16" x14ac:dyDescent="0.25">
      <c r="A117" s="14" t="s">
        <v>31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5">
        <f t="shared" si="56"/>
        <v>0</v>
      </c>
      <c r="L117" s="15">
        <f t="shared" si="57"/>
        <v>0</v>
      </c>
      <c r="M117" s="15">
        <f t="shared" si="58"/>
        <v>0</v>
      </c>
      <c r="N117" s="15">
        <f t="shared" si="59"/>
        <v>0</v>
      </c>
      <c r="O117" s="15">
        <f t="shared" si="60"/>
        <v>0</v>
      </c>
      <c r="P117" s="15">
        <f t="shared" si="61"/>
        <v>0</v>
      </c>
    </row>
    <row r="118" spans="1:16" x14ac:dyDescent="0.25">
      <c r="A118" s="14" t="s">
        <v>33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5">
        <f t="shared" si="56"/>
        <v>0</v>
      </c>
      <c r="L118" s="15">
        <f t="shared" si="57"/>
        <v>0</v>
      </c>
      <c r="M118" s="15">
        <f t="shared" si="58"/>
        <v>0</v>
      </c>
      <c r="N118" s="15">
        <f t="shared" si="59"/>
        <v>0</v>
      </c>
      <c r="O118" s="15">
        <f t="shared" si="60"/>
        <v>0</v>
      </c>
      <c r="P118" s="15">
        <f t="shared" si="61"/>
        <v>0</v>
      </c>
    </row>
    <row r="119" spans="1:16" x14ac:dyDescent="0.25">
      <c r="A119" s="14" t="s">
        <v>35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0" spans="1:16" x14ac:dyDescent="0.25">
      <c r="A120" s="14" t="s">
        <v>37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5">
        <f t="shared" si="56"/>
        <v>0</v>
      </c>
      <c r="L120" s="15">
        <f t="shared" si="57"/>
        <v>0</v>
      </c>
      <c r="M120" s="15">
        <f t="shared" si="58"/>
        <v>0</v>
      </c>
      <c r="N120" s="15">
        <f t="shared" si="59"/>
        <v>0</v>
      </c>
      <c r="O120" s="15">
        <f t="shared" si="60"/>
        <v>0</v>
      </c>
      <c r="P120" s="15">
        <f t="shared" si="61"/>
        <v>0</v>
      </c>
    </row>
    <row r="121" spans="1:16" x14ac:dyDescent="0.25">
      <c r="A121" s="14" t="s">
        <v>39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5">
        <f t="shared" si="56"/>
        <v>0</v>
      </c>
      <c r="L121" s="15">
        <f t="shared" si="57"/>
        <v>0</v>
      </c>
      <c r="M121" s="15">
        <f t="shared" si="58"/>
        <v>0</v>
      </c>
      <c r="N121" s="15">
        <f t="shared" si="59"/>
        <v>0</v>
      </c>
      <c r="O121" s="15">
        <f t="shared" si="60"/>
        <v>0</v>
      </c>
      <c r="P121" s="15">
        <f t="shared" si="61"/>
        <v>0</v>
      </c>
    </row>
    <row r="122" spans="1:16" x14ac:dyDescent="0.25">
      <c r="A122" s="14" t="s">
        <v>41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5">
        <f t="shared" si="56"/>
        <v>0</v>
      </c>
      <c r="L122" s="15">
        <f t="shared" si="57"/>
        <v>0</v>
      </c>
      <c r="M122" s="15">
        <f t="shared" si="58"/>
        <v>0</v>
      </c>
      <c r="N122" s="15">
        <f t="shared" si="59"/>
        <v>0</v>
      </c>
      <c r="O122" s="15">
        <f t="shared" si="60"/>
        <v>0</v>
      </c>
      <c r="P122" s="15">
        <f t="shared" si="61"/>
        <v>0</v>
      </c>
    </row>
    <row r="123" spans="1:16" x14ac:dyDescent="0.25">
      <c r="A123" s="14" t="s">
        <v>43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5">
        <f t="shared" si="56"/>
        <v>0</v>
      </c>
      <c r="L123" s="15">
        <f t="shared" si="57"/>
        <v>0</v>
      </c>
      <c r="M123" s="15">
        <f t="shared" si="58"/>
        <v>0</v>
      </c>
      <c r="N123" s="15">
        <f t="shared" si="59"/>
        <v>0</v>
      </c>
      <c r="O123" s="15">
        <f t="shared" si="60"/>
        <v>0</v>
      </c>
      <c r="P123" s="15">
        <f t="shared" si="61"/>
        <v>0</v>
      </c>
    </row>
    <row r="124" spans="1:16" x14ac:dyDescent="0.25">
      <c r="A124" s="14" t="s">
        <v>45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5">
        <f t="shared" si="56"/>
        <v>0</v>
      </c>
      <c r="L124" s="15">
        <f t="shared" si="57"/>
        <v>0</v>
      </c>
      <c r="M124" s="15">
        <f t="shared" si="58"/>
        <v>0</v>
      </c>
      <c r="N124" s="15">
        <f t="shared" si="59"/>
        <v>0</v>
      </c>
      <c r="O124" s="15">
        <f t="shared" si="60"/>
        <v>0</v>
      </c>
      <c r="P124" s="15">
        <f t="shared" si="61"/>
        <v>0</v>
      </c>
    </row>
    <row r="125" spans="1:16" x14ac:dyDescent="0.25">
      <c r="A125" s="16" t="s">
        <v>141</v>
      </c>
      <c r="B125" s="14">
        <f>SUMIFS(tblDaily[Remaining],tblDaily[EntryDate],DATE(2026,8,31),tblDaily[WardCode],"MAE")+SUMIFS(tblDaily[Remaining],tblDaily[EntryDate],DATE(2026,8,31),tblDaily[WardCode],"FAE")</f>
        <v>0</v>
      </c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</row>
    <row r="126" spans="1:16" x14ac:dyDescent="0.25">
      <c r="A126" s="9" t="s">
        <v>110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8">
        <f>IFERROR(H126/31,0)</f>
        <v>0</v>
      </c>
      <c r="L126" s="18">
        <f>IFERROR(H126/(E126+F126),0)</f>
        <v>0</v>
      </c>
      <c r="M126" s="18">
        <f>IFERROR((C126*31-H126)/(E126+F126),0)</f>
        <v>0</v>
      </c>
      <c r="N126" s="18">
        <f>IFERROR((E126+F126)/C126,0)</f>
        <v>0</v>
      </c>
      <c r="O126" s="18">
        <f>IFERROR((H126/(C126*31))*100,0)</f>
        <v>0</v>
      </c>
      <c r="P126" s="18">
        <f>IFERROR((F126/(D126+B126))*100,0)</f>
        <v>0</v>
      </c>
    </row>
    <row r="127" spans="1:16" x14ac:dyDescent="0.25">
      <c r="A127" s="19" t="s">
        <v>142</v>
      </c>
      <c r="B127" s="19">
        <f t="shared" ref="B127:J127" si="63">B123+B124</f>
        <v>0</v>
      </c>
      <c r="C127" s="19">
        <f t="shared" si="63"/>
        <v>20</v>
      </c>
      <c r="D127" s="19">
        <f t="shared" si="63"/>
        <v>0</v>
      </c>
      <c r="E127" s="19">
        <f t="shared" si="63"/>
        <v>0</v>
      </c>
      <c r="F127" s="19">
        <f t="shared" si="63"/>
        <v>0</v>
      </c>
      <c r="G127" s="19">
        <f t="shared" si="63"/>
        <v>0</v>
      </c>
      <c r="H127" s="19">
        <f t="shared" si="63"/>
        <v>0</v>
      </c>
      <c r="I127" s="19">
        <f t="shared" si="63"/>
        <v>0</v>
      </c>
      <c r="J127" s="19">
        <f t="shared" si="63"/>
        <v>0</v>
      </c>
      <c r="K127" s="20">
        <f>IFERROR(H127/31,0)</f>
        <v>0</v>
      </c>
      <c r="L127" s="20">
        <f>IFERROR(H127/(E127+F127),0)</f>
        <v>0</v>
      </c>
      <c r="M127" s="20">
        <f>IFERROR((C127*31-H127)/(E127+F127),0)</f>
        <v>0</v>
      </c>
      <c r="N127" s="20">
        <f>IFERROR((E127+F127)/C127,0)</f>
        <v>0</v>
      </c>
      <c r="O127" s="20">
        <f>IFERROR((H127/(C127*31))*100,0)</f>
        <v>0</v>
      </c>
      <c r="P127" s="20">
        <f>IFERROR((F127/(D127+B127))*100,0)</f>
        <v>0</v>
      </c>
    </row>
    <row r="129" spans="1:16" ht="18.75" x14ac:dyDescent="0.25">
      <c r="A129" s="31" t="s">
        <v>0</v>
      </c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</row>
    <row r="130" spans="1:16" ht="15.75" x14ac:dyDescent="0.25">
      <c r="A130" s="34" t="s">
        <v>150</v>
      </c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</row>
    <row r="131" spans="1:16" ht="38.25" x14ac:dyDescent="0.25">
      <c r="A131" s="8" t="s">
        <v>129</v>
      </c>
      <c r="B131" s="8" t="s">
        <v>130</v>
      </c>
      <c r="C131" s="8" t="s">
        <v>131</v>
      </c>
      <c r="D131" s="8" t="s">
        <v>72</v>
      </c>
      <c r="E131" s="8" t="s">
        <v>73</v>
      </c>
      <c r="F131" s="8" t="s">
        <v>74</v>
      </c>
      <c r="G131" s="8" t="s">
        <v>106</v>
      </c>
      <c r="H131" s="8" t="s">
        <v>132</v>
      </c>
      <c r="I131" s="8" t="s">
        <v>133</v>
      </c>
      <c r="J131" s="8" t="s">
        <v>134</v>
      </c>
      <c r="K131" s="8" t="s">
        <v>135</v>
      </c>
      <c r="L131" s="8" t="s">
        <v>136</v>
      </c>
      <c r="M131" s="8" t="s">
        <v>137</v>
      </c>
      <c r="N131" s="8" t="s">
        <v>138</v>
      </c>
      <c r="O131" s="8" t="s">
        <v>139</v>
      </c>
      <c r="P131" s="8" t="s">
        <v>140</v>
      </c>
    </row>
    <row r="132" spans="1:16" x14ac:dyDescent="0.25">
      <c r="A132" s="14" t="s">
        <v>29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5">
        <f t="shared" ref="K132:K140" si="64">IFERROR(H132/30,0)</f>
        <v>0</v>
      </c>
      <c r="L132" s="15">
        <f t="shared" ref="L132:L140" si="65">IFERROR(H132/(E132+F132),0)</f>
        <v>0</v>
      </c>
      <c r="M132" s="15">
        <f t="shared" ref="M132:M140" si="66">IFERROR((C132*30-H132)/(E132+F132),0)</f>
        <v>0</v>
      </c>
      <c r="N132" s="15">
        <f t="shared" ref="N132:N140" si="67">IFERROR((E132+F132)/C132,0)</f>
        <v>0</v>
      </c>
      <c r="O132" s="15">
        <f t="shared" ref="O132:O140" si="68">IFERROR((H132/(C132*30))*100,0)</f>
        <v>0</v>
      </c>
      <c r="P132" s="15">
        <f t="shared" ref="P132:P140" si="69">IFERROR((F132/(D132+B132))*100,0)</f>
        <v>0</v>
      </c>
    </row>
    <row r="133" spans="1:16" x14ac:dyDescent="0.25">
      <c r="A133" s="14" t="s">
        <v>31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5">
        <f t="shared" si="64"/>
        <v>0</v>
      </c>
      <c r="L133" s="15">
        <f t="shared" si="65"/>
        <v>0</v>
      </c>
      <c r="M133" s="15">
        <f t="shared" si="66"/>
        <v>0</v>
      </c>
      <c r="N133" s="15">
        <f t="shared" si="67"/>
        <v>0</v>
      </c>
      <c r="O133" s="15">
        <f t="shared" si="68"/>
        <v>0</v>
      </c>
      <c r="P133" s="15">
        <f t="shared" si="69"/>
        <v>0</v>
      </c>
    </row>
    <row r="134" spans="1:16" x14ac:dyDescent="0.25">
      <c r="A134" s="14" t="s">
        <v>33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5" spans="1:16" x14ac:dyDescent="0.25">
      <c r="A135" s="14" t="s">
        <v>35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5">
        <f t="shared" si="64"/>
        <v>0</v>
      </c>
      <c r="L135" s="15">
        <f t="shared" si="65"/>
        <v>0</v>
      </c>
      <c r="M135" s="15">
        <f t="shared" si="66"/>
        <v>0</v>
      </c>
      <c r="N135" s="15">
        <f t="shared" si="67"/>
        <v>0</v>
      </c>
      <c r="O135" s="15">
        <f t="shared" si="68"/>
        <v>0</v>
      </c>
      <c r="P135" s="15">
        <f t="shared" si="69"/>
        <v>0</v>
      </c>
    </row>
    <row r="136" spans="1:16" x14ac:dyDescent="0.25">
      <c r="A136" s="14" t="s">
        <v>37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5">
        <f t="shared" si="64"/>
        <v>0</v>
      </c>
      <c r="L136" s="15">
        <f t="shared" si="65"/>
        <v>0</v>
      </c>
      <c r="M136" s="15">
        <f t="shared" si="66"/>
        <v>0</v>
      </c>
      <c r="N136" s="15">
        <f t="shared" si="67"/>
        <v>0</v>
      </c>
      <c r="O136" s="15">
        <f t="shared" si="68"/>
        <v>0</v>
      </c>
      <c r="P136" s="15">
        <f t="shared" si="69"/>
        <v>0</v>
      </c>
    </row>
    <row r="137" spans="1:16" x14ac:dyDescent="0.25">
      <c r="A137" s="14" t="s">
        <v>39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5">
        <f t="shared" si="64"/>
        <v>0</v>
      </c>
      <c r="L137" s="15">
        <f t="shared" si="65"/>
        <v>0</v>
      </c>
      <c r="M137" s="15">
        <f t="shared" si="66"/>
        <v>0</v>
      </c>
      <c r="N137" s="15">
        <f t="shared" si="67"/>
        <v>0</v>
      </c>
      <c r="O137" s="15">
        <f t="shared" si="68"/>
        <v>0</v>
      </c>
      <c r="P137" s="15">
        <f t="shared" si="69"/>
        <v>0</v>
      </c>
    </row>
    <row r="138" spans="1:16" x14ac:dyDescent="0.25">
      <c r="A138" s="14" t="s">
        <v>41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5">
        <f t="shared" si="64"/>
        <v>0</v>
      </c>
      <c r="L138" s="15">
        <f t="shared" si="65"/>
        <v>0</v>
      </c>
      <c r="M138" s="15">
        <f t="shared" si="66"/>
        <v>0</v>
      </c>
      <c r="N138" s="15">
        <f t="shared" si="67"/>
        <v>0</v>
      </c>
      <c r="O138" s="15">
        <f t="shared" si="68"/>
        <v>0</v>
      </c>
      <c r="P138" s="15">
        <f t="shared" si="69"/>
        <v>0</v>
      </c>
    </row>
    <row r="139" spans="1:16" x14ac:dyDescent="0.25">
      <c r="A139" s="14" t="s">
        <v>43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5">
        <f t="shared" si="64"/>
        <v>0</v>
      </c>
      <c r="L139" s="15">
        <f t="shared" si="65"/>
        <v>0</v>
      </c>
      <c r="M139" s="15">
        <f t="shared" si="66"/>
        <v>0</v>
      </c>
      <c r="N139" s="15">
        <f t="shared" si="67"/>
        <v>0</v>
      </c>
      <c r="O139" s="15">
        <f t="shared" si="68"/>
        <v>0</v>
      </c>
      <c r="P139" s="15">
        <f t="shared" si="69"/>
        <v>0</v>
      </c>
    </row>
    <row r="140" spans="1:16" x14ac:dyDescent="0.25">
      <c r="A140" s="14" t="s">
        <v>45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5">
        <f t="shared" si="64"/>
        <v>0</v>
      </c>
      <c r="L140" s="15">
        <f t="shared" si="65"/>
        <v>0</v>
      </c>
      <c r="M140" s="15">
        <f t="shared" si="66"/>
        <v>0</v>
      </c>
      <c r="N140" s="15">
        <f t="shared" si="67"/>
        <v>0</v>
      </c>
      <c r="O140" s="15">
        <f t="shared" si="68"/>
        <v>0</v>
      </c>
      <c r="P140" s="15">
        <f t="shared" si="69"/>
        <v>0</v>
      </c>
    </row>
    <row r="141" spans="1:16" x14ac:dyDescent="0.25">
      <c r="A141" s="16" t="s">
        <v>141</v>
      </c>
      <c r="B141" s="14">
        <f>SUMIFS(tblDaily[Remaining],tblDaily[EntryDate],DATE(2026,9,30),tblDaily[WardCode],"MAE")+SUMIFS(tblDaily[Remaining],tblDaily[EntryDate],DATE(2026,9,30),tblDaily[WardCode],"FAE")</f>
        <v>0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</row>
    <row r="142" spans="1:16" x14ac:dyDescent="0.25">
      <c r="A142" s="9" t="s">
        <v>110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8">
        <f>IFERROR(H142/30,0)</f>
        <v>0</v>
      </c>
      <c r="L142" s="18">
        <f>IFERROR(H142/(E142+F142),0)</f>
        <v>0</v>
      </c>
      <c r="M142" s="18">
        <f>IFERROR((C142*30-H142)/(E142+F142),0)</f>
        <v>0</v>
      </c>
      <c r="N142" s="18">
        <f>IFERROR((E142+F142)/C142,0)</f>
        <v>0</v>
      </c>
      <c r="O142" s="18">
        <f>IFERROR((H142/(C142*30))*100,0)</f>
        <v>0</v>
      </c>
      <c r="P142" s="18">
        <f>IFERROR((F142/(D142+B142))*100,0)</f>
        <v>0</v>
      </c>
    </row>
    <row r="143" spans="1:16" x14ac:dyDescent="0.25">
      <c r="A143" s="19" t="s">
        <v>142</v>
      </c>
      <c r="B143" s="19">
        <f t="shared" ref="B143:J143" si="71">B139+B140</f>
        <v>0</v>
      </c>
      <c r="C143" s="19">
        <f t="shared" si="71"/>
        <v>20</v>
      </c>
      <c r="D143" s="19">
        <f t="shared" si="71"/>
        <v>0</v>
      </c>
      <c r="E143" s="19">
        <f t="shared" si="71"/>
        <v>0</v>
      </c>
      <c r="F143" s="19">
        <f t="shared" si="71"/>
        <v>0</v>
      </c>
      <c r="G143" s="19">
        <f t="shared" si="71"/>
        <v>0</v>
      </c>
      <c r="H143" s="19">
        <f t="shared" si="71"/>
        <v>0</v>
      </c>
      <c r="I143" s="19">
        <f t="shared" si="71"/>
        <v>0</v>
      </c>
      <c r="J143" s="19">
        <f t="shared" si="71"/>
        <v>0</v>
      </c>
      <c r="K143" s="20">
        <f>IFERROR(H143/30,0)</f>
        <v>0</v>
      </c>
      <c r="L143" s="20">
        <f>IFERROR(H143/(E143+F143),0)</f>
        <v>0</v>
      </c>
      <c r="M143" s="20">
        <f>IFERROR((C143*30-H143)/(E143+F143),0)</f>
        <v>0</v>
      </c>
      <c r="N143" s="20">
        <f>IFERROR((E143+F143)/C143,0)</f>
        <v>0</v>
      </c>
      <c r="O143" s="20">
        <f>IFERROR((H143/(C143*30))*100,0)</f>
        <v>0</v>
      </c>
      <c r="P143" s="20">
        <f>IFERROR((F143/(D143+B143))*100,0)</f>
        <v>0</v>
      </c>
    </row>
    <row r="145" spans="1:16" ht="18.75" x14ac:dyDescent="0.25">
      <c r="A145" s="31" t="s">
        <v>0</v>
      </c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</row>
    <row r="146" spans="1:16" ht="15.75" x14ac:dyDescent="0.25">
      <c r="A146" s="34" t="s">
        <v>151</v>
      </c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</row>
    <row r="147" spans="1:16" ht="38.25" x14ac:dyDescent="0.25">
      <c r="A147" s="8" t="s">
        <v>129</v>
      </c>
      <c r="B147" s="8" t="s">
        <v>130</v>
      </c>
      <c r="C147" s="8" t="s">
        <v>131</v>
      </c>
      <c r="D147" s="8" t="s">
        <v>72</v>
      </c>
      <c r="E147" s="8" t="s">
        <v>73</v>
      </c>
      <c r="F147" s="8" t="s">
        <v>74</v>
      </c>
      <c r="G147" s="8" t="s">
        <v>106</v>
      </c>
      <c r="H147" s="8" t="s">
        <v>132</v>
      </c>
      <c r="I147" s="8" t="s">
        <v>133</v>
      </c>
      <c r="J147" s="8" t="s">
        <v>134</v>
      </c>
      <c r="K147" s="8" t="s">
        <v>135</v>
      </c>
      <c r="L147" s="8" t="s">
        <v>136</v>
      </c>
      <c r="M147" s="8" t="s">
        <v>137</v>
      </c>
      <c r="N147" s="8" t="s">
        <v>138</v>
      </c>
      <c r="O147" s="8" t="s">
        <v>139</v>
      </c>
      <c r="P147" s="8" t="s">
        <v>140</v>
      </c>
    </row>
    <row r="148" spans="1:16" x14ac:dyDescent="0.25">
      <c r="A148" s="14" t="s">
        <v>29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5">
        <f t="shared" ref="K148:K156" si="72">IFERROR(H148/31,0)</f>
        <v>0</v>
      </c>
      <c r="L148" s="15">
        <f t="shared" ref="L148:L156" si="73">IFERROR(H148/(E148+F148),0)</f>
        <v>0</v>
      </c>
      <c r="M148" s="15">
        <f t="shared" ref="M148:M156" si="74">IFERROR((C148*31-H148)/(E148+F148),0)</f>
        <v>0</v>
      </c>
      <c r="N148" s="15">
        <f t="shared" ref="N148:N156" si="75">IFERROR((E148+F148)/C148,0)</f>
        <v>0</v>
      </c>
      <c r="O148" s="15">
        <f t="shared" ref="O148:O156" si="76">IFERROR((H148/(C148*31))*100,0)</f>
        <v>0</v>
      </c>
      <c r="P148" s="15">
        <f t="shared" ref="P148:P156" si="77">IFERROR((F148/(D148+B148))*100,0)</f>
        <v>0</v>
      </c>
    </row>
    <row r="149" spans="1:16" x14ac:dyDescent="0.25">
      <c r="A149" s="14" t="s">
        <v>31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0" spans="1:16" x14ac:dyDescent="0.25">
      <c r="A150" s="14" t="s">
        <v>33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5">
        <f t="shared" si="72"/>
        <v>0</v>
      </c>
      <c r="L150" s="15">
        <f t="shared" si="73"/>
        <v>0</v>
      </c>
      <c r="M150" s="15">
        <f t="shared" si="74"/>
        <v>0</v>
      </c>
      <c r="N150" s="15">
        <f t="shared" si="75"/>
        <v>0</v>
      </c>
      <c r="O150" s="15">
        <f t="shared" si="76"/>
        <v>0</v>
      </c>
      <c r="P150" s="15">
        <f t="shared" si="77"/>
        <v>0</v>
      </c>
    </row>
    <row r="151" spans="1:16" x14ac:dyDescent="0.25">
      <c r="A151" s="14" t="s">
        <v>35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5">
        <f t="shared" si="72"/>
        <v>0</v>
      </c>
      <c r="L151" s="15">
        <f t="shared" si="73"/>
        <v>0</v>
      </c>
      <c r="M151" s="15">
        <f t="shared" si="74"/>
        <v>0</v>
      </c>
      <c r="N151" s="15">
        <f t="shared" si="75"/>
        <v>0</v>
      </c>
      <c r="O151" s="15">
        <f t="shared" si="76"/>
        <v>0</v>
      </c>
      <c r="P151" s="15">
        <f t="shared" si="77"/>
        <v>0</v>
      </c>
    </row>
    <row r="152" spans="1:16" x14ac:dyDescent="0.25">
      <c r="A152" s="14" t="s">
        <v>37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5">
        <f t="shared" si="72"/>
        <v>0</v>
      </c>
      <c r="L152" s="15">
        <f t="shared" si="73"/>
        <v>0</v>
      </c>
      <c r="M152" s="15">
        <f t="shared" si="74"/>
        <v>0</v>
      </c>
      <c r="N152" s="15">
        <f t="shared" si="75"/>
        <v>0</v>
      </c>
      <c r="O152" s="15">
        <f t="shared" si="76"/>
        <v>0</v>
      </c>
      <c r="P152" s="15">
        <f t="shared" si="77"/>
        <v>0</v>
      </c>
    </row>
    <row r="153" spans="1:16" x14ac:dyDescent="0.25">
      <c r="A153" s="14" t="s">
        <v>39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5">
        <f t="shared" si="72"/>
        <v>0</v>
      </c>
      <c r="L153" s="15">
        <f t="shared" si="73"/>
        <v>0</v>
      </c>
      <c r="M153" s="15">
        <f t="shared" si="74"/>
        <v>0</v>
      </c>
      <c r="N153" s="15">
        <f t="shared" si="75"/>
        <v>0</v>
      </c>
      <c r="O153" s="15">
        <f t="shared" si="76"/>
        <v>0</v>
      </c>
      <c r="P153" s="15">
        <f t="shared" si="77"/>
        <v>0</v>
      </c>
    </row>
    <row r="154" spans="1:16" x14ac:dyDescent="0.25">
      <c r="A154" s="14" t="s">
        <v>41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5">
        <f t="shared" si="72"/>
        <v>0</v>
      </c>
      <c r="L154" s="15">
        <f t="shared" si="73"/>
        <v>0</v>
      </c>
      <c r="M154" s="15">
        <f t="shared" si="74"/>
        <v>0</v>
      </c>
      <c r="N154" s="15">
        <f t="shared" si="75"/>
        <v>0</v>
      </c>
      <c r="O154" s="15">
        <f t="shared" si="76"/>
        <v>0</v>
      </c>
      <c r="P154" s="15">
        <f t="shared" si="77"/>
        <v>0</v>
      </c>
    </row>
    <row r="155" spans="1:16" x14ac:dyDescent="0.25">
      <c r="A155" s="14" t="s">
        <v>43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5">
        <f t="shared" si="72"/>
        <v>0</v>
      </c>
      <c r="L155" s="15">
        <f t="shared" si="73"/>
        <v>0</v>
      </c>
      <c r="M155" s="15">
        <f t="shared" si="74"/>
        <v>0</v>
      </c>
      <c r="N155" s="15">
        <f t="shared" si="75"/>
        <v>0</v>
      </c>
      <c r="O155" s="15">
        <f t="shared" si="76"/>
        <v>0</v>
      </c>
      <c r="P155" s="15">
        <f t="shared" si="77"/>
        <v>0</v>
      </c>
    </row>
    <row r="156" spans="1:16" x14ac:dyDescent="0.25">
      <c r="A156" s="14" t="s">
        <v>45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5">
        <f t="shared" si="72"/>
        <v>0</v>
      </c>
      <c r="L156" s="15">
        <f t="shared" si="73"/>
        <v>0</v>
      </c>
      <c r="M156" s="15">
        <f t="shared" si="74"/>
        <v>0</v>
      </c>
      <c r="N156" s="15">
        <f t="shared" si="75"/>
        <v>0</v>
      </c>
      <c r="O156" s="15">
        <f t="shared" si="76"/>
        <v>0</v>
      </c>
      <c r="P156" s="15">
        <f t="shared" si="77"/>
        <v>0</v>
      </c>
    </row>
    <row r="157" spans="1:16" x14ac:dyDescent="0.25">
      <c r="A157" s="16" t="s">
        <v>141</v>
      </c>
      <c r="B157" s="14">
        <f>SUMIFS(tblDaily[Remaining],tblDaily[EntryDate],DATE(2026,10,31),tblDaily[WardCode],"MAE")+SUMIFS(tblDaily[Remaining],tblDaily[EntryDate],DATE(2026,10,31),tblDaily[WardCode],"FAE")</f>
        <v>0</v>
      </c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</row>
    <row r="158" spans="1:16" x14ac:dyDescent="0.25">
      <c r="A158" s="9" t="s">
        <v>110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8">
        <f>IFERROR(H158/31,0)</f>
        <v>0</v>
      </c>
      <c r="L158" s="18">
        <f>IFERROR(H158/(E158+F158),0)</f>
        <v>0</v>
      </c>
      <c r="M158" s="18">
        <f>IFERROR((C158*31-H158)/(E158+F158),0)</f>
        <v>0</v>
      </c>
      <c r="N158" s="18">
        <f>IFERROR((E158+F158)/C158,0)</f>
        <v>0</v>
      </c>
      <c r="O158" s="18">
        <f>IFERROR((H158/(C158*31))*100,0)</f>
        <v>0</v>
      </c>
      <c r="P158" s="18">
        <f>IFERROR((F158/(D158+B158))*100,0)</f>
        <v>0</v>
      </c>
    </row>
    <row r="159" spans="1:16" x14ac:dyDescent="0.25">
      <c r="A159" s="19" t="s">
        <v>142</v>
      </c>
      <c r="B159" s="19">
        <f t="shared" ref="B159:J159" si="79">B155+B156</f>
        <v>0</v>
      </c>
      <c r="C159" s="19">
        <f t="shared" si="79"/>
        <v>20</v>
      </c>
      <c r="D159" s="19">
        <f t="shared" si="79"/>
        <v>0</v>
      </c>
      <c r="E159" s="19">
        <f t="shared" si="79"/>
        <v>0</v>
      </c>
      <c r="F159" s="19">
        <f t="shared" si="79"/>
        <v>0</v>
      </c>
      <c r="G159" s="19">
        <f t="shared" si="79"/>
        <v>0</v>
      </c>
      <c r="H159" s="19">
        <f t="shared" si="79"/>
        <v>0</v>
      </c>
      <c r="I159" s="19">
        <f t="shared" si="79"/>
        <v>0</v>
      </c>
      <c r="J159" s="19">
        <f t="shared" si="79"/>
        <v>0</v>
      </c>
      <c r="K159" s="20">
        <f>IFERROR(H159/31,0)</f>
        <v>0</v>
      </c>
      <c r="L159" s="20">
        <f>IFERROR(H159/(E159+F159),0)</f>
        <v>0</v>
      </c>
      <c r="M159" s="20">
        <f>IFERROR((C159*31-H159)/(E159+F159),0)</f>
        <v>0</v>
      </c>
      <c r="N159" s="20">
        <f>IFERROR((E159+F159)/C159,0)</f>
        <v>0</v>
      </c>
      <c r="O159" s="20">
        <f>IFERROR((H159/(C159*31))*100,0)</f>
        <v>0</v>
      </c>
      <c r="P159" s="20">
        <f>IFERROR((F159/(D159+B159))*100,0)</f>
        <v>0</v>
      </c>
    </row>
    <row r="161" spans="1:16" ht="18.75" x14ac:dyDescent="0.25">
      <c r="A161" s="31" t="s">
        <v>0</v>
      </c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</row>
    <row r="162" spans="1:16" ht="15.75" x14ac:dyDescent="0.25">
      <c r="A162" s="34" t="s">
        <v>152</v>
      </c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</row>
    <row r="163" spans="1:16" ht="38.25" x14ac:dyDescent="0.25">
      <c r="A163" s="8" t="s">
        <v>129</v>
      </c>
      <c r="B163" s="8" t="s">
        <v>130</v>
      </c>
      <c r="C163" s="8" t="s">
        <v>131</v>
      </c>
      <c r="D163" s="8" t="s">
        <v>72</v>
      </c>
      <c r="E163" s="8" t="s">
        <v>73</v>
      </c>
      <c r="F163" s="8" t="s">
        <v>74</v>
      </c>
      <c r="G163" s="8" t="s">
        <v>106</v>
      </c>
      <c r="H163" s="8" t="s">
        <v>132</v>
      </c>
      <c r="I163" s="8" t="s">
        <v>133</v>
      </c>
      <c r="J163" s="8" t="s">
        <v>134</v>
      </c>
      <c r="K163" s="8" t="s">
        <v>135</v>
      </c>
      <c r="L163" s="8" t="s">
        <v>136</v>
      </c>
      <c r="M163" s="8" t="s">
        <v>137</v>
      </c>
      <c r="N163" s="8" t="s">
        <v>138</v>
      </c>
      <c r="O163" s="8" t="s">
        <v>139</v>
      </c>
      <c r="P163" s="8" t="s">
        <v>140</v>
      </c>
    </row>
    <row r="164" spans="1:16" x14ac:dyDescent="0.25">
      <c r="A164" s="14" t="s">
        <v>29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5">
        <f t="shared" ref="K164:K172" si="80">IFERROR(H164/30,0)</f>
        <v>0</v>
      </c>
      <c r="L164" s="15">
        <f t="shared" ref="L164:L172" si="81">IFERROR(H164/(E164+F164),0)</f>
        <v>0</v>
      </c>
      <c r="M164" s="15">
        <f t="shared" ref="M164:M172" si="82">IFERROR((C164*30-H164)/(E164+F164),0)</f>
        <v>0</v>
      </c>
      <c r="N164" s="15">
        <f t="shared" ref="N164:N172" si="83">IFERROR((E164+F164)/C164,0)</f>
        <v>0</v>
      </c>
      <c r="O164" s="15">
        <f t="shared" ref="O164:O172" si="84">IFERROR((H164/(C164*30))*100,0)</f>
        <v>0</v>
      </c>
      <c r="P164" s="15">
        <f t="shared" ref="P164:P172" si="85">IFERROR((F164/(D164+B164))*100,0)</f>
        <v>0</v>
      </c>
    </row>
    <row r="165" spans="1:16" x14ac:dyDescent="0.25">
      <c r="A165" s="14" t="s">
        <v>31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5">
        <f t="shared" si="80"/>
        <v>0</v>
      </c>
      <c r="L165" s="15">
        <f t="shared" si="81"/>
        <v>0</v>
      </c>
      <c r="M165" s="15">
        <f t="shared" si="82"/>
        <v>0</v>
      </c>
      <c r="N165" s="15">
        <f t="shared" si="83"/>
        <v>0</v>
      </c>
      <c r="O165" s="15">
        <f t="shared" si="84"/>
        <v>0</v>
      </c>
      <c r="P165" s="15">
        <f t="shared" si="85"/>
        <v>0</v>
      </c>
    </row>
    <row r="166" spans="1:16" x14ac:dyDescent="0.25">
      <c r="A166" s="14" t="s">
        <v>33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5">
        <f t="shared" si="80"/>
        <v>0</v>
      </c>
      <c r="L166" s="15">
        <f t="shared" si="81"/>
        <v>0</v>
      </c>
      <c r="M166" s="15">
        <f t="shared" si="82"/>
        <v>0</v>
      </c>
      <c r="N166" s="15">
        <f t="shared" si="83"/>
        <v>0</v>
      </c>
      <c r="O166" s="15">
        <f t="shared" si="84"/>
        <v>0</v>
      </c>
      <c r="P166" s="15">
        <f t="shared" si="85"/>
        <v>0</v>
      </c>
    </row>
    <row r="167" spans="1:16" x14ac:dyDescent="0.25">
      <c r="A167" s="14" t="s">
        <v>35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5">
        <f t="shared" si="80"/>
        <v>0</v>
      </c>
      <c r="L167" s="15">
        <f t="shared" si="81"/>
        <v>0</v>
      </c>
      <c r="M167" s="15">
        <f t="shared" si="82"/>
        <v>0</v>
      </c>
      <c r="N167" s="15">
        <f t="shared" si="83"/>
        <v>0</v>
      </c>
      <c r="O167" s="15">
        <f t="shared" si="84"/>
        <v>0</v>
      </c>
      <c r="P167" s="15">
        <f t="shared" si="85"/>
        <v>0</v>
      </c>
    </row>
    <row r="168" spans="1:16" x14ac:dyDescent="0.25">
      <c r="A168" s="14" t="s">
        <v>37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5">
        <f t="shared" si="80"/>
        <v>0</v>
      </c>
      <c r="L168" s="15">
        <f t="shared" si="81"/>
        <v>0</v>
      </c>
      <c r="M168" s="15">
        <f t="shared" si="82"/>
        <v>0</v>
      </c>
      <c r="N168" s="15">
        <f t="shared" si="83"/>
        <v>0</v>
      </c>
      <c r="O168" s="15">
        <f t="shared" si="84"/>
        <v>0</v>
      </c>
      <c r="P168" s="15">
        <f t="shared" si="85"/>
        <v>0</v>
      </c>
    </row>
    <row r="169" spans="1:16" x14ac:dyDescent="0.25">
      <c r="A169" s="14" t="s">
        <v>39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5">
        <f t="shared" si="80"/>
        <v>0</v>
      </c>
      <c r="L169" s="15">
        <f t="shared" si="81"/>
        <v>0</v>
      </c>
      <c r="M169" s="15">
        <f t="shared" si="82"/>
        <v>0</v>
      </c>
      <c r="N169" s="15">
        <f t="shared" si="83"/>
        <v>0</v>
      </c>
      <c r="O169" s="15">
        <f t="shared" si="84"/>
        <v>0</v>
      </c>
      <c r="P169" s="15">
        <f t="shared" si="85"/>
        <v>0</v>
      </c>
    </row>
    <row r="170" spans="1:16" x14ac:dyDescent="0.25">
      <c r="A170" s="14" t="s">
        <v>41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5">
        <f t="shared" si="80"/>
        <v>0</v>
      </c>
      <c r="L170" s="15">
        <f t="shared" si="81"/>
        <v>0</v>
      </c>
      <c r="M170" s="15">
        <f t="shared" si="82"/>
        <v>0</v>
      </c>
      <c r="N170" s="15">
        <f t="shared" si="83"/>
        <v>0</v>
      </c>
      <c r="O170" s="15">
        <f t="shared" si="84"/>
        <v>0</v>
      </c>
      <c r="P170" s="15">
        <f t="shared" si="85"/>
        <v>0</v>
      </c>
    </row>
    <row r="171" spans="1:16" x14ac:dyDescent="0.25">
      <c r="A171" s="14" t="s">
        <v>43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5">
        <f t="shared" si="80"/>
        <v>0</v>
      </c>
      <c r="L171" s="15">
        <f t="shared" si="81"/>
        <v>0</v>
      </c>
      <c r="M171" s="15">
        <f t="shared" si="82"/>
        <v>0</v>
      </c>
      <c r="N171" s="15">
        <f t="shared" si="83"/>
        <v>0</v>
      </c>
      <c r="O171" s="15">
        <f t="shared" si="84"/>
        <v>0</v>
      </c>
      <c r="P171" s="15">
        <f t="shared" si="85"/>
        <v>0</v>
      </c>
    </row>
    <row r="172" spans="1:16" x14ac:dyDescent="0.25">
      <c r="A172" s="14" t="s">
        <v>45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5">
        <f t="shared" si="80"/>
        <v>0</v>
      </c>
      <c r="L172" s="15">
        <f t="shared" si="81"/>
        <v>0</v>
      </c>
      <c r="M172" s="15">
        <f t="shared" si="82"/>
        <v>0</v>
      </c>
      <c r="N172" s="15">
        <f t="shared" si="83"/>
        <v>0</v>
      </c>
      <c r="O172" s="15">
        <f t="shared" si="84"/>
        <v>0</v>
      </c>
      <c r="P172" s="15">
        <f t="shared" si="85"/>
        <v>0</v>
      </c>
    </row>
    <row r="173" spans="1:16" x14ac:dyDescent="0.25">
      <c r="A173" s="16" t="s">
        <v>141</v>
      </c>
      <c r="B173" s="14">
        <f>SUMIFS(tblDaily[Remaining],tblDaily[EntryDate],DATE(2026,11,30),tblDaily[WardCode],"MAE")+SUMIFS(tblDaily[Remaining],tblDaily[EntryDate],DATE(2026,11,30),tblDaily[WardCode],"FAE")</f>
        <v>0</v>
      </c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</row>
    <row r="174" spans="1:16" x14ac:dyDescent="0.25">
      <c r="A174" s="9" t="s">
        <v>110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8">
        <f>IFERROR(H174/30,0)</f>
        <v>0</v>
      </c>
      <c r="L174" s="18">
        <f>IFERROR(H174/(E174+F174),0)</f>
        <v>0</v>
      </c>
      <c r="M174" s="18">
        <f>IFERROR((C174*30-H174)/(E174+F174),0)</f>
        <v>0</v>
      </c>
      <c r="N174" s="18">
        <f>IFERROR((E174+F174)/C174,0)</f>
        <v>0</v>
      </c>
      <c r="O174" s="18">
        <f>IFERROR((H174/(C174*30))*100,0)</f>
        <v>0</v>
      </c>
      <c r="P174" s="18">
        <f>IFERROR((F174/(D174+B174))*100,0)</f>
        <v>0</v>
      </c>
    </row>
    <row r="175" spans="1:16" x14ac:dyDescent="0.25">
      <c r="A175" s="19" t="s">
        <v>142</v>
      </c>
      <c r="B175" s="19">
        <f t="shared" ref="B175:J175" si="87">B171+B172</f>
        <v>0</v>
      </c>
      <c r="C175" s="19">
        <f t="shared" si="87"/>
        <v>20</v>
      </c>
      <c r="D175" s="19">
        <f t="shared" si="87"/>
        <v>0</v>
      </c>
      <c r="E175" s="19">
        <f t="shared" si="87"/>
        <v>0</v>
      </c>
      <c r="F175" s="19">
        <f t="shared" si="87"/>
        <v>0</v>
      </c>
      <c r="G175" s="19">
        <f t="shared" si="87"/>
        <v>0</v>
      </c>
      <c r="H175" s="19">
        <f t="shared" si="87"/>
        <v>0</v>
      </c>
      <c r="I175" s="19">
        <f t="shared" si="87"/>
        <v>0</v>
      </c>
      <c r="J175" s="19">
        <f t="shared" si="87"/>
        <v>0</v>
      </c>
      <c r="K175" s="20">
        <f>IFERROR(H175/30,0)</f>
        <v>0</v>
      </c>
      <c r="L175" s="20">
        <f>IFERROR(H175/(E175+F175),0)</f>
        <v>0</v>
      </c>
      <c r="M175" s="20">
        <f>IFERROR((C175*30-H175)/(E175+F175),0)</f>
        <v>0</v>
      </c>
      <c r="N175" s="20">
        <f>IFERROR((E175+F175)/C175,0)</f>
        <v>0</v>
      </c>
      <c r="O175" s="20">
        <f>IFERROR((H175/(C175*30))*100,0)</f>
        <v>0</v>
      </c>
      <c r="P175" s="20">
        <f>IFERROR((F175/(D175+B175))*100,0)</f>
        <v>0</v>
      </c>
    </row>
    <row r="177" spans="1:16" ht="18.75" x14ac:dyDescent="0.25">
      <c r="A177" s="31" t="s">
        <v>0</v>
      </c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</row>
    <row r="178" spans="1:16" ht="15.75" x14ac:dyDescent="0.25">
      <c r="A178" s="34" t="s">
        <v>153</v>
      </c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</row>
    <row r="179" spans="1:16" ht="38.25" x14ac:dyDescent="0.25">
      <c r="A179" s="8" t="s">
        <v>129</v>
      </c>
      <c r="B179" s="8" t="s">
        <v>130</v>
      </c>
      <c r="C179" s="8" t="s">
        <v>131</v>
      </c>
      <c r="D179" s="8" t="s">
        <v>72</v>
      </c>
      <c r="E179" s="8" t="s">
        <v>73</v>
      </c>
      <c r="F179" s="8" t="s">
        <v>74</v>
      </c>
      <c r="G179" s="8" t="s">
        <v>106</v>
      </c>
      <c r="H179" s="8" t="s">
        <v>132</v>
      </c>
      <c r="I179" s="8" t="s">
        <v>133</v>
      </c>
      <c r="J179" s="8" t="s">
        <v>134</v>
      </c>
      <c r="K179" s="8" t="s">
        <v>135</v>
      </c>
      <c r="L179" s="8" t="s">
        <v>136</v>
      </c>
      <c r="M179" s="8" t="s">
        <v>137</v>
      </c>
      <c r="N179" s="8" t="s">
        <v>138</v>
      </c>
      <c r="O179" s="8" t="s">
        <v>139</v>
      </c>
      <c r="P179" s="8" t="s">
        <v>140</v>
      </c>
    </row>
    <row r="180" spans="1:16" x14ac:dyDescent="0.25">
      <c r="A180" s="14" t="s">
        <v>29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5">
        <f t="shared" ref="K180:K188" si="88">IFERROR(H180/31,0)</f>
        <v>0</v>
      </c>
      <c r="L180" s="15">
        <f t="shared" ref="L180:L188" si="89">IFERROR(H180/(E180+F180),0)</f>
        <v>0</v>
      </c>
      <c r="M180" s="15">
        <f t="shared" ref="M180:M188" si="90">IFERROR((C180*31-H180)/(E180+F180),0)</f>
        <v>0</v>
      </c>
      <c r="N180" s="15">
        <f t="shared" ref="N180:N188" si="91">IFERROR((E180+F180)/C180,0)</f>
        <v>0</v>
      </c>
      <c r="O180" s="15">
        <f t="shared" ref="O180:O188" si="92">IFERROR((H180/(C180*31))*100,0)</f>
        <v>0</v>
      </c>
      <c r="P180" s="15">
        <f t="shared" ref="P180:P188" si="93">IFERROR((F180/(D180+B180))*100,0)</f>
        <v>0</v>
      </c>
    </row>
    <row r="181" spans="1:16" x14ac:dyDescent="0.25">
      <c r="A181" s="14" t="s">
        <v>31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5">
        <f t="shared" si="88"/>
        <v>0</v>
      </c>
      <c r="L181" s="15">
        <f t="shared" si="89"/>
        <v>0</v>
      </c>
      <c r="M181" s="15">
        <f t="shared" si="90"/>
        <v>0</v>
      </c>
      <c r="N181" s="15">
        <f t="shared" si="91"/>
        <v>0</v>
      </c>
      <c r="O181" s="15">
        <f t="shared" si="92"/>
        <v>0</v>
      </c>
      <c r="P181" s="15">
        <f t="shared" si="93"/>
        <v>0</v>
      </c>
    </row>
    <row r="182" spans="1:16" x14ac:dyDescent="0.25">
      <c r="A182" s="14" t="s">
        <v>33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5">
        <f t="shared" si="88"/>
        <v>0</v>
      </c>
      <c r="L182" s="15">
        <f t="shared" si="89"/>
        <v>0</v>
      </c>
      <c r="M182" s="15">
        <f t="shared" si="90"/>
        <v>0</v>
      </c>
      <c r="N182" s="15">
        <f t="shared" si="91"/>
        <v>0</v>
      </c>
      <c r="O182" s="15">
        <f t="shared" si="92"/>
        <v>0</v>
      </c>
      <c r="P182" s="15">
        <f t="shared" si="93"/>
        <v>0</v>
      </c>
    </row>
    <row r="183" spans="1:16" x14ac:dyDescent="0.25">
      <c r="A183" s="14" t="s">
        <v>35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5">
        <f t="shared" si="88"/>
        <v>0</v>
      </c>
      <c r="L183" s="15">
        <f t="shared" si="89"/>
        <v>0</v>
      </c>
      <c r="M183" s="15">
        <f t="shared" si="90"/>
        <v>0</v>
      </c>
      <c r="N183" s="15">
        <f t="shared" si="91"/>
        <v>0</v>
      </c>
      <c r="O183" s="15">
        <f t="shared" si="92"/>
        <v>0</v>
      </c>
      <c r="P183" s="15">
        <f t="shared" si="93"/>
        <v>0</v>
      </c>
    </row>
    <row r="184" spans="1:16" x14ac:dyDescent="0.25">
      <c r="A184" s="14" t="s">
        <v>37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5">
        <f t="shared" si="88"/>
        <v>0</v>
      </c>
      <c r="L184" s="15">
        <f t="shared" si="89"/>
        <v>0</v>
      </c>
      <c r="M184" s="15">
        <f t="shared" si="90"/>
        <v>0</v>
      </c>
      <c r="N184" s="15">
        <f t="shared" si="91"/>
        <v>0</v>
      </c>
      <c r="O184" s="15">
        <f t="shared" si="92"/>
        <v>0</v>
      </c>
      <c r="P184" s="15">
        <f t="shared" si="93"/>
        <v>0</v>
      </c>
    </row>
    <row r="185" spans="1:16" x14ac:dyDescent="0.25">
      <c r="A185" s="14" t="s">
        <v>39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5">
        <f t="shared" si="88"/>
        <v>0</v>
      </c>
      <c r="L185" s="15">
        <f t="shared" si="89"/>
        <v>0</v>
      </c>
      <c r="M185" s="15">
        <f t="shared" si="90"/>
        <v>0</v>
      </c>
      <c r="N185" s="15">
        <f t="shared" si="91"/>
        <v>0</v>
      </c>
      <c r="O185" s="15">
        <f t="shared" si="92"/>
        <v>0</v>
      </c>
      <c r="P185" s="15">
        <f t="shared" si="93"/>
        <v>0</v>
      </c>
    </row>
    <row r="186" spans="1:16" x14ac:dyDescent="0.25">
      <c r="A186" s="14" t="s">
        <v>41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5">
        <f t="shared" si="88"/>
        <v>0</v>
      </c>
      <c r="L186" s="15">
        <f t="shared" si="89"/>
        <v>0</v>
      </c>
      <c r="M186" s="15">
        <f t="shared" si="90"/>
        <v>0</v>
      </c>
      <c r="N186" s="15">
        <f t="shared" si="91"/>
        <v>0</v>
      </c>
      <c r="O186" s="15">
        <f t="shared" si="92"/>
        <v>0</v>
      </c>
      <c r="P186" s="15">
        <f t="shared" si="93"/>
        <v>0</v>
      </c>
    </row>
    <row r="187" spans="1:16" x14ac:dyDescent="0.25">
      <c r="A187" s="14" t="s">
        <v>43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5">
        <f t="shared" si="88"/>
        <v>0</v>
      </c>
      <c r="L187" s="15">
        <f t="shared" si="89"/>
        <v>0</v>
      </c>
      <c r="M187" s="15">
        <f t="shared" si="90"/>
        <v>0</v>
      </c>
      <c r="N187" s="15">
        <f t="shared" si="91"/>
        <v>0</v>
      </c>
      <c r="O187" s="15">
        <f t="shared" si="92"/>
        <v>0</v>
      </c>
      <c r="P187" s="15">
        <f t="shared" si="93"/>
        <v>0</v>
      </c>
    </row>
    <row r="188" spans="1:16" x14ac:dyDescent="0.25">
      <c r="A188" s="14" t="s">
        <v>45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5">
        <f t="shared" si="88"/>
        <v>0</v>
      </c>
      <c r="L188" s="15">
        <f t="shared" si="89"/>
        <v>0</v>
      </c>
      <c r="M188" s="15">
        <f t="shared" si="90"/>
        <v>0</v>
      </c>
      <c r="N188" s="15">
        <f t="shared" si="91"/>
        <v>0</v>
      </c>
      <c r="O188" s="15">
        <f t="shared" si="92"/>
        <v>0</v>
      </c>
      <c r="P188" s="15">
        <f t="shared" si="93"/>
        <v>0</v>
      </c>
    </row>
    <row r="189" spans="1:16" x14ac:dyDescent="0.25">
      <c r="A189" s="16" t="s">
        <v>141</v>
      </c>
      <c r="B189" s="14">
        <f>SUMIFS(tblDaily[Remaining],tblDaily[EntryDate],DATE(2026,12,31),tblDaily[WardCode],"MAE")+SUMIFS(tblDaily[Remaining],tblDaily[EntryDate],DATE(2026,12,31),tblDaily[WardCode],"FAE")</f>
        <v>0</v>
      </c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</row>
    <row r="190" spans="1:16" x14ac:dyDescent="0.25">
      <c r="A190" s="9" t="s">
        <v>110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8">
        <f>IFERROR(H190/31,0)</f>
        <v>0</v>
      </c>
      <c r="L190" s="18">
        <f>IFERROR(H190/(E190+F190),0)</f>
        <v>0</v>
      </c>
      <c r="M190" s="18">
        <f>IFERROR((C190*31-H190)/(E190+F190),0)</f>
        <v>0</v>
      </c>
      <c r="N190" s="18">
        <f>IFERROR((E190+F190)/C190,0)</f>
        <v>0</v>
      </c>
      <c r="O190" s="18">
        <f>IFERROR((H190/(C190*31))*100,0)</f>
        <v>0</v>
      </c>
      <c r="P190" s="18">
        <f>IFERROR((F190/(D190+B190))*100,0)</f>
        <v>0</v>
      </c>
    </row>
    <row r="191" spans="1:16" x14ac:dyDescent="0.25">
      <c r="A191" s="19" t="s">
        <v>142</v>
      </c>
      <c r="B191" s="19">
        <f t="shared" ref="B191:J191" si="95">B187+B188</f>
        <v>0</v>
      </c>
      <c r="C191" s="19">
        <f t="shared" si="95"/>
        <v>20</v>
      </c>
      <c r="D191" s="19">
        <f t="shared" si="95"/>
        <v>0</v>
      </c>
      <c r="E191" s="19">
        <f t="shared" si="95"/>
        <v>0</v>
      </c>
      <c r="F191" s="19">
        <f t="shared" si="95"/>
        <v>0</v>
      </c>
      <c r="G191" s="19">
        <f t="shared" si="95"/>
        <v>0</v>
      </c>
      <c r="H191" s="19">
        <f t="shared" si="95"/>
        <v>0</v>
      </c>
      <c r="I191" s="19">
        <f t="shared" si="95"/>
        <v>0</v>
      </c>
      <c r="J191" s="19">
        <f t="shared" si="95"/>
        <v>0</v>
      </c>
      <c r="K191" s="20">
        <f>IFERROR(H191/31,0)</f>
        <v>0</v>
      </c>
      <c r="L191" s="20">
        <f>IFERROR(H191/(E191+F191),0)</f>
        <v>0</v>
      </c>
      <c r="M191" s="20">
        <f>IFERROR((C191*31-H191)/(E191+F191),0)</f>
        <v>0</v>
      </c>
      <c r="N191" s="20">
        <f>IFERROR((E191+F191)/C191,0)</f>
        <v>0</v>
      </c>
      <c r="O191" s="20">
        <f>IFERROR((H191/(C191*31))*100,0)</f>
        <v>0</v>
      </c>
      <c r="P191" s="20">
        <f>IFERROR((F191/(D191+B191))*100,0)</f>
        <v>0</v>
      </c>
    </row>
  </sheetData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0" t="s">
        <v>58</v>
      </c>
      <c r="B1" s="26"/>
      <c r="C1" s="26"/>
      <c r="D1" s="26"/>
      <c r="E1" s="26"/>
      <c r="F1" s="26"/>
      <c r="G1" s="26"/>
      <c r="H1" s="40" t="s">
        <v>59</v>
      </c>
      <c r="I1" s="26"/>
      <c r="J1" s="26"/>
      <c r="K1" s="26"/>
      <c r="L1" s="26"/>
      <c r="M1" s="26"/>
      <c r="N1" s="26"/>
      <c r="O1" s="40" t="s">
        <v>60</v>
      </c>
      <c r="P1" s="26"/>
      <c r="Q1" s="26"/>
      <c r="R1" s="26"/>
      <c r="S1" s="26"/>
      <c r="T1" s="26"/>
      <c r="U1" s="26"/>
      <c r="V1" s="40" t="s">
        <v>61</v>
      </c>
      <c r="W1" s="26"/>
      <c r="X1" s="26"/>
      <c r="Y1" s="26"/>
      <c r="Z1" s="26"/>
      <c r="AA1" s="26"/>
      <c r="AB1" s="26"/>
      <c r="AC1" s="40" t="s">
        <v>62</v>
      </c>
      <c r="AD1" s="26"/>
      <c r="AE1" s="26"/>
      <c r="AF1" s="26"/>
      <c r="AG1" s="26"/>
      <c r="AH1" s="26"/>
      <c r="AI1" s="26"/>
      <c r="AJ1" s="40" t="s">
        <v>63</v>
      </c>
      <c r="AK1" s="26"/>
      <c r="AL1" s="26"/>
      <c r="AM1" s="26"/>
      <c r="AN1" s="26"/>
      <c r="AO1" s="26"/>
      <c r="AP1" s="26"/>
      <c r="AQ1" s="40" t="s">
        <v>64</v>
      </c>
      <c r="AR1" s="26"/>
      <c r="AS1" s="26"/>
      <c r="AT1" s="26"/>
      <c r="AU1" s="26"/>
      <c r="AV1" s="26"/>
      <c r="AW1" s="26"/>
      <c r="AX1" s="40" t="s">
        <v>65</v>
      </c>
      <c r="AY1" s="26"/>
      <c r="AZ1" s="26"/>
      <c r="BA1" s="26"/>
      <c r="BB1" s="26"/>
      <c r="BC1" s="26"/>
      <c r="BD1" s="26"/>
      <c r="BE1" s="40" t="s">
        <v>66</v>
      </c>
      <c r="BF1" s="26"/>
      <c r="BG1" s="26"/>
      <c r="BH1" s="26"/>
      <c r="BI1" s="26"/>
      <c r="BJ1" s="26"/>
      <c r="BK1" s="26"/>
      <c r="BL1" s="40" t="s">
        <v>67</v>
      </c>
      <c r="BM1" s="26"/>
      <c r="BN1" s="26"/>
      <c r="BO1" s="26"/>
      <c r="BP1" s="26"/>
      <c r="BQ1" s="26"/>
      <c r="BR1" s="26"/>
      <c r="BS1" s="40" t="s">
        <v>68</v>
      </c>
      <c r="BT1" s="26"/>
      <c r="BU1" s="26"/>
      <c r="BV1" s="26"/>
      <c r="BW1" s="26"/>
      <c r="BX1" s="26"/>
      <c r="BY1" s="26"/>
      <c r="BZ1" s="40" t="s">
        <v>69</v>
      </c>
      <c r="CA1" s="26"/>
      <c r="CB1" s="26"/>
      <c r="CC1" s="26"/>
      <c r="CD1" s="26"/>
      <c r="CE1" s="26"/>
      <c r="CF1" s="26"/>
    </row>
    <row r="2" spans="1:84" x14ac:dyDescent="0.25">
      <c r="B2" s="39" t="s">
        <v>154</v>
      </c>
      <c r="C2" s="26"/>
      <c r="D2" s="41" t="s">
        <v>155</v>
      </c>
      <c r="E2" s="26"/>
      <c r="F2" s="38" t="s">
        <v>156</v>
      </c>
      <c r="G2" s="26"/>
      <c r="I2" s="39" t="s">
        <v>154</v>
      </c>
      <c r="J2" s="26"/>
      <c r="K2" s="41" t="s">
        <v>155</v>
      </c>
      <c r="L2" s="26"/>
      <c r="M2" s="38" t="s">
        <v>156</v>
      </c>
      <c r="N2" s="26"/>
      <c r="P2" s="39" t="s">
        <v>154</v>
      </c>
      <c r="Q2" s="26"/>
      <c r="R2" s="41" t="s">
        <v>155</v>
      </c>
      <c r="S2" s="26"/>
      <c r="T2" s="38" t="s">
        <v>156</v>
      </c>
      <c r="U2" s="26"/>
      <c r="W2" s="39" t="s">
        <v>154</v>
      </c>
      <c r="X2" s="26"/>
      <c r="Y2" s="41" t="s">
        <v>155</v>
      </c>
      <c r="Z2" s="26"/>
      <c r="AA2" s="38" t="s">
        <v>156</v>
      </c>
      <c r="AB2" s="26"/>
      <c r="AD2" s="39" t="s">
        <v>154</v>
      </c>
      <c r="AE2" s="26"/>
      <c r="AF2" s="41" t="s">
        <v>155</v>
      </c>
      <c r="AG2" s="26"/>
      <c r="AH2" s="38" t="s">
        <v>156</v>
      </c>
      <c r="AI2" s="26"/>
      <c r="AK2" s="39" t="s">
        <v>154</v>
      </c>
      <c r="AL2" s="26"/>
      <c r="AM2" s="41" t="s">
        <v>155</v>
      </c>
      <c r="AN2" s="26"/>
      <c r="AO2" s="38" t="s">
        <v>156</v>
      </c>
      <c r="AP2" s="26"/>
      <c r="AR2" s="39" t="s">
        <v>154</v>
      </c>
      <c r="AS2" s="26"/>
      <c r="AT2" s="41" t="s">
        <v>155</v>
      </c>
      <c r="AU2" s="26"/>
      <c r="AV2" s="38" t="s">
        <v>156</v>
      </c>
      <c r="AW2" s="26"/>
      <c r="AY2" s="39" t="s">
        <v>154</v>
      </c>
      <c r="AZ2" s="26"/>
      <c r="BA2" s="41" t="s">
        <v>155</v>
      </c>
      <c r="BB2" s="26"/>
      <c r="BC2" s="38" t="s">
        <v>156</v>
      </c>
      <c r="BD2" s="26"/>
      <c r="BF2" s="39" t="s">
        <v>154</v>
      </c>
      <c r="BG2" s="26"/>
      <c r="BH2" s="41" t="s">
        <v>155</v>
      </c>
      <c r="BI2" s="26"/>
      <c r="BJ2" s="38" t="s">
        <v>156</v>
      </c>
      <c r="BK2" s="26"/>
      <c r="BM2" s="39" t="s">
        <v>154</v>
      </c>
      <c r="BN2" s="26"/>
      <c r="BO2" s="41" t="s">
        <v>155</v>
      </c>
      <c r="BP2" s="26"/>
      <c r="BQ2" s="38" t="s">
        <v>156</v>
      </c>
      <c r="BR2" s="26"/>
      <c r="BT2" s="39" t="s">
        <v>154</v>
      </c>
      <c r="BU2" s="26"/>
      <c r="BV2" s="41" t="s">
        <v>155</v>
      </c>
      <c r="BW2" s="26"/>
      <c r="BX2" s="38" t="s">
        <v>156</v>
      </c>
      <c r="BY2" s="26"/>
      <c r="CA2" s="39" t="s">
        <v>154</v>
      </c>
      <c r="CB2" s="26"/>
      <c r="CC2" s="41" t="s">
        <v>155</v>
      </c>
      <c r="CD2" s="26"/>
      <c r="CE2" s="38" t="s">
        <v>156</v>
      </c>
      <c r="CF2" s="26"/>
    </row>
    <row r="3" spans="1:84" x14ac:dyDescent="0.25">
      <c r="A3" s="14" t="s">
        <v>157</v>
      </c>
      <c r="B3" s="14" t="s">
        <v>158</v>
      </c>
      <c r="C3" s="14" t="s">
        <v>159</v>
      </c>
      <c r="D3" s="14" t="s">
        <v>160</v>
      </c>
      <c r="E3" s="14" t="s">
        <v>161</v>
      </c>
      <c r="F3" s="14" t="s">
        <v>160</v>
      </c>
      <c r="G3" s="14" t="s">
        <v>161</v>
      </c>
      <c r="H3" s="14" t="s">
        <v>157</v>
      </c>
      <c r="I3" s="14" t="s">
        <v>158</v>
      </c>
      <c r="J3" s="14" t="s">
        <v>159</v>
      </c>
      <c r="K3" s="14" t="s">
        <v>160</v>
      </c>
      <c r="L3" s="14" t="s">
        <v>161</v>
      </c>
      <c r="M3" s="14" t="s">
        <v>160</v>
      </c>
      <c r="N3" s="14" t="s">
        <v>161</v>
      </c>
      <c r="O3" s="14" t="s">
        <v>157</v>
      </c>
      <c r="P3" s="14" t="s">
        <v>158</v>
      </c>
      <c r="Q3" s="14" t="s">
        <v>159</v>
      </c>
      <c r="R3" s="14" t="s">
        <v>160</v>
      </c>
      <c r="S3" s="14" t="s">
        <v>161</v>
      </c>
      <c r="T3" s="14" t="s">
        <v>160</v>
      </c>
      <c r="U3" s="14" t="s">
        <v>161</v>
      </c>
      <c r="V3" s="14" t="s">
        <v>157</v>
      </c>
      <c r="W3" s="14" t="s">
        <v>158</v>
      </c>
      <c r="X3" s="14" t="s">
        <v>159</v>
      </c>
      <c r="Y3" s="14" t="s">
        <v>160</v>
      </c>
      <c r="Z3" s="14" t="s">
        <v>161</v>
      </c>
      <c r="AA3" s="14" t="s">
        <v>160</v>
      </c>
      <c r="AB3" s="14" t="s">
        <v>161</v>
      </c>
      <c r="AC3" s="14" t="s">
        <v>157</v>
      </c>
      <c r="AD3" s="14" t="s">
        <v>158</v>
      </c>
      <c r="AE3" s="14" t="s">
        <v>159</v>
      </c>
      <c r="AF3" s="14" t="s">
        <v>160</v>
      </c>
      <c r="AG3" s="14" t="s">
        <v>161</v>
      </c>
      <c r="AH3" s="14" t="s">
        <v>160</v>
      </c>
      <c r="AI3" s="14" t="s">
        <v>161</v>
      </c>
      <c r="AJ3" s="14" t="s">
        <v>157</v>
      </c>
      <c r="AK3" s="14" t="s">
        <v>158</v>
      </c>
      <c r="AL3" s="14" t="s">
        <v>159</v>
      </c>
      <c r="AM3" s="14" t="s">
        <v>160</v>
      </c>
      <c r="AN3" s="14" t="s">
        <v>161</v>
      </c>
      <c r="AO3" s="14" t="s">
        <v>160</v>
      </c>
      <c r="AP3" s="14" t="s">
        <v>161</v>
      </c>
      <c r="AQ3" s="14" t="s">
        <v>157</v>
      </c>
      <c r="AR3" s="14" t="s">
        <v>158</v>
      </c>
      <c r="AS3" s="14" t="s">
        <v>159</v>
      </c>
      <c r="AT3" s="14" t="s">
        <v>160</v>
      </c>
      <c r="AU3" s="14" t="s">
        <v>161</v>
      </c>
      <c r="AV3" s="14" t="s">
        <v>160</v>
      </c>
      <c r="AW3" s="14" t="s">
        <v>161</v>
      </c>
      <c r="AX3" s="14" t="s">
        <v>157</v>
      </c>
      <c r="AY3" s="14" t="s">
        <v>158</v>
      </c>
      <c r="AZ3" s="14" t="s">
        <v>159</v>
      </c>
      <c r="BA3" s="14" t="s">
        <v>160</v>
      </c>
      <c r="BB3" s="14" t="s">
        <v>161</v>
      </c>
      <c r="BC3" s="14" t="s">
        <v>160</v>
      </c>
      <c r="BD3" s="14" t="s">
        <v>161</v>
      </c>
      <c r="BE3" s="14" t="s">
        <v>157</v>
      </c>
      <c r="BF3" s="14" t="s">
        <v>158</v>
      </c>
      <c r="BG3" s="14" t="s">
        <v>159</v>
      </c>
      <c r="BH3" s="14" t="s">
        <v>160</v>
      </c>
      <c r="BI3" s="14" t="s">
        <v>161</v>
      </c>
      <c r="BJ3" s="14" t="s">
        <v>160</v>
      </c>
      <c r="BK3" s="14" t="s">
        <v>161</v>
      </c>
      <c r="BL3" s="14" t="s">
        <v>157</v>
      </c>
      <c r="BM3" s="14" t="s">
        <v>158</v>
      </c>
      <c r="BN3" s="14" t="s">
        <v>159</v>
      </c>
      <c r="BO3" s="14" t="s">
        <v>160</v>
      </c>
      <c r="BP3" s="14" t="s">
        <v>161</v>
      </c>
      <c r="BQ3" s="14" t="s">
        <v>160</v>
      </c>
      <c r="BR3" s="14" t="s">
        <v>161</v>
      </c>
      <c r="BS3" s="14" t="s">
        <v>157</v>
      </c>
      <c r="BT3" s="14" t="s">
        <v>158</v>
      </c>
      <c r="BU3" s="14" t="s">
        <v>159</v>
      </c>
      <c r="BV3" s="14" t="s">
        <v>160</v>
      </c>
      <c r="BW3" s="14" t="s">
        <v>161</v>
      </c>
      <c r="BX3" s="14" t="s">
        <v>160</v>
      </c>
      <c r="BY3" s="14" t="s">
        <v>161</v>
      </c>
      <c r="BZ3" s="14" t="s">
        <v>157</v>
      </c>
      <c r="CA3" s="14" t="s">
        <v>158</v>
      </c>
      <c r="CB3" s="14" t="s">
        <v>159</v>
      </c>
      <c r="CC3" s="14" t="s">
        <v>160</v>
      </c>
      <c r="CD3" s="14" t="s">
        <v>161</v>
      </c>
      <c r="CE3" s="14" t="s">
        <v>160</v>
      </c>
      <c r="CF3" s="14" t="s">
        <v>161</v>
      </c>
    </row>
    <row r="4" spans="1:84" x14ac:dyDescent="0.25">
      <c r="A4" s="4" t="s">
        <v>162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162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162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162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162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162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162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162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162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162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162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162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163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163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163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163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163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163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163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163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163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163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163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163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164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164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164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164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164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164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164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164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164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164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164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164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165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165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165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165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165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165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165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165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165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165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165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165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166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166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166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166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166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166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166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166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166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166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166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166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167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167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167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167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167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167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167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167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167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167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167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167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168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168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168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168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168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168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168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168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168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168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168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168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169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169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169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169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169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169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169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169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169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169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169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169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170</v>
      </c>
      <c r="B12" s="4">
        <f>COUNTIFS(tblAdmissions[Month],1,tblAdmissions[AgeUnit],"Years",tblAdmissions[Age],"&gt;="&amp;35,tblAdmissions[Age],"&lt;="&amp;49,tblAdmissions[Sex],"M")</f>
        <v>2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2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170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170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170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170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170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170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170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170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170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170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170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171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171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171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171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171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171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171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171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171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171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171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171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172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172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172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172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172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172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172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172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172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172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172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172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173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173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173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173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173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173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173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173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173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173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173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173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174</v>
      </c>
      <c r="B16" s="9">
        <f t="shared" ref="B16:G16" si="0">SUM(B4:B15)</f>
        <v>2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2</v>
      </c>
      <c r="G16" s="9">
        <f t="shared" si="0"/>
        <v>0</v>
      </c>
      <c r="H16" s="9" t="s">
        <v>174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174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174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174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174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174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174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174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174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174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174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4" t="s">
        <v>175</v>
      </c>
      <c r="B1" s="26"/>
      <c r="C1" s="26"/>
      <c r="D1" s="26"/>
      <c r="E1" s="26"/>
      <c r="F1" s="26"/>
      <c r="G1" s="26"/>
      <c r="H1" s="26"/>
    </row>
    <row r="2" spans="1:8" x14ac:dyDescent="0.25">
      <c r="A2" s="3" t="s">
        <v>176</v>
      </c>
      <c r="B2" s="3" t="s">
        <v>177</v>
      </c>
      <c r="C2" s="3" t="s">
        <v>178</v>
      </c>
      <c r="D2" s="3" t="s">
        <v>179</v>
      </c>
      <c r="E2" s="3" t="s">
        <v>85</v>
      </c>
      <c r="F2" s="3" t="s">
        <v>87</v>
      </c>
      <c r="G2" s="3" t="s">
        <v>180</v>
      </c>
      <c r="H2" s="3" t="s">
        <v>88</v>
      </c>
    </row>
    <row r="43" spans="1:8" ht="15.75" x14ac:dyDescent="0.25">
      <c r="A43" s="34" t="s">
        <v>181</v>
      </c>
      <c r="B43" s="26"/>
      <c r="C43" s="26"/>
      <c r="D43" s="26"/>
      <c r="E43" s="26"/>
      <c r="F43" s="26"/>
      <c r="G43" s="26"/>
      <c r="H43" s="26"/>
    </row>
    <row r="44" spans="1:8" x14ac:dyDescent="0.25">
      <c r="A44" s="3" t="s">
        <v>176</v>
      </c>
      <c r="B44" s="3" t="s">
        <v>177</v>
      </c>
      <c r="C44" s="3" t="s">
        <v>178</v>
      </c>
      <c r="D44" s="3" t="s">
        <v>179</v>
      </c>
      <c r="E44" s="3" t="s">
        <v>85</v>
      </c>
      <c r="F44" s="3" t="s">
        <v>87</v>
      </c>
      <c r="G44" s="3" t="s">
        <v>180</v>
      </c>
      <c r="H44" s="3" t="s">
        <v>88</v>
      </c>
    </row>
    <row r="85" spans="1:8" ht="15.75" x14ac:dyDescent="0.25">
      <c r="A85" s="34" t="s">
        <v>182</v>
      </c>
      <c r="B85" s="26"/>
      <c r="C85" s="26"/>
      <c r="D85" s="26"/>
      <c r="E85" s="26"/>
      <c r="F85" s="26"/>
      <c r="G85" s="26"/>
      <c r="H85" s="26"/>
    </row>
    <row r="86" spans="1:8" x14ac:dyDescent="0.25">
      <c r="A86" s="3" t="s">
        <v>176</v>
      </c>
      <c r="B86" s="3" t="s">
        <v>177</v>
      </c>
      <c r="C86" s="3" t="s">
        <v>178</v>
      </c>
      <c r="D86" s="3" t="s">
        <v>179</v>
      </c>
      <c r="E86" s="3" t="s">
        <v>85</v>
      </c>
      <c r="F86" s="3" t="s">
        <v>87</v>
      </c>
      <c r="G86" s="3" t="s">
        <v>180</v>
      </c>
      <c r="H86" s="3" t="s">
        <v>88</v>
      </c>
    </row>
    <row r="127" spans="1:8" ht="15.75" x14ac:dyDescent="0.25">
      <c r="A127" s="34" t="s">
        <v>183</v>
      </c>
      <c r="B127" s="26"/>
      <c r="C127" s="26"/>
      <c r="D127" s="26"/>
      <c r="E127" s="26"/>
      <c r="F127" s="26"/>
      <c r="G127" s="26"/>
      <c r="H127" s="26"/>
    </row>
    <row r="128" spans="1:8" x14ac:dyDescent="0.25">
      <c r="A128" s="3" t="s">
        <v>176</v>
      </c>
      <c r="B128" s="3" t="s">
        <v>177</v>
      </c>
      <c r="C128" s="3" t="s">
        <v>178</v>
      </c>
      <c r="D128" s="3" t="s">
        <v>179</v>
      </c>
      <c r="E128" s="3" t="s">
        <v>85</v>
      </c>
      <c r="F128" s="3" t="s">
        <v>87</v>
      </c>
      <c r="G128" s="3" t="s">
        <v>180</v>
      </c>
      <c r="H128" s="3" t="s">
        <v>88</v>
      </c>
    </row>
    <row r="169" spans="1:8" ht="15.75" x14ac:dyDescent="0.25">
      <c r="A169" s="34" t="s">
        <v>184</v>
      </c>
      <c r="B169" s="26"/>
      <c r="C169" s="26"/>
      <c r="D169" s="26"/>
      <c r="E169" s="26"/>
      <c r="F169" s="26"/>
      <c r="G169" s="26"/>
      <c r="H169" s="26"/>
    </row>
    <row r="170" spans="1:8" x14ac:dyDescent="0.25">
      <c r="A170" s="3" t="s">
        <v>176</v>
      </c>
      <c r="B170" s="3" t="s">
        <v>177</v>
      </c>
      <c r="C170" s="3" t="s">
        <v>178</v>
      </c>
      <c r="D170" s="3" t="s">
        <v>179</v>
      </c>
      <c r="E170" s="3" t="s">
        <v>85</v>
      </c>
      <c r="F170" s="3" t="s">
        <v>87</v>
      </c>
      <c r="G170" s="3" t="s">
        <v>180</v>
      </c>
      <c r="H170" s="3" t="s">
        <v>88</v>
      </c>
    </row>
    <row r="211" spans="1:8" ht="15.75" x14ac:dyDescent="0.25">
      <c r="A211" s="34" t="s">
        <v>185</v>
      </c>
      <c r="B211" s="26"/>
      <c r="C211" s="26"/>
      <c r="D211" s="26"/>
      <c r="E211" s="26"/>
      <c r="F211" s="26"/>
      <c r="G211" s="26"/>
      <c r="H211" s="26"/>
    </row>
    <row r="212" spans="1:8" x14ac:dyDescent="0.25">
      <c r="A212" s="3" t="s">
        <v>176</v>
      </c>
      <c r="B212" s="3" t="s">
        <v>177</v>
      </c>
      <c r="C212" s="3" t="s">
        <v>178</v>
      </c>
      <c r="D212" s="3" t="s">
        <v>179</v>
      </c>
      <c r="E212" s="3" t="s">
        <v>85</v>
      </c>
      <c r="F212" s="3" t="s">
        <v>87</v>
      </c>
      <c r="G212" s="3" t="s">
        <v>180</v>
      </c>
      <c r="H212" s="3" t="s">
        <v>88</v>
      </c>
    </row>
    <row r="253" spans="1:8" ht="15.75" x14ac:dyDescent="0.25">
      <c r="A253" s="34" t="s">
        <v>186</v>
      </c>
      <c r="B253" s="26"/>
      <c r="C253" s="26"/>
      <c r="D253" s="26"/>
      <c r="E253" s="26"/>
      <c r="F253" s="26"/>
      <c r="G253" s="26"/>
      <c r="H253" s="26"/>
    </row>
    <row r="254" spans="1:8" x14ac:dyDescent="0.25">
      <c r="A254" s="3" t="s">
        <v>176</v>
      </c>
      <c r="B254" s="3" t="s">
        <v>177</v>
      </c>
      <c r="C254" s="3" t="s">
        <v>178</v>
      </c>
      <c r="D254" s="3" t="s">
        <v>179</v>
      </c>
      <c r="E254" s="3" t="s">
        <v>85</v>
      </c>
      <c r="F254" s="3" t="s">
        <v>87</v>
      </c>
      <c r="G254" s="3" t="s">
        <v>180</v>
      </c>
      <c r="H254" s="3" t="s">
        <v>88</v>
      </c>
    </row>
    <row r="295" spans="1:8" ht="15.75" x14ac:dyDescent="0.25">
      <c r="A295" s="34" t="s">
        <v>187</v>
      </c>
      <c r="B295" s="26"/>
      <c r="C295" s="26"/>
      <c r="D295" s="26"/>
      <c r="E295" s="26"/>
      <c r="F295" s="26"/>
      <c r="G295" s="26"/>
      <c r="H295" s="26"/>
    </row>
    <row r="296" spans="1:8" x14ac:dyDescent="0.25">
      <c r="A296" s="3" t="s">
        <v>176</v>
      </c>
      <c r="B296" s="3" t="s">
        <v>177</v>
      </c>
      <c r="C296" s="3" t="s">
        <v>178</v>
      </c>
      <c r="D296" s="3" t="s">
        <v>179</v>
      </c>
      <c r="E296" s="3" t="s">
        <v>85</v>
      </c>
      <c r="F296" s="3" t="s">
        <v>87</v>
      </c>
      <c r="G296" s="3" t="s">
        <v>180</v>
      </c>
      <c r="H296" s="3" t="s">
        <v>88</v>
      </c>
    </row>
    <row r="337" spans="1:8" ht="15.75" x14ac:dyDescent="0.25">
      <c r="A337" s="34" t="s">
        <v>188</v>
      </c>
      <c r="B337" s="26"/>
      <c r="C337" s="26"/>
      <c r="D337" s="26"/>
      <c r="E337" s="26"/>
      <c r="F337" s="26"/>
      <c r="G337" s="26"/>
      <c r="H337" s="26"/>
    </row>
    <row r="338" spans="1:8" x14ac:dyDescent="0.25">
      <c r="A338" s="3" t="s">
        <v>176</v>
      </c>
      <c r="B338" s="3" t="s">
        <v>177</v>
      </c>
      <c r="C338" s="3" t="s">
        <v>178</v>
      </c>
      <c r="D338" s="3" t="s">
        <v>179</v>
      </c>
      <c r="E338" s="3" t="s">
        <v>85</v>
      </c>
      <c r="F338" s="3" t="s">
        <v>87</v>
      </c>
      <c r="G338" s="3" t="s">
        <v>180</v>
      </c>
      <c r="H338" s="3" t="s">
        <v>88</v>
      </c>
    </row>
    <row r="379" spans="1:8" ht="15.75" x14ac:dyDescent="0.25">
      <c r="A379" s="34" t="s">
        <v>189</v>
      </c>
      <c r="B379" s="26"/>
      <c r="C379" s="26"/>
      <c r="D379" s="26"/>
      <c r="E379" s="26"/>
      <c r="F379" s="26"/>
      <c r="G379" s="26"/>
      <c r="H379" s="26"/>
    </row>
    <row r="380" spans="1:8" x14ac:dyDescent="0.25">
      <c r="A380" s="3" t="s">
        <v>176</v>
      </c>
      <c r="B380" s="3" t="s">
        <v>177</v>
      </c>
      <c r="C380" s="3" t="s">
        <v>178</v>
      </c>
      <c r="D380" s="3" t="s">
        <v>179</v>
      </c>
      <c r="E380" s="3" t="s">
        <v>85</v>
      </c>
      <c r="F380" s="3" t="s">
        <v>87</v>
      </c>
      <c r="G380" s="3" t="s">
        <v>180</v>
      </c>
      <c r="H380" s="3" t="s">
        <v>88</v>
      </c>
    </row>
    <row r="421" spans="1:8" ht="15.75" x14ac:dyDescent="0.25">
      <c r="A421" s="34" t="s">
        <v>190</v>
      </c>
      <c r="B421" s="26"/>
      <c r="C421" s="26"/>
      <c r="D421" s="26"/>
      <c r="E421" s="26"/>
      <c r="F421" s="26"/>
      <c r="G421" s="26"/>
      <c r="H421" s="26"/>
    </row>
    <row r="422" spans="1:8" x14ac:dyDescent="0.25">
      <c r="A422" s="3" t="s">
        <v>176</v>
      </c>
      <c r="B422" s="3" t="s">
        <v>177</v>
      </c>
      <c r="C422" s="3" t="s">
        <v>178</v>
      </c>
      <c r="D422" s="3" t="s">
        <v>179</v>
      </c>
      <c r="E422" s="3" t="s">
        <v>85</v>
      </c>
      <c r="F422" s="3" t="s">
        <v>87</v>
      </c>
      <c r="G422" s="3" t="s">
        <v>180</v>
      </c>
      <c r="H422" s="3" t="s">
        <v>88</v>
      </c>
    </row>
    <row r="463" spans="1:8" ht="15.75" x14ac:dyDescent="0.25">
      <c r="A463" s="34" t="s">
        <v>191</v>
      </c>
      <c r="B463" s="26"/>
      <c r="C463" s="26"/>
      <c r="D463" s="26"/>
      <c r="E463" s="26"/>
      <c r="F463" s="26"/>
      <c r="G463" s="26"/>
      <c r="H463" s="26"/>
    </row>
    <row r="464" spans="1:8" x14ac:dyDescent="0.25">
      <c r="A464" s="3" t="s">
        <v>176</v>
      </c>
      <c r="B464" s="3" t="s">
        <v>177</v>
      </c>
      <c r="C464" s="3" t="s">
        <v>178</v>
      </c>
      <c r="D464" s="3" t="s">
        <v>179</v>
      </c>
      <c r="E464" s="3" t="s">
        <v>85</v>
      </c>
      <c r="F464" s="3" t="s">
        <v>87</v>
      </c>
      <c r="G464" s="3" t="s">
        <v>180</v>
      </c>
      <c r="H464" s="3" t="s">
        <v>88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1" t="s">
        <v>192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</row>
    <row r="2" spans="1:14" x14ac:dyDescent="0.25">
      <c r="A2" s="3" t="s">
        <v>193</v>
      </c>
      <c r="B2" s="3" t="s">
        <v>58</v>
      </c>
      <c r="C2" s="3" t="s">
        <v>59</v>
      </c>
      <c r="D2" s="3" t="s">
        <v>60</v>
      </c>
      <c r="E2" s="3" t="s">
        <v>61</v>
      </c>
      <c r="F2" s="3" t="s">
        <v>62</v>
      </c>
      <c r="G2" s="3" t="s">
        <v>63</v>
      </c>
      <c r="H2" s="3" t="s">
        <v>64</v>
      </c>
      <c r="I2" s="3" t="s">
        <v>65</v>
      </c>
      <c r="J2" s="3" t="s">
        <v>66</v>
      </c>
      <c r="K2" s="3" t="s">
        <v>67</v>
      </c>
      <c r="L2" s="3" t="s">
        <v>68</v>
      </c>
      <c r="M2" s="3" t="s">
        <v>69</v>
      </c>
      <c r="N2" s="3" t="s">
        <v>110</v>
      </c>
    </row>
    <row r="3" spans="1:14" x14ac:dyDescent="0.25">
      <c r="A3" s="2" t="s">
        <v>194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1" t="s">
        <v>195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3" spans="1:16" ht="51" x14ac:dyDescent="0.25">
      <c r="A3" s="8" t="s">
        <v>129</v>
      </c>
      <c r="B3" s="8" t="s">
        <v>196</v>
      </c>
      <c r="C3" s="8" t="s">
        <v>131</v>
      </c>
      <c r="D3" s="8" t="s">
        <v>72</v>
      </c>
      <c r="E3" s="8" t="s">
        <v>73</v>
      </c>
      <c r="F3" s="8" t="s">
        <v>74</v>
      </c>
      <c r="G3" s="8" t="s">
        <v>106</v>
      </c>
      <c r="H3" s="8" t="s">
        <v>132</v>
      </c>
      <c r="I3" s="8" t="s">
        <v>133</v>
      </c>
      <c r="J3" s="8" t="s">
        <v>134</v>
      </c>
      <c r="K3" s="8" t="s">
        <v>135</v>
      </c>
      <c r="L3" s="8" t="s">
        <v>136</v>
      </c>
      <c r="M3" s="8" t="s">
        <v>137</v>
      </c>
      <c r="N3" s="8" t="s">
        <v>138</v>
      </c>
      <c r="O3" s="8" t="s">
        <v>139</v>
      </c>
      <c r="P3" s="8" t="s">
        <v>140</v>
      </c>
    </row>
    <row r="4" spans="1:16" x14ac:dyDescent="0.25">
      <c r="A4" s="21" t="s">
        <v>29</v>
      </c>
      <c r="B4" s="22">
        <f>IFERROR(INDEX(tblWardConfig[PrevYearRemaining],MATCH("MW",tblWardConfig[WardCode],0)),0)</f>
        <v>25</v>
      </c>
      <c r="C4" s="22">
        <f>IFERROR(INDEX(tblWardConfig[BedComplement],MATCH("MW",tblWardConfig[WardCode],0)),0)</f>
        <v>32</v>
      </c>
      <c r="D4" s="23">
        <f>SUMIFS(tblDaily[Admissions],tblDaily[WardCode],"MW") - SUMIFS(tblDaily[DeathsUnder24Hrs],tblDaily[WardCode],"MW")</f>
        <v>97</v>
      </c>
      <c r="E4" s="23">
        <f>SUMIFS(tblDaily[Discharges],tblDaily[WardCode],"MW")</f>
        <v>141</v>
      </c>
      <c r="F4" s="23">
        <f>SUMIFS(tblDaily[Deaths],tblDaily[WardCode],"MW")</f>
        <v>19</v>
      </c>
      <c r="G4" s="23">
        <f>SUMIFS(tblDaily[DeathsUnder24Hrs],tblDaily[WardCode],"MW")</f>
        <v>0</v>
      </c>
      <c r="H4" s="23">
        <f>SUMIFS(tblDaily[Remaining],tblDaily[WardCode],"MW")</f>
        <v>902</v>
      </c>
      <c r="I4" s="23">
        <f>SUMIFS(tblDaily[TransfersIn],tblDaily[WardCode],"MW")</f>
        <v>57</v>
      </c>
      <c r="J4" s="23">
        <f>SUMIFS(tblDaily[TransfersOut],tblDaily[WardCode],"MW")</f>
        <v>0</v>
      </c>
      <c r="K4" s="24">
        <f t="shared" ref="K4:K12" si="0">IFERROR(H4/365,0)</f>
        <v>2.4712328767123286</v>
      </c>
      <c r="L4" s="24">
        <f t="shared" ref="L4:L12" si="1">IFERROR(H4/(E4+F4),0)</f>
        <v>5.6375000000000002</v>
      </c>
      <c r="M4" s="24">
        <f t="shared" ref="M4:M12" si="2">IFERROR((C4*365-H4)/(E4+F4),0)</f>
        <v>67.362499999999997</v>
      </c>
      <c r="N4" s="24">
        <f t="shared" ref="N4:N12" si="3">IFERROR((E4+F4)/C4,0)</f>
        <v>5</v>
      </c>
      <c r="O4" s="24">
        <f t="shared" ref="O4:O12" si="4">IFERROR((H4/(C4*365))*100,0)</f>
        <v>7.7226027397260273</v>
      </c>
      <c r="P4" s="24">
        <f t="shared" ref="P4:P12" si="5">IFERROR((F4/(D4+B4))*100,0)</f>
        <v>15.573770491803279</v>
      </c>
    </row>
    <row r="5" spans="1:16" x14ac:dyDescent="0.25">
      <c r="A5" s="21" t="s">
        <v>31</v>
      </c>
      <c r="B5" s="22">
        <f>IFERROR(INDEX(tblWardConfig[PrevYearRemaining],MATCH("FW",tblWardConfig[WardCode],0)),0)</f>
        <v>16</v>
      </c>
      <c r="C5" s="22">
        <f>IFERROR(INDEX(tblWardConfig[BedComplement],MATCH("FW",tblWardConfig[WardCode],0)),0)</f>
        <v>28</v>
      </c>
      <c r="D5" s="23">
        <f>SUMIFS(tblDaily[Admissions],tblDaily[WardCode],"FW") - SUMIFS(tblDaily[DeathsUnder24Hrs],tblDaily[WardCode],"FW")</f>
        <v>83</v>
      </c>
      <c r="E5" s="23">
        <f>SUMIFS(tblDaily[Discharges],tblDaily[WardCode],"FW")</f>
        <v>102</v>
      </c>
      <c r="F5" s="23">
        <f>SUMIFS(tblDaily[Deaths],tblDaily[WardCode],"FW")</f>
        <v>10</v>
      </c>
      <c r="G5" s="23">
        <f>SUMIFS(tblDaily[DeathsUnder24Hrs],tblDaily[WardCode],"FW")</f>
        <v>0</v>
      </c>
      <c r="H5" s="23">
        <f>SUMIFS(tblDaily[Remaining],tblDaily[WardCode],"FW")</f>
        <v>555</v>
      </c>
      <c r="I5" s="23">
        <f>SUMIFS(tblDaily[TransfersIn],tblDaily[WardCode],"FW")</f>
        <v>28</v>
      </c>
      <c r="J5" s="23">
        <f>SUMIFS(tblDaily[TransfersOut],tblDaily[WardCode],"FW")</f>
        <v>0</v>
      </c>
      <c r="K5" s="24">
        <f t="shared" si="0"/>
        <v>1.5205479452054795</v>
      </c>
      <c r="L5" s="24">
        <f t="shared" si="1"/>
        <v>4.9553571428571432</v>
      </c>
      <c r="M5" s="24">
        <f t="shared" si="2"/>
        <v>86.294642857142861</v>
      </c>
      <c r="N5" s="24">
        <f t="shared" si="3"/>
        <v>4</v>
      </c>
      <c r="O5" s="24">
        <f t="shared" si="4"/>
        <v>5.4305283757338545</v>
      </c>
      <c r="P5" s="24">
        <f t="shared" si="5"/>
        <v>10.1010101010101</v>
      </c>
    </row>
    <row r="6" spans="1:16" x14ac:dyDescent="0.25">
      <c r="A6" s="21" t="s">
        <v>33</v>
      </c>
      <c r="B6" s="22">
        <f>IFERROR(INDEX(tblWardConfig[PrevYearRemaining],MATCH("CW",tblWardConfig[WardCode],0)),0)</f>
        <v>7</v>
      </c>
      <c r="C6" s="22">
        <f>IFERROR(INDEX(tblWardConfig[BedComplement],MATCH("CW",tblWardConfig[WardCode],0)),0)</f>
        <v>27</v>
      </c>
      <c r="D6" s="23">
        <f>SUMIFS(tblDaily[Admissions],tblDaily[WardCode],"CW") - SUMIFS(tblDaily[DeathsUnder24Hrs],tblDaily[WardCode],"CW")</f>
        <v>80</v>
      </c>
      <c r="E6" s="23">
        <f>SUMIFS(tblDaily[Discharges],tblDaily[WardCode],"CW")</f>
        <v>80</v>
      </c>
      <c r="F6" s="23">
        <f>SUMIFS(tblDaily[Deaths],tblDaily[WardCode],"CW")</f>
        <v>0</v>
      </c>
      <c r="G6" s="23">
        <f>SUMIFS(tblDaily[DeathsUnder24Hrs],tblDaily[WardCode],"CW")</f>
        <v>0</v>
      </c>
      <c r="H6" s="23">
        <f>SUMIFS(tblDaily[Remaining],tblDaily[WardCode],"CW")</f>
        <v>309</v>
      </c>
      <c r="I6" s="23">
        <f>SUMIFS(tblDaily[TransfersIn],tblDaily[WardCode],"CW")</f>
        <v>5</v>
      </c>
      <c r="J6" s="23">
        <f>SUMIFS(tblDaily[TransfersOut],tblDaily[WardCode],"CW")</f>
        <v>0</v>
      </c>
      <c r="K6" s="24">
        <f t="shared" si="0"/>
        <v>0.84657534246575339</v>
      </c>
      <c r="L6" s="24">
        <f t="shared" si="1"/>
        <v>3.8624999999999998</v>
      </c>
      <c r="M6" s="24">
        <f t="shared" si="2"/>
        <v>119.325</v>
      </c>
      <c r="N6" s="24">
        <f t="shared" si="3"/>
        <v>2.9629629629629628</v>
      </c>
      <c r="O6" s="24">
        <f t="shared" si="4"/>
        <v>3.1354642313546419</v>
      </c>
      <c r="P6" s="24">
        <f t="shared" si="5"/>
        <v>0</v>
      </c>
    </row>
    <row r="7" spans="1:16" x14ac:dyDescent="0.25">
      <c r="A7" s="21" t="s">
        <v>35</v>
      </c>
      <c r="B7" s="22">
        <f>IFERROR(INDEX(tblWardConfig[PrevYearRemaining],MATCH("BF",tblWardConfig[WardCode],0)),0)</f>
        <v>9</v>
      </c>
      <c r="C7" s="22">
        <f>IFERROR(INDEX(tblWardConfig[BedComplement],MATCH("BF",tblWardConfig[WardCode],0)),0)</f>
        <v>20</v>
      </c>
      <c r="D7" s="23">
        <f>SUMIFS(tblDaily[Admissions],tblDaily[WardCode],"BF") - SUMIFS(tblDaily[DeathsUnder24Hrs],tblDaily[WardCode],"BF")</f>
        <v>65</v>
      </c>
      <c r="E7" s="23">
        <f>SUMIFS(tblDaily[Discharges],tblDaily[WardCode],"BF")</f>
        <v>66</v>
      </c>
      <c r="F7" s="23">
        <f>SUMIFS(tblDaily[Deaths],tblDaily[WardCode],"BF")</f>
        <v>0</v>
      </c>
      <c r="G7" s="23">
        <f>SUMIFS(tblDaily[DeathsUnder24Hrs],tblDaily[WardCode],"BF")</f>
        <v>0</v>
      </c>
      <c r="H7" s="23">
        <f>SUMIFS(tblDaily[Remaining],tblDaily[WardCode],"BF")</f>
        <v>209</v>
      </c>
      <c r="I7" s="23">
        <f>SUMIFS(tblDaily[TransfersIn],tblDaily[WardCode],"BF")</f>
        <v>1</v>
      </c>
      <c r="J7" s="23">
        <f>SUMIFS(tblDaily[TransfersOut],tblDaily[WardCode],"BF")</f>
        <v>1</v>
      </c>
      <c r="K7" s="24">
        <f t="shared" si="0"/>
        <v>0.57260273972602738</v>
      </c>
      <c r="L7" s="24">
        <f t="shared" si="1"/>
        <v>3.1666666666666665</v>
      </c>
      <c r="M7" s="24">
        <f t="shared" si="2"/>
        <v>107.43939393939394</v>
      </c>
      <c r="N7" s="24">
        <f t="shared" si="3"/>
        <v>3.3</v>
      </c>
      <c r="O7" s="24">
        <f t="shared" si="4"/>
        <v>2.8630136986301369</v>
      </c>
      <c r="P7" s="24">
        <f t="shared" si="5"/>
        <v>0</v>
      </c>
    </row>
    <row r="8" spans="1:16" x14ac:dyDescent="0.25">
      <c r="A8" s="21" t="s">
        <v>37</v>
      </c>
      <c r="B8" s="22">
        <f>IFERROR(INDEX(tblWardConfig[PrevYearRemaining],MATCH("BG",tblWardConfig[WardCode],0)),0)</f>
        <v>9</v>
      </c>
      <c r="C8" s="22">
        <f>IFERROR(INDEX(tblWardConfig[BedComplement],MATCH("BG",tblWardConfig[WardCode],0)),0)</f>
        <v>14</v>
      </c>
      <c r="D8" s="23">
        <f>SUMIFS(tblDaily[Admissions],tblDaily[WardCode],"BG") - SUMIFS(tblDaily[DeathsUnder24Hrs],tblDaily[WardCode],"BG")</f>
        <v>125</v>
      </c>
      <c r="E8" s="23">
        <f>SUMIFS(tblDaily[Discharges],tblDaily[WardCode],"BG")</f>
        <v>122</v>
      </c>
      <c r="F8" s="23">
        <f>SUMIFS(tblDaily[Deaths],tblDaily[WardCode],"BG")</f>
        <v>0</v>
      </c>
      <c r="G8" s="23">
        <f>SUMIFS(tblDaily[DeathsUnder24Hrs],tblDaily[WardCode],"BG")</f>
        <v>0</v>
      </c>
      <c r="H8" s="23">
        <f>SUMIFS(tblDaily[Remaining],tblDaily[WardCode],"BG")</f>
        <v>354</v>
      </c>
      <c r="I8" s="23">
        <f>SUMIFS(tblDaily[TransfersIn],tblDaily[WardCode],"BG")</f>
        <v>27</v>
      </c>
      <c r="J8" s="23">
        <f>SUMIFS(tblDaily[TransfersOut],tblDaily[WardCode],"BG")</f>
        <v>27</v>
      </c>
      <c r="K8" s="24">
        <f t="shared" si="0"/>
        <v>0.96986301369863015</v>
      </c>
      <c r="L8" s="24">
        <f t="shared" si="1"/>
        <v>2.901639344262295</v>
      </c>
      <c r="M8" s="24">
        <f t="shared" si="2"/>
        <v>38.983606557377051</v>
      </c>
      <c r="N8" s="24">
        <f t="shared" si="3"/>
        <v>8.7142857142857135</v>
      </c>
      <c r="O8" s="24">
        <f t="shared" si="4"/>
        <v>6.9275929549902155</v>
      </c>
      <c r="P8" s="24">
        <f t="shared" si="5"/>
        <v>0</v>
      </c>
    </row>
    <row r="9" spans="1:16" x14ac:dyDescent="0.25">
      <c r="A9" s="21" t="s">
        <v>39</v>
      </c>
      <c r="B9" s="22">
        <f>IFERROR(INDEX(tblWardConfig[PrevYearRemaining],MATCH("BH",tblWardConfig[WardCode],0)),0)</f>
        <v>12</v>
      </c>
      <c r="C9" s="22">
        <f>IFERROR(INDEX(tblWardConfig[BedComplement],MATCH("BH",tblWardConfig[WardCode],0)),0)</f>
        <v>22</v>
      </c>
      <c r="D9" s="23">
        <f>SUMIFS(tblDaily[Admissions],tblDaily[WardCode],"BH") - SUMIFS(tblDaily[DeathsUnder24Hrs],tblDaily[WardCode],"BH")</f>
        <v>74</v>
      </c>
      <c r="E9" s="23">
        <f>SUMIFS(tblDaily[Discharges],tblDaily[WardCode],"BH")</f>
        <v>81</v>
      </c>
      <c r="F9" s="23">
        <f>SUMIFS(tblDaily[Deaths],tblDaily[WardCode],"BH")</f>
        <v>0</v>
      </c>
      <c r="G9" s="23">
        <f>SUMIFS(tblDaily[DeathsUnder24Hrs],tblDaily[WardCode],"BH")</f>
        <v>0</v>
      </c>
      <c r="H9" s="23">
        <f>SUMIFS(tblDaily[Remaining],tblDaily[WardCode],"BH")</f>
        <v>376</v>
      </c>
      <c r="I9" s="23">
        <f>SUMIFS(tblDaily[TransfersIn],tblDaily[WardCode],"BH")</f>
        <v>28</v>
      </c>
      <c r="J9" s="23">
        <f>SUMIFS(tblDaily[TransfersOut],tblDaily[WardCode],"BH")</f>
        <v>26</v>
      </c>
      <c r="K9" s="24">
        <f t="shared" si="0"/>
        <v>1.0301369863013699</v>
      </c>
      <c r="L9" s="24">
        <f t="shared" si="1"/>
        <v>4.6419753086419755</v>
      </c>
      <c r="M9" s="24">
        <f t="shared" si="2"/>
        <v>94.493827160493822</v>
      </c>
      <c r="N9" s="24">
        <f t="shared" si="3"/>
        <v>3.6818181818181817</v>
      </c>
      <c r="O9" s="24">
        <f t="shared" si="4"/>
        <v>4.6824408468244085</v>
      </c>
      <c r="P9" s="24">
        <f t="shared" si="5"/>
        <v>0</v>
      </c>
    </row>
    <row r="10" spans="1:16" x14ac:dyDescent="0.25">
      <c r="A10" s="21" t="s">
        <v>41</v>
      </c>
      <c r="B10" s="22">
        <f>IFERROR(INDEX(tblWardConfig[PrevYearRemaining],MATCH("NICU",tblWardConfig[WardCode],0)),0)</f>
        <v>14</v>
      </c>
      <c r="C10" s="22">
        <f>IFERROR(INDEX(tblWardConfig[BedComplement],MATCH("NICU",tblWardConfig[WardCode],0)),0)</f>
        <v>15</v>
      </c>
      <c r="D10" s="23">
        <f>SUMIFS(tblDaily[Admissions],tblDaily[WardCode],"NICU") - SUMIFS(tblDaily[DeathsUnder24Hrs],tblDaily[WardCode],"NICU")</f>
        <v>47</v>
      </c>
      <c r="E10" s="23">
        <f>SUMIFS(tblDaily[Discharges],tblDaily[WardCode],"NICU")</f>
        <v>50</v>
      </c>
      <c r="F10" s="23">
        <f>SUMIFS(tblDaily[Deaths],tblDaily[WardCode],"NICU")</f>
        <v>8</v>
      </c>
      <c r="G10" s="23">
        <f>SUMIFS(tblDaily[DeathsUnder24Hrs],tblDaily[WardCode],"NICU")</f>
        <v>0</v>
      </c>
      <c r="H10" s="23">
        <f>SUMIFS(tblDaily[Remaining],tblDaily[WardCode],"NICU")</f>
        <v>418</v>
      </c>
      <c r="I10" s="23">
        <f>SUMIFS(tblDaily[TransfersIn],tblDaily[WardCode],"NICU")</f>
        <v>0</v>
      </c>
      <c r="J10" s="23">
        <f>SUMIFS(tblDaily[TransfersOut],tblDaily[WardCode],"NICU")</f>
        <v>0</v>
      </c>
      <c r="K10" s="24">
        <f t="shared" si="0"/>
        <v>1.1452054794520548</v>
      </c>
      <c r="L10" s="24">
        <f t="shared" si="1"/>
        <v>7.2068965517241379</v>
      </c>
      <c r="M10" s="24">
        <f t="shared" si="2"/>
        <v>87.189655172413794</v>
      </c>
      <c r="N10" s="24">
        <f t="shared" si="3"/>
        <v>3.8666666666666667</v>
      </c>
      <c r="O10" s="24">
        <f t="shared" si="4"/>
        <v>7.6347031963470311</v>
      </c>
      <c r="P10" s="24">
        <f t="shared" si="5"/>
        <v>13.114754098360656</v>
      </c>
    </row>
    <row r="11" spans="1:16" x14ac:dyDescent="0.25">
      <c r="A11" s="21" t="s">
        <v>43</v>
      </c>
      <c r="B11" s="22">
        <f>IFERROR(INDEX(tblWardConfig[PrevYearRemaining],MATCH("MAE",tblWardConfig[WardCode],0)),0)</f>
        <v>9</v>
      </c>
      <c r="C11" s="22">
        <f>IFERROR(INDEX(tblWardConfig[BedComplement],MATCH("MAE",tblWardConfig[WardCode],0)),0)</f>
        <v>10</v>
      </c>
      <c r="D11" s="23">
        <f>SUMIFS(tblDaily[Admissions],tblDaily[WardCode],"MAE") - SUMIFS(tblDaily[DeathsUnder24Hrs],tblDaily[WardCode],"MAE")</f>
        <v>89</v>
      </c>
      <c r="E11" s="23">
        <f>SUMIFS(tblDaily[Discharges],tblDaily[WardCode],"MAE")</f>
        <v>46</v>
      </c>
      <c r="F11" s="23">
        <f>SUMIFS(tblDaily[Deaths],tblDaily[WardCode],"MAE")</f>
        <v>4</v>
      </c>
      <c r="G11" s="23">
        <f>SUMIFS(tblDaily[DeathsUnder24Hrs],tblDaily[WardCode],"MAE")</f>
        <v>5</v>
      </c>
      <c r="H11" s="23">
        <f>SUMIFS(tblDaily[Remaining],tblDaily[WardCode],"MAE")</f>
        <v>151</v>
      </c>
      <c r="I11" s="23">
        <f>SUMIFS(tblDaily[TransfersIn],tblDaily[WardCode],"MAE")</f>
        <v>2</v>
      </c>
      <c r="J11" s="23">
        <f>SUMIFS(tblDaily[TransfersOut],tblDaily[WardCode],"MAE")</f>
        <v>47</v>
      </c>
      <c r="K11" s="24">
        <f t="shared" si="0"/>
        <v>0.41369863013698632</v>
      </c>
      <c r="L11" s="24">
        <f t="shared" si="1"/>
        <v>3.02</v>
      </c>
      <c r="M11" s="24">
        <f t="shared" si="2"/>
        <v>69.98</v>
      </c>
      <c r="N11" s="24">
        <f t="shared" si="3"/>
        <v>5</v>
      </c>
      <c r="O11" s="24">
        <f t="shared" si="4"/>
        <v>4.1369863013698636</v>
      </c>
      <c r="P11" s="24">
        <f t="shared" si="5"/>
        <v>4.0816326530612246</v>
      </c>
    </row>
    <row r="12" spans="1:16" x14ac:dyDescent="0.25">
      <c r="A12" s="21" t="s">
        <v>45</v>
      </c>
      <c r="B12" s="22">
        <f>IFERROR(INDEX(tblWardConfig[PrevYearRemaining],MATCH("FAE",tblWardConfig[WardCode],0)),0)</f>
        <v>1</v>
      </c>
      <c r="C12" s="22">
        <f>IFERROR(INDEX(tblWardConfig[BedComplement],MATCH("FAE",tblWardConfig[WardCode],0)),0)</f>
        <v>10</v>
      </c>
      <c r="D12" s="23">
        <f>SUMIFS(tblDaily[Admissions],tblDaily[WardCode],"FAE") - SUMIFS(tblDaily[DeathsUnder24Hrs],tblDaily[WardCode],"FAE")</f>
        <v>46</v>
      </c>
      <c r="E12" s="23">
        <f>SUMIFS(tblDaily[Discharges],tblDaily[WardCode],"FAE")</f>
        <v>13</v>
      </c>
      <c r="F12" s="23">
        <f>SUMIFS(tblDaily[Deaths],tblDaily[WardCode],"FAE")</f>
        <v>0</v>
      </c>
      <c r="G12" s="23">
        <f>SUMIFS(tblDaily[DeathsUnder24Hrs],tblDaily[WardCode],"FAE")</f>
        <v>1</v>
      </c>
      <c r="H12" s="23">
        <f>SUMIFS(tblDaily[Remaining],tblDaily[WardCode],"FAE")</f>
        <v>55</v>
      </c>
      <c r="I12" s="23">
        <f>SUMIFS(tblDaily[TransfersIn],tblDaily[WardCode],"FAE")</f>
        <v>0</v>
      </c>
      <c r="J12" s="23">
        <f>SUMIFS(tblDaily[TransfersOut],tblDaily[WardCode],"FAE")</f>
        <v>30</v>
      </c>
      <c r="K12" s="24">
        <f t="shared" si="0"/>
        <v>0.15068493150684931</v>
      </c>
      <c r="L12" s="24">
        <f t="shared" si="1"/>
        <v>4.2307692307692308</v>
      </c>
      <c r="M12" s="24">
        <f t="shared" si="2"/>
        <v>276.53846153846155</v>
      </c>
      <c r="N12" s="24">
        <f t="shared" si="3"/>
        <v>1.3</v>
      </c>
      <c r="O12" s="24">
        <f t="shared" si="4"/>
        <v>1.5068493150684932</v>
      </c>
      <c r="P12" s="24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1" t="s">
        <v>197</v>
      </c>
      <c r="B1" s="26"/>
      <c r="C1" s="26"/>
      <c r="D1" s="26"/>
      <c r="E1" s="26"/>
      <c r="F1" s="26"/>
      <c r="G1" s="26"/>
      <c r="H1" s="26"/>
      <c r="I1" s="26"/>
      <c r="J1" s="26"/>
    </row>
    <row r="2" spans="1:10" x14ac:dyDescent="0.25">
      <c r="A2" s="3" t="s">
        <v>176</v>
      </c>
      <c r="B2" s="3" t="s">
        <v>198</v>
      </c>
      <c r="C2" s="3" t="s">
        <v>71</v>
      </c>
      <c r="D2" s="3" t="s">
        <v>180</v>
      </c>
      <c r="E2" s="3" t="s">
        <v>199</v>
      </c>
      <c r="F2" s="3" t="s">
        <v>200</v>
      </c>
      <c r="G2" s="3" t="s">
        <v>85</v>
      </c>
      <c r="H2" s="3" t="s">
        <v>87</v>
      </c>
      <c r="I2" s="3" t="s">
        <v>201</v>
      </c>
      <c r="J2" s="3" t="s">
        <v>202</v>
      </c>
    </row>
    <row r="3" spans="1:10" x14ac:dyDescent="0.25">
      <c r="A3" s="2" t="s">
        <v>194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2026-02-10T18:47:21Z</dcterms:created>
  <dcterms:modified xsi:type="dcterms:W3CDTF">2026-02-10T19:28:22Z</dcterms:modified>
</cp:coreProperties>
</file>