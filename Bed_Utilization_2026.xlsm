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06F13E57-38A2-401D-A533-282913076518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Summary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G12" i="20"/>
  <c r="F12" i="20"/>
  <c r="E12" i="20"/>
  <c r="D12" i="20"/>
  <c r="C12" i="20"/>
  <c r="B12" i="20"/>
  <c r="J11" i="20"/>
  <c r="I11" i="20"/>
  <c r="H11" i="20"/>
  <c r="K11" i="20" s="1"/>
  <c r="G11" i="20"/>
  <c r="F11" i="20"/>
  <c r="E11" i="20"/>
  <c r="D11" i="20"/>
  <c r="C11" i="20"/>
  <c r="B11" i="20"/>
  <c r="J10" i="20"/>
  <c r="I10" i="20"/>
  <c r="H10" i="20"/>
  <c r="G10" i="20"/>
  <c r="F10" i="20"/>
  <c r="E10" i="20"/>
  <c r="D10" i="20"/>
  <c r="C10" i="20"/>
  <c r="B10" i="20"/>
  <c r="J9" i="20"/>
  <c r="I9" i="20"/>
  <c r="H9" i="20"/>
  <c r="K9" i="20" s="1"/>
  <c r="G9" i="20"/>
  <c r="F9" i="20"/>
  <c r="E9" i="20"/>
  <c r="D9" i="20"/>
  <c r="C9" i="20"/>
  <c r="B9" i="20"/>
  <c r="J8" i="20"/>
  <c r="I8" i="20"/>
  <c r="H8" i="20"/>
  <c r="K8" i="20" s="1"/>
  <c r="G8" i="20"/>
  <c r="F8" i="20"/>
  <c r="E8" i="20"/>
  <c r="D8" i="20"/>
  <c r="C8" i="20"/>
  <c r="B8" i="20"/>
  <c r="J7" i="20"/>
  <c r="I7" i="20"/>
  <c r="H7" i="20"/>
  <c r="G7" i="20"/>
  <c r="F7" i="20"/>
  <c r="E7" i="20"/>
  <c r="N7" i="20" s="1"/>
  <c r="D7" i="20"/>
  <c r="P7" i="20" s="1"/>
  <c r="C7" i="20"/>
  <c r="B7" i="20"/>
  <c r="J6" i="20"/>
  <c r="I6" i="20"/>
  <c r="H6" i="20"/>
  <c r="G6" i="20"/>
  <c r="F6" i="20"/>
  <c r="E6" i="20"/>
  <c r="D6" i="20"/>
  <c r="C6" i="20"/>
  <c r="B6" i="20"/>
  <c r="J5" i="20"/>
  <c r="I5" i="20"/>
  <c r="H5" i="20"/>
  <c r="O5" i="20" s="1"/>
  <c r="G5" i="20"/>
  <c r="F5" i="20"/>
  <c r="E5" i="20"/>
  <c r="D5" i="20"/>
  <c r="C5" i="20"/>
  <c r="B5" i="20"/>
  <c r="J4" i="20"/>
  <c r="I4" i="20"/>
  <c r="H4" i="20"/>
  <c r="K4" i="20" s="1"/>
  <c r="G4" i="20"/>
  <c r="F4" i="20"/>
  <c r="E4" i="20"/>
  <c r="N4" i="20" s="1"/>
  <c r="D4" i="20"/>
  <c r="C4" i="20"/>
  <c r="B4" i="20"/>
  <c r="CF15" i="18"/>
  <c r="CE15" i="18"/>
  <c r="CD15" i="18"/>
  <c r="CC15" i="18"/>
  <c r="CB15" i="18"/>
  <c r="CA15" i="18"/>
  <c r="BY15" i="18"/>
  <c r="BX15" i="18"/>
  <c r="BW15" i="18"/>
  <c r="BV15" i="18"/>
  <c r="BU15" i="18"/>
  <c r="BT15" i="18"/>
  <c r="BR15" i="18"/>
  <c r="BQ15" i="18"/>
  <c r="BP15" i="18"/>
  <c r="BO15" i="18"/>
  <c r="BN15" i="18"/>
  <c r="BM15" i="18"/>
  <c r="BK15" i="18"/>
  <c r="BJ15" i="18"/>
  <c r="BI15" i="18"/>
  <c r="BH15" i="18"/>
  <c r="BG15" i="18"/>
  <c r="BF15" i="18"/>
  <c r="BD15" i="18"/>
  <c r="BC15" i="18"/>
  <c r="BB15" i="18"/>
  <c r="BA15" i="18"/>
  <c r="AZ15" i="18"/>
  <c r="AY15" i="18"/>
  <c r="AW15" i="18"/>
  <c r="AV15" i="18"/>
  <c r="AU15" i="18"/>
  <c r="AT15" i="18"/>
  <c r="AS15" i="18"/>
  <c r="AR15" i="18"/>
  <c r="AP15" i="18"/>
  <c r="AO15" i="18"/>
  <c r="AN15" i="18"/>
  <c r="AM15" i="18"/>
  <c r="AL15" i="18"/>
  <c r="AK15" i="18"/>
  <c r="AI15" i="18"/>
  <c r="AH15" i="18"/>
  <c r="AG15" i="18"/>
  <c r="AF15" i="18"/>
  <c r="AE15" i="18"/>
  <c r="AD15" i="18"/>
  <c r="AB15" i="18"/>
  <c r="AA15" i="18"/>
  <c r="Z15" i="18"/>
  <c r="Y15" i="18"/>
  <c r="X15" i="18"/>
  <c r="W15" i="18"/>
  <c r="U15" i="18"/>
  <c r="T15" i="18"/>
  <c r="S15" i="18"/>
  <c r="R15" i="18"/>
  <c r="Q15" i="18"/>
  <c r="P15" i="18"/>
  <c r="N15" i="18"/>
  <c r="M15" i="18"/>
  <c r="L15" i="18"/>
  <c r="K15" i="18"/>
  <c r="J15" i="18"/>
  <c r="I15" i="18"/>
  <c r="G15" i="18"/>
  <c r="F15" i="18"/>
  <c r="E15" i="18"/>
  <c r="D15" i="18"/>
  <c r="C15" i="18"/>
  <c r="B15" i="18"/>
  <c r="CF14" i="18"/>
  <c r="CE14" i="18"/>
  <c r="CD14" i="18"/>
  <c r="CC14" i="18"/>
  <c r="CB14" i="18"/>
  <c r="CA14" i="18"/>
  <c r="BY14" i="18"/>
  <c r="BX14" i="18"/>
  <c r="BW14" i="18"/>
  <c r="BV14" i="18"/>
  <c r="BU14" i="18"/>
  <c r="BT14" i="18"/>
  <c r="BR14" i="18"/>
  <c r="BQ14" i="18"/>
  <c r="BP14" i="18"/>
  <c r="BO14" i="18"/>
  <c r="BN14" i="18"/>
  <c r="BM14" i="18"/>
  <c r="BK14" i="18"/>
  <c r="BJ14" i="18"/>
  <c r="BI14" i="18"/>
  <c r="BH14" i="18"/>
  <c r="BG14" i="18"/>
  <c r="BF14" i="18"/>
  <c r="BD14" i="18"/>
  <c r="BC14" i="18"/>
  <c r="BB14" i="18"/>
  <c r="BA14" i="18"/>
  <c r="AZ14" i="18"/>
  <c r="AY14" i="18"/>
  <c r="AW14" i="18"/>
  <c r="AV14" i="18"/>
  <c r="AU14" i="18"/>
  <c r="AT14" i="18"/>
  <c r="AS14" i="18"/>
  <c r="AR14" i="18"/>
  <c r="AP14" i="18"/>
  <c r="AO14" i="18"/>
  <c r="AN14" i="18"/>
  <c r="AM14" i="18"/>
  <c r="AL14" i="18"/>
  <c r="AK14" i="18"/>
  <c r="AI14" i="18"/>
  <c r="AH14" i="18"/>
  <c r="AG14" i="18"/>
  <c r="AF14" i="18"/>
  <c r="AE14" i="18"/>
  <c r="AD14" i="18"/>
  <c r="AB14" i="18"/>
  <c r="AA14" i="18"/>
  <c r="Z14" i="18"/>
  <c r="Y14" i="18"/>
  <c r="X14" i="18"/>
  <c r="W14" i="18"/>
  <c r="U14" i="18"/>
  <c r="T14" i="18"/>
  <c r="S14" i="18"/>
  <c r="R14" i="18"/>
  <c r="Q14" i="18"/>
  <c r="P14" i="18"/>
  <c r="N14" i="18"/>
  <c r="M14" i="18"/>
  <c r="L14" i="18"/>
  <c r="K14" i="18"/>
  <c r="J14" i="18"/>
  <c r="I14" i="18"/>
  <c r="G14" i="18"/>
  <c r="F14" i="18"/>
  <c r="E14" i="18"/>
  <c r="D14" i="18"/>
  <c r="C14" i="18"/>
  <c r="B14" i="18"/>
  <c r="CF13" i="18"/>
  <c r="CE13" i="18"/>
  <c r="CD13" i="18"/>
  <c r="CC13" i="18"/>
  <c r="CB13" i="18"/>
  <c r="CA13" i="18"/>
  <c r="BY13" i="18"/>
  <c r="BX13" i="18"/>
  <c r="BW13" i="18"/>
  <c r="BV13" i="18"/>
  <c r="BU13" i="18"/>
  <c r="BT13" i="18"/>
  <c r="BR13" i="18"/>
  <c r="BQ13" i="18"/>
  <c r="BP13" i="18"/>
  <c r="BO13" i="18"/>
  <c r="BN13" i="18"/>
  <c r="BM13" i="18"/>
  <c r="BK13" i="18"/>
  <c r="BJ13" i="18"/>
  <c r="BI13" i="18"/>
  <c r="BH13" i="18"/>
  <c r="BG13" i="18"/>
  <c r="BF13" i="18"/>
  <c r="BD13" i="18"/>
  <c r="BC13" i="18"/>
  <c r="BB13" i="18"/>
  <c r="BA13" i="18"/>
  <c r="AZ13" i="18"/>
  <c r="AY13" i="18"/>
  <c r="AW13" i="18"/>
  <c r="AV13" i="18"/>
  <c r="AU13" i="18"/>
  <c r="AT13" i="18"/>
  <c r="AS13" i="18"/>
  <c r="AR13" i="18"/>
  <c r="AP13" i="18"/>
  <c r="AO13" i="18"/>
  <c r="AN13" i="18"/>
  <c r="AM13" i="18"/>
  <c r="AL13" i="18"/>
  <c r="AK13" i="18"/>
  <c r="AI13" i="18"/>
  <c r="AH13" i="18"/>
  <c r="AG13" i="18"/>
  <c r="AF13" i="18"/>
  <c r="AE13" i="18"/>
  <c r="AD13" i="18"/>
  <c r="AB13" i="18"/>
  <c r="AA13" i="18"/>
  <c r="Z13" i="18"/>
  <c r="Y13" i="18"/>
  <c r="X13" i="18"/>
  <c r="W13" i="18"/>
  <c r="U13" i="18"/>
  <c r="T13" i="18"/>
  <c r="S13" i="18"/>
  <c r="R13" i="18"/>
  <c r="Q13" i="18"/>
  <c r="P13" i="18"/>
  <c r="N13" i="18"/>
  <c r="M13" i="18"/>
  <c r="L13" i="18"/>
  <c r="K13" i="18"/>
  <c r="J13" i="18"/>
  <c r="I13" i="18"/>
  <c r="G13" i="18"/>
  <c r="F13" i="18"/>
  <c r="E13" i="18"/>
  <c r="D13" i="18"/>
  <c r="C13" i="18"/>
  <c r="B13" i="18"/>
  <c r="CF12" i="18"/>
  <c r="CE12" i="18"/>
  <c r="CD12" i="18"/>
  <c r="CC12" i="18"/>
  <c r="CB12" i="18"/>
  <c r="CA12" i="18"/>
  <c r="BY12" i="18"/>
  <c r="BX12" i="18"/>
  <c r="BW12" i="18"/>
  <c r="BV12" i="18"/>
  <c r="BU12" i="18"/>
  <c r="BT12" i="18"/>
  <c r="BR12" i="18"/>
  <c r="BQ12" i="18"/>
  <c r="BP12" i="18"/>
  <c r="BO12" i="18"/>
  <c r="BN12" i="18"/>
  <c r="BM12" i="18"/>
  <c r="BK12" i="18"/>
  <c r="BJ12" i="18"/>
  <c r="BI12" i="18"/>
  <c r="BH12" i="18"/>
  <c r="BG12" i="18"/>
  <c r="BF12" i="18"/>
  <c r="BD12" i="18"/>
  <c r="BC12" i="18"/>
  <c r="BB12" i="18"/>
  <c r="BA12" i="18"/>
  <c r="AZ12" i="18"/>
  <c r="AY12" i="18"/>
  <c r="AW12" i="18"/>
  <c r="AV12" i="18"/>
  <c r="AU12" i="18"/>
  <c r="AT12" i="18"/>
  <c r="AS12" i="18"/>
  <c r="AR12" i="18"/>
  <c r="AP12" i="18"/>
  <c r="AO12" i="18"/>
  <c r="AN12" i="18"/>
  <c r="AM12" i="18"/>
  <c r="AL12" i="18"/>
  <c r="AK12" i="18"/>
  <c r="AI12" i="18"/>
  <c r="AH12" i="18"/>
  <c r="AG12" i="18"/>
  <c r="AF12" i="18"/>
  <c r="AE12" i="18"/>
  <c r="AD12" i="18"/>
  <c r="AB12" i="18"/>
  <c r="AA12" i="18"/>
  <c r="Z12" i="18"/>
  <c r="Y12" i="18"/>
  <c r="X12" i="18"/>
  <c r="W12" i="18"/>
  <c r="U12" i="18"/>
  <c r="T12" i="18"/>
  <c r="S12" i="18"/>
  <c r="R12" i="18"/>
  <c r="Q12" i="18"/>
  <c r="P12" i="18"/>
  <c r="N12" i="18"/>
  <c r="M12" i="18"/>
  <c r="L12" i="18"/>
  <c r="K12" i="18"/>
  <c r="J12" i="18"/>
  <c r="I12" i="18"/>
  <c r="G12" i="18"/>
  <c r="F12" i="18"/>
  <c r="E12" i="18"/>
  <c r="D12" i="18"/>
  <c r="C12" i="18"/>
  <c r="B12" i="18"/>
  <c r="CF11" i="18"/>
  <c r="CE11" i="18"/>
  <c r="CD11" i="18"/>
  <c r="CC11" i="18"/>
  <c r="CB11" i="18"/>
  <c r="CA11" i="18"/>
  <c r="BY11" i="18"/>
  <c r="BX11" i="18"/>
  <c r="BW11" i="18"/>
  <c r="BV11" i="18"/>
  <c r="BU11" i="18"/>
  <c r="BT11" i="18"/>
  <c r="BR11" i="18"/>
  <c r="BQ11" i="18"/>
  <c r="BP11" i="18"/>
  <c r="BO11" i="18"/>
  <c r="BN11" i="18"/>
  <c r="BM11" i="18"/>
  <c r="BK11" i="18"/>
  <c r="BJ11" i="18"/>
  <c r="BI11" i="18"/>
  <c r="BH11" i="18"/>
  <c r="BG11" i="18"/>
  <c r="BF11" i="18"/>
  <c r="BD11" i="18"/>
  <c r="BC11" i="18"/>
  <c r="BB11" i="18"/>
  <c r="BA11" i="18"/>
  <c r="AZ11" i="18"/>
  <c r="AY11" i="18"/>
  <c r="AW11" i="18"/>
  <c r="AV11" i="18"/>
  <c r="AU11" i="18"/>
  <c r="AT11" i="18"/>
  <c r="AS11" i="18"/>
  <c r="AR11" i="18"/>
  <c r="AP11" i="18"/>
  <c r="AO11" i="18"/>
  <c r="AN11" i="18"/>
  <c r="AM11" i="18"/>
  <c r="AL11" i="18"/>
  <c r="AK11" i="18"/>
  <c r="AI11" i="18"/>
  <c r="AH11" i="18"/>
  <c r="AG11" i="18"/>
  <c r="AF11" i="18"/>
  <c r="AE11" i="18"/>
  <c r="AD11" i="18"/>
  <c r="AB11" i="18"/>
  <c r="AA11" i="18"/>
  <c r="Z11" i="18"/>
  <c r="Y11" i="18"/>
  <c r="X11" i="18"/>
  <c r="W11" i="18"/>
  <c r="U11" i="18"/>
  <c r="T11" i="18"/>
  <c r="S11" i="18"/>
  <c r="R11" i="18"/>
  <c r="Q11" i="18"/>
  <c r="P11" i="18"/>
  <c r="N11" i="18"/>
  <c r="M11" i="18"/>
  <c r="L11" i="18"/>
  <c r="K11" i="18"/>
  <c r="J11" i="18"/>
  <c r="I11" i="18"/>
  <c r="G11" i="18"/>
  <c r="F11" i="18"/>
  <c r="E11" i="18"/>
  <c r="D11" i="18"/>
  <c r="C11" i="18"/>
  <c r="B11" i="18"/>
  <c r="CF10" i="18"/>
  <c r="CE10" i="18"/>
  <c r="CD10" i="18"/>
  <c r="CC10" i="18"/>
  <c r="CB10" i="18"/>
  <c r="CA10" i="18"/>
  <c r="BY10" i="18"/>
  <c r="BX10" i="18"/>
  <c r="BW10" i="18"/>
  <c r="BV10" i="18"/>
  <c r="BU10" i="18"/>
  <c r="BT10" i="18"/>
  <c r="BR10" i="18"/>
  <c r="BQ10" i="18"/>
  <c r="BP10" i="18"/>
  <c r="BO10" i="18"/>
  <c r="BN10" i="18"/>
  <c r="BM10" i="18"/>
  <c r="BK10" i="18"/>
  <c r="BJ10" i="18"/>
  <c r="BI10" i="18"/>
  <c r="BH10" i="18"/>
  <c r="BG10" i="18"/>
  <c r="BF10" i="18"/>
  <c r="BD10" i="18"/>
  <c r="BC10" i="18"/>
  <c r="BB10" i="18"/>
  <c r="BA10" i="18"/>
  <c r="AZ10" i="18"/>
  <c r="AY10" i="18"/>
  <c r="AW10" i="18"/>
  <c r="AV10" i="18"/>
  <c r="AU10" i="18"/>
  <c r="AT10" i="18"/>
  <c r="AS10" i="18"/>
  <c r="AR10" i="18"/>
  <c r="AP10" i="18"/>
  <c r="AO10" i="18"/>
  <c r="AN10" i="18"/>
  <c r="AM10" i="18"/>
  <c r="AL10" i="18"/>
  <c r="AK10" i="18"/>
  <c r="AI10" i="18"/>
  <c r="AH10" i="18"/>
  <c r="AG10" i="18"/>
  <c r="AF10" i="18"/>
  <c r="AE10" i="18"/>
  <c r="AD10" i="18"/>
  <c r="AB10" i="18"/>
  <c r="AA10" i="18"/>
  <c r="Z10" i="18"/>
  <c r="Y10" i="18"/>
  <c r="X10" i="18"/>
  <c r="W10" i="18"/>
  <c r="U10" i="18"/>
  <c r="T10" i="18"/>
  <c r="S10" i="18"/>
  <c r="R10" i="18"/>
  <c r="Q10" i="18"/>
  <c r="P10" i="18"/>
  <c r="N10" i="18"/>
  <c r="M10" i="18"/>
  <c r="L10" i="18"/>
  <c r="K10" i="18"/>
  <c r="J10" i="18"/>
  <c r="I10" i="18"/>
  <c r="G10" i="18"/>
  <c r="F10" i="18"/>
  <c r="E10" i="18"/>
  <c r="D10" i="18"/>
  <c r="C10" i="18"/>
  <c r="B10" i="18"/>
  <c r="CF9" i="18"/>
  <c r="CE9" i="18"/>
  <c r="CD9" i="18"/>
  <c r="CC9" i="18"/>
  <c r="CB9" i="18"/>
  <c r="CA9" i="18"/>
  <c r="BY9" i="18"/>
  <c r="BX9" i="18"/>
  <c r="BW9" i="18"/>
  <c r="BV9" i="18"/>
  <c r="BU9" i="18"/>
  <c r="BT9" i="18"/>
  <c r="BR9" i="18"/>
  <c r="BQ9" i="18"/>
  <c r="BP9" i="18"/>
  <c r="BO9" i="18"/>
  <c r="BN9" i="18"/>
  <c r="BM9" i="18"/>
  <c r="BK9" i="18"/>
  <c r="BJ9" i="18"/>
  <c r="BI9" i="18"/>
  <c r="BH9" i="18"/>
  <c r="BG9" i="18"/>
  <c r="BF9" i="18"/>
  <c r="BD9" i="18"/>
  <c r="BC9" i="18"/>
  <c r="BB9" i="18"/>
  <c r="BA9" i="18"/>
  <c r="AZ9" i="18"/>
  <c r="AY9" i="18"/>
  <c r="AW9" i="18"/>
  <c r="AV9" i="18"/>
  <c r="AU9" i="18"/>
  <c r="AT9" i="18"/>
  <c r="AS9" i="18"/>
  <c r="AR9" i="18"/>
  <c r="AP9" i="18"/>
  <c r="AO9" i="18"/>
  <c r="AN9" i="18"/>
  <c r="AM9" i="18"/>
  <c r="AL9" i="18"/>
  <c r="AK9" i="18"/>
  <c r="AI9" i="18"/>
  <c r="AH9" i="18"/>
  <c r="AG9" i="18"/>
  <c r="AF9" i="18"/>
  <c r="AE9" i="18"/>
  <c r="AD9" i="18"/>
  <c r="AB9" i="18"/>
  <c r="AA9" i="18"/>
  <c r="Z9" i="18"/>
  <c r="Y9" i="18"/>
  <c r="X9" i="18"/>
  <c r="W9" i="18"/>
  <c r="U9" i="18"/>
  <c r="T9" i="18"/>
  <c r="S9" i="18"/>
  <c r="R9" i="18"/>
  <c r="Q9" i="18"/>
  <c r="P9" i="18"/>
  <c r="N9" i="18"/>
  <c r="M9" i="18"/>
  <c r="L9" i="18"/>
  <c r="K9" i="18"/>
  <c r="J9" i="18"/>
  <c r="I9" i="18"/>
  <c r="G9" i="18"/>
  <c r="F9" i="18"/>
  <c r="E9" i="18"/>
  <c r="D9" i="18"/>
  <c r="C9" i="18"/>
  <c r="B9" i="18"/>
  <c r="CF8" i="18"/>
  <c r="CE8" i="18"/>
  <c r="CD8" i="18"/>
  <c r="CC8" i="18"/>
  <c r="CB8" i="18"/>
  <c r="CA8" i="18"/>
  <c r="BY8" i="18"/>
  <c r="BX8" i="18"/>
  <c r="BW8" i="18"/>
  <c r="BV8" i="18"/>
  <c r="BU8" i="18"/>
  <c r="BT8" i="18"/>
  <c r="BR8" i="18"/>
  <c r="BQ8" i="18"/>
  <c r="BP8" i="18"/>
  <c r="BO8" i="18"/>
  <c r="BN8" i="18"/>
  <c r="BM8" i="18"/>
  <c r="BK8" i="18"/>
  <c r="BJ8" i="18"/>
  <c r="BI8" i="18"/>
  <c r="BH8" i="18"/>
  <c r="BG8" i="18"/>
  <c r="BF8" i="18"/>
  <c r="BD8" i="18"/>
  <c r="BC8" i="18"/>
  <c r="BB8" i="18"/>
  <c r="BA8" i="18"/>
  <c r="AZ8" i="18"/>
  <c r="AY8" i="18"/>
  <c r="AW8" i="18"/>
  <c r="AV8" i="18"/>
  <c r="AU8" i="18"/>
  <c r="AT8" i="18"/>
  <c r="AS8" i="18"/>
  <c r="AR8" i="18"/>
  <c r="AP8" i="18"/>
  <c r="AO8" i="18"/>
  <c r="AN8" i="18"/>
  <c r="AM8" i="18"/>
  <c r="AL8" i="18"/>
  <c r="AK8" i="18"/>
  <c r="AI8" i="18"/>
  <c r="AH8" i="18"/>
  <c r="AG8" i="18"/>
  <c r="AF8" i="18"/>
  <c r="AE8" i="18"/>
  <c r="AD8" i="18"/>
  <c r="AB8" i="18"/>
  <c r="AA8" i="18"/>
  <c r="Z8" i="18"/>
  <c r="Y8" i="18"/>
  <c r="X8" i="18"/>
  <c r="W8" i="18"/>
  <c r="U8" i="18"/>
  <c r="T8" i="18"/>
  <c r="S8" i="18"/>
  <c r="R8" i="18"/>
  <c r="Q8" i="18"/>
  <c r="P8" i="18"/>
  <c r="N8" i="18"/>
  <c r="M8" i="18"/>
  <c r="L8" i="18"/>
  <c r="K8" i="18"/>
  <c r="J8" i="18"/>
  <c r="I8" i="18"/>
  <c r="G8" i="18"/>
  <c r="F8" i="18"/>
  <c r="E8" i="18"/>
  <c r="D8" i="18"/>
  <c r="C8" i="18"/>
  <c r="B8" i="18"/>
  <c r="CF7" i="18"/>
  <c r="CE7" i="18"/>
  <c r="CD7" i="18"/>
  <c r="CC7" i="18"/>
  <c r="CB7" i="18"/>
  <c r="CA7" i="18"/>
  <c r="BY7" i="18"/>
  <c r="BX7" i="18"/>
  <c r="BW7" i="18"/>
  <c r="BV7" i="18"/>
  <c r="BU7" i="18"/>
  <c r="BT7" i="18"/>
  <c r="BR7" i="18"/>
  <c r="BQ7" i="18"/>
  <c r="BP7" i="18"/>
  <c r="BO7" i="18"/>
  <c r="BN7" i="18"/>
  <c r="BM7" i="18"/>
  <c r="BK7" i="18"/>
  <c r="BJ7" i="18"/>
  <c r="BI7" i="18"/>
  <c r="BH7" i="18"/>
  <c r="BG7" i="18"/>
  <c r="BF7" i="18"/>
  <c r="BD7" i="18"/>
  <c r="BC7" i="18"/>
  <c r="BB7" i="18"/>
  <c r="BA7" i="18"/>
  <c r="AZ7" i="18"/>
  <c r="AY7" i="18"/>
  <c r="AW7" i="18"/>
  <c r="AV7" i="18"/>
  <c r="AU7" i="18"/>
  <c r="AT7" i="18"/>
  <c r="AS7" i="18"/>
  <c r="AR7" i="18"/>
  <c r="AP7" i="18"/>
  <c r="AO7" i="18"/>
  <c r="AN7" i="18"/>
  <c r="AM7" i="18"/>
  <c r="AL7" i="18"/>
  <c r="AK7" i="18"/>
  <c r="AI7" i="18"/>
  <c r="AH7" i="18"/>
  <c r="AG7" i="18"/>
  <c r="AF7" i="18"/>
  <c r="AE7" i="18"/>
  <c r="AD7" i="18"/>
  <c r="AB7" i="18"/>
  <c r="AA7" i="18"/>
  <c r="Z7" i="18"/>
  <c r="Y7" i="18"/>
  <c r="X7" i="18"/>
  <c r="W7" i="18"/>
  <c r="U7" i="18"/>
  <c r="T7" i="18"/>
  <c r="S7" i="18"/>
  <c r="R7" i="18"/>
  <c r="Q7" i="18"/>
  <c r="P7" i="18"/>
  <c r="N7" i="18"/>
  <c r="M7" i="18"/>
  <c r="L7" i="18"/>
  <c r="K7" i="18"/>
  <c r="J7" i="18"/>
  <c r="I7" i="18"/>
  <c r="G7" i="18"/>
  <c r="F7" i="18"/>
  <c r="E7" i="18"/>
  <c r="D7" i="18"/>
  <c r="C7" i="18"/>
  <c r="B7" i="18"/>
  <c r="CF6" i="18"/>
  <c r="CE6" i="18"/>
  <c r="CD6" i="18"/>
  <c r="CC6" i="18"/>
  <c r="CB6" i="18"/>
  <c r="CA6" i="18"/>
  <c r="BY6" i="18"/>
  <c r="BX6" i="18"/>
  <c r="BW6" i="18"/>
  <c r="BV6" i="18"/>
  <c r="BU6" i="18"/>
  <c r="BT6" i="18"/>
  <c r="BR6" i="18"/>
  <c r="BQ6" i="18"/>
  <c r="BP6" i="18"/>
  <c r="BO6" i="18"/>
  <c r="BN6" i="18"/>
  <c r="BM6" i="18"/>
  <c r="BK6" i="18"/>
  <c r="BJ6" i="18"/>
  <c r="BI6" i="18"/>
  <c r="BH6" i="18"/>
  <c r="BG6" i="18"/>
  <c r="BF6" i="18"/>
  <c r="BD6" i="18"/>
  <c r="BC6" i="18"/>
  <c r="BB6" i="18"/>
  <c r="BA6" i="18"/>
  <c r="AZ6" i="18"/>
  <c r="AY6" i="18"/>
  <c r="AW6" i="18"/>
  <c r="AV6" i="18"/>
  <c r="AU6" i="18"/>
  <c r="AT6" i="18"/>
  <c r="AS6" i="18"/>
  <c r="AR6" i="18"/>
  <c r="AP6" i="18"/>
  <c r="AO6" i="18"/>
  <c r="AN6" i="18"/>
  <c r="AM6" i="18"/>
  <c r="AL6" i="18"/>
  <c r="AK6" i="18"/>
  <c r="AI6" i="18"/>
  <c r="AH6" i="18"/>
  <c r="AG6" i="18"/>
  <c r="AF6" i="18"/>
  <c r="AE6" i="18"/>
  <c r="AD6" i="18"/>
  <c r="AB6" i="18"/>
  <c r="AA6" i="18"/>
  <c r="Z6" i="18"/>
  <c r="Y6" i="18"/>
  <c r="X6" i="18"/>
  <c r="W6" i="18"/>
  <c r="U6" i="18"/>
  <c r="T6" i="18"/>
  <c r="S6" i="18"/>
  <c r="R6" i="18"/>
  <c r="Q6" i="18"/>
  <c r="P6" i="18"/>
  <c r="N6" i="18"/>
  <c r="M6" i="18"/>
  <c r="L6" i="18"/>
  <c r="K6" i="18"/>
  <c r="J6" i="18"/>
  <c r="I6" i="18"/>
  <c r="G6" i="18"/>
  <c r="F6" i="18"/>
  <c r="E6" i="18"/>
  <c r="D6" i="18"/>
  <c r="C6" i="18"/>
  <c r="B6" i="18"/>
  <c r="CF5" i="18"/>
  <c r="CE5" i="18"/>
  <c r="CD5" i="18"/>
  <c r="CC5" i="18"/>
  <c r="CB5" i="18"/>
  <c r="CA5" i="18"/>
  <c r="BY5" i="18"/>
  <c r="BX5" i="18"/>
  <c r="BW5" i="18"/>
  <c r="BV5" i="18"/>
  <c r="BU5" i="18"/>
  <c r="BT5" i="18"/>
  <c r="BR5" i="18"/>
  <c r="BQ5" i="18"/>
  <c r="BP5" i="18"/>
  <c r="BO5" i="18"/>
  <c r="BN5" i="18"/>
  <c r="BM5" i="18"/>
  <c r="BK5" i="18"/>
  <c r="BJ5" i="18"/>
  <c r="BI5" i="18"/>
  <c r="BH5" i="18"/>
  <c r="BG5" i="18"/>
  <c r="BF5" i="18"/>
  <c r="BD5" i="18"/>
  <c r="BC5" i="18"/>
  <c r="BB5" i="18"/>
  <c r="BA5" i="18"/>
  <c r="AZ5" i="18"/>
  <c r="AY5" i="18"/>
  <c r="AW5" i="18"/>
  <c r="AV5" i="18"/>
  <c r="AU5" i="18"/>
  <c r="AT5" i="18"/>
  <c r="AS5" i="18"/>
  <c r="AR5" i="18"/>
  <c r="AP5" i="18"/>
  <c r="AO5" i="18"/>
  <c r="AN5" i="18"/>
  <c r="AM5" i="18"/>
  <c r="AL5" i="18"/>
  <c r="AK5" i="18"/>
  <c r="AI5" i="18"/>
  <c r="AH5" i="18"/>
  <c r="AG5" i="18"/>
  <c r="AF5" i="18"/>
  <c r="AE5" i="18"/>
  <c r="AD5" i="18"/>
  <c r="AB5" i="18"/>
  <c r="AA5" i="18"/>
  <c r="Z5" i="18"/>
  <c r="Y5" i="18"/>
  <c r="X5" i="18"/>
  <c r="W5" i="18"/>
  <c r="U5" i="18"/>
  <c r="T5" i="18"/>
  <c r="S5" i="18"/>
  <c r="R5" i="18"/>
  <c r="Q5" i="18"/>
  <c r="P5" i="18"/>
  <c r="N5" i="18"/>
  <c r="M5" i="18"/>
  <c r="L5" i="18"/>
  <c r="K5" i="18"/>
  <c r="J5" i="18"/>
  <c r="I5" i="18"/>
  <c r="G5" i="18"/>
  <c r="F5" i="18"/>
  <c r="E5" i="18"/>
  <c r="D5" i="18"/>
  <c r="C5" i="18"/>
  <c r="B5" i="18"/>
  <c r="CF4" i="18"/>
  <c r="CF16" i="18" s="1"/>
  <c r="CE4" i="18"/>
  <c r="CE16" i="18" s="1"/>
  <c r="CD4" i="18"/>
  <c r="CD16" i="18" s="1"/>
  <c r="CC4" i="18"/>
  <c r="CC16" i="18" s="1"/>
  <c r="CB4" i="18"/>
  <c r="CB16" i="18" s="1"/>
  <c r="CA4" i="18"/>
  <c r="CA16" i="18" s="1"/>
  <c r="BY4" i="18"/>
  <c r="BY16" i="18" s="1"/>
  <c r="BX4" i="18"/>
  <c r="BX16" i="18" s="1"/>
  <c r="BW4" i="18"/>
  <c r="BW16" i="18" s="1"/>
  <c r="BV4" i="18"/>
  <c r="BV16" i="18" s="1"/>
  <c r="BU4" i="18"/>
  <c r="BU16" i="18" s="1"/>
  <c r="BT4" i="18"/>
  <c r="BT16" i="18" s="1"/>
  <c r="BR4" i="18"/>
  <c r="BR16" i="18" s="1"/>
  <c r="BQ4" i="18"/>
  <c r="BQ16" i="18" s="1"/>
  <c r="BP4" i="18"/>
  <c r="BP16" i="18" s="1"/>
  <c r="BO4" i="18"/>
  <c r="BO16" i="18" s="1"/>
  <c r="BN4" i="18"/>
  <c r="BN16" i="18" s="1"/>
  <c r="BM4" i="18"/>
  <c r="BM16" i="18" s="1"/>
  <c r="BK4" i="18"/>
  <c r="BK16" i="18" s="1"/>
  <c r="BJ4" i="18"/>
  <c r="BJ16" i="18" s="1"/>
  <c r="BI4" i="18"/>
  <c r="BI16" i="18" s="1"/>
  <c r="BH4" i="18"/>
  <c r="BH16" i="18" s="1"/>
  <c r="BG4" i="18"/>
  <c r="BG16" i="18" s="1"/>
  <c r="BF4" i="18"/>
  <c r="BF16" i="18" s="1"/>
  <c r="BD4" i="18"/>
  <c r="BD16" i="18" s="1"/>
  <c r="BC4" i="18"/>
  <c r="BC16" i="18" s="1"/>
  <c r="BB4" i="18"/>
  <c r="BB16" i="18" s="1"/>
  <c r="BA4" i="18"/>
  <c r="BA16" i="18" s="1"/>
  <c r="AZ4" i="18"/>
  <c r="AZ16" i="18" s="1"/>
  <c r="AY4" i="18"/>
  <c r="AW4" i="18"/>
  <c r="AW16" i="18" s="1"/>
  <c r="AV4" i="18"/>
  <c r="AV16" i="18" s="1"/>
  <c r="AU4" i="18"/>
  <c r="AU16" i="18" s="1"/>
  <c r="AT4" i="18"/>
  <c r="AT16" i="18" s="1"/>
  <c r="AS4" i="18"/>
  <c r="AS16" i="18" s="1"/>
  <c r="AR4" i="18"/>
  <c r="AR16" i="18" s="1"/>
  <c r="AP4" i="18"/>
  <c r="AP16" i="18" s="1"/>
  <c r="AO4" i="18"/>
  <c r="AO16" i="18" s="1"/>
  <c r="AN4" i="18"/>
  <c r="AN16" i="18" s="1"/>
  <c r="AM4" i="18"/>
  <c r="AM16" i="18" s="1"/>
  <c r="AL4" i="18"/>
  <c r="AL16" i="18" s="1"/>
  <c r="AK4" i="18"/>
  <c r="AK16" i="18" s="1"/>
  <c r="AI4" i="18"/>
  <c r="AH4" i="18"/>
  <c r="AH16" i="18" s="1"/>
  <c r="AG4" i="18"/>
  <c r="AG16" i="18" s="1"/>
  <c r="AF4" i="18"/>
  <c r="AF16" i="18" s="1"/>
  <c r="AE4" i="18"/>
  <c r="AE16" i="18" s="1"/>
  <c r="AD4" i="18"/>
  <c r="AD16" i="18" s="1"/>
  <c r="AB4" i="18"/>
  <c r="AB16" i="18" s="1"/>
  <c r="AA4" i="18"/>
  <c r="AA16" i="18" s="1"/>
  <c r="Z4" i="18"/>
  <c r="Z16" i="18" s="1"/>
  <c r="Y4" i="18"/>
  <c r="Y16" i="18" s="1"/>
  <c r="X4" i="18"/>
  <c r="X16" i="18" s="1"/>
  <c r="W4" i="18"/>
  <c r="W16" i="18" s="1"/>
  <c r="U4" i="18"/>
  <c r="T4" i="18"/>
  <c r="T16" i="18" s="1"/>
  <c r="S4" i="18"/>
  <c r="S16" i="18" s="1"/>
  <c r="R4" i="18"/>
  <c r="R16" i="18" s="1"/>
  <c r="Q4" i="18"/>
  <c r="Q16" i="18" s="1"/>
  <c r="P4" i="18"/>
  <c r="P16" i="18" s="1"/>
  <c r="N4" i="18"/>
  <c r="N16" i="18" s="1"/>
  <c r="M4" i="18"/>
  <c r="M16" i="18" s="1"/>
  <c r="L4" i="18"/>
  <c r="L16" i="18" s="1"/>
  <c r="K4" i="18"/>
  <c r="J4" i="18"/>
  <c r="J16" i="18" s="1"/>
  <c r="I4" i="18"/>
  <c r="I16" i="18" s="1"/>
  <c r="G4" i="18"/>
  <c r="G16" i="18" s="1"/>
  <c r="F4" i="18"/>
  <c r="F16" i="18" s="1"/>
  <c r="E4" i="18"/>
  <c r="E16" i="18" s="1"/>
  <c r="D4" i="18"/>
  <c r="D16" i="18" s="1"/>
  <c r="C4" i="18"/>
  <c r="C16" i="18" s="1"/>
  <c r="B4" i="18"/>
  <c r="B16" i="18" s="1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I188" i="16"/>
  <c r="H188" i="16"/>
  <c r="G188" i="16"/>
  <c r="F188" i="16"/>
  <c r="E188" i="16"/>
  <c r="D188" i="16"/>
  <c r="C188" i="16"/>
  <c r="B188" i="16"/>
  <c r="J187" i="16"/>
  <c r="I187" i="16"/>
  <c r="I191" i="16" s="1"/>
  <c r="H187" i="16"/>
  <c r="H191" i="16" s="1"/>
  <c r="G187" i="16"/>
  <c r="F187" i="16"/>
  <c r="E187" i="16"/>
  <c r="D187" i="16"/>
  <c r="C187" i="16"/>
  <c r="B187" i="16"/>
  <c r="J186" i="16"/>
  <c r="I186" i="16"/>
  <c r="H186" i="16"/>
  <c r="K186" i="16" s="1"/>
  <c r="G186" i="16"/>
  <c r="F186" i="16"/>
  <c r="E186" i="16"/>
  <c r="D186" i="16"/>
  <c r="C186" i="16"/>
  <c r="B186" i="16"/>
  <c r="J185" i="16"/>
  <c r="I185" i="16"/>
  <c r="H185" i="16"/>
  <c r="G185" i="16"/>
  <c r="F185" i="16"/>
  <c r="E185" i="16"/>
  <c r="D185" i="16"/>
  <c r="C185" i="16"/>
  <c r="B185" i="16"/>
  <c r="J184" i="16"/>
  <c r="I184" i="16"/>
  <c r="H184" i="16"/>
  <c r="K184" i="16" s="1"/>
  <c r="G184" i="16"/>
  <c r="F184" i="16"/>
  <c r="E184" i="16"/>
  <c r="D184" i="16"/>
  <c r="C184" i="16"/>
  <c r="B184" i="16"/>
  <c r="J183" i="16"/>
  <c r="I183" i="16"/>
  <c r="H183" i="16"/>
  <c r="G183" i="16"/>
  <c r="F183" i="16"/>
  <c r="E183" i="16"/>
  <c r="D183" i="16"/>
  <c r="C183" i="16"/>
  <c r="B183" i="16"/>
  <c r="J182" i="16"/>
  <c r="I182" i="16"/>
  <c r="H182" i="16"/>
  <c r="L182" i="16" s="1"/>
  <c r="G182" i="16"/>
  <c r="F182" i="16"/>
  <c r="E182" i="16"/>
  <c r="D182" i="16"/>
  <c r="C182" i="16"/>
  <c r="B182" i="16"/>
  <c r="J181" i="16"/>
  <c r="I181" i="16"/>
  <c r="H181" i="16"/>
  <c r="G181" i="16"/>
  <c r="F181" i="16"/>
  <c r="E181" i="16"/>
  <c r="N181" i="16" s="1"/>
  <c r="D181" i="16"/>
  <c r="P181" i="16" s="1"/>
  <c r="C181" i="16"/>
  <c r="B181" i="16"/>
  <c r="J180" i="16"/>
  <c r="I180" i="16"/>
  <c r="H180" i="16"/>
  <c r="G180" i="16"/>
  <c r="F180" i="16"/>
  <c r="E180" i="16"/>
  <c r="D180" i="16"/>
  <c r="C180" i="16"/>
  <c r="B180" i="16"/>
  <c r="C175" i="16"/>
  <c r="B173" i="16"/>
  <c r="J172" i="16"/>
  <c r="I172" i="16"/>
  <c r="H172" i="16"/>
  <c r="K172" i="16" s="1"/>
  <c r="G172" i="16"/>
  <c r="F172" i="16"/>
  <c r="E172" i="16"/>
  <c r="D172" i="16"/>
  <c r="C172" i="16"/>
  <c r="B172" i="16"/>
  <c r="J171" i="16"/>
  <c r="I171" i="16"/>
  <c r="H171" i="16"/>
  <c r="G171" i="16"/>
  <c r="G175" i="16" s="1"/>
  <c r="F171" i="16"/>
  <c r="F175" i="16" s="1"/>
  <c r="E171" i="16"/>
  <c r="D171" i="16"/>
  <c r="C171" i="16"/>
  <c r="B171" i="16"/>
  <c r="J170" i="16"/>
  <c r="I170" i="16"/>
  <c r="H170" i="16"/>
  <c r="G170" i="16"/>
  <c r="F170" i="16"/>
  <c r="E170" i="16"/>
  <c r="N170" i="16" s="1"/>
  <c r="D170" i="16"/>
  <c r="C170" i="16"/>
  <c r="B170" i="16"/>
  <c r="J169" i="16"/>
  <c r="I169" i="16"/>
  <c r="H169" i="16"/>
  <c r="O169" i="16" s="1"/>
  <c r="G169" i="16"/>
  <c r="F169" i="16"/>
  <c r="E169" i="16"/>
  <c r="D169" i="16"/>
  <c r="C169" i="16"/>
  <c r="B169" i="16"/>
  <c r="K168" i="16"/>
  <c r="J168" i="16"/>
  <c r="I168" i="16"/>
  <c r="H168" i="16"/>
  <c r="G168" i="16"/>
  <c r="F168" i="16"/>
  <c r="E168" i="16"/>
  <c r="D168" i="16"/>
  <c r="C168" i="16"/>
  <c r="B168" i="16"/>
  <c r="J167" i="16"/>
  <c r="I167" i="16"/>
  <c r="H167" i="16"/>
  <c r="G167" i="16"/>
  <c r="F167" i="16"/>
  <c r="E167" i="16"/>
  <c r="D167" i="16"/>
  <c r="C167" i="16"/>
  <c r="B167" i="16"/>
  <c r="J166" i="16"/>
  <c r="I166" i="16"/>
  <c r="H166" i="16"/>
  <c r="K166" i="16" s="1"/>
  <c r="G166" i="16"/>
  <c r="F166" i="16"/>
  <c r="E166" i="16"/>
  <c r="D166" i="16"/>
  <c r="C166" i="16"/>
  <c r="B166" i="16"/>
  <c r="J165" i="16"/>
  <c r="I165" i="16"/>
  <c r="H165" i="16"/>
  <c r="G165" i="16"/>
  <c r="F165" i="16"/>
  <c r="E165" i="16"/>
  <c r="D165" i="16"/>
  <c r="C165" i="16"/>
  <c r="B165" i="16"/>
  <c r="J164" i="16"/>
  <c r="I164" i="16"/>
  <c r="H164" i="16"/>
  <c r="K164" i="16" s="1"/>
  <c r="G164" i="16"/>
  <c r="F164" i="16"/>
  <c r="E164" i="16"/>
  <c r="D164" i="16"/>
  <c r="C164" i="16"/>
  <c r="B164" i="16"/>
  <c r="B157" i="16"/>
  <c r="J156" i="16"/>
  <c r="I156" i="16"/>
  <c r="H156" i="16"/>
  <c r="O156" i="16" s="1"/>
  <c r="G156" i="16"/>
  <c r="F156" i="16"/>
  <c r="E156" i="16"/>
  <c r="D156" i="16"/>
  <c r="P156" i="16" s="1"/>
  <c r="C156" i="16"/>
  <c r="B156" i="16"/>
  <c r="J155" i="16"/>
  <c r="J159" i="16" s="1"/>
  <c r="I155" i="16"/>
  <c r="H155" i="16"/>
  <c r="G155" i="16"/>
  <c r="F155" i="16"/>
  <c r="E155" i="16"/>
  <c r="E159" i="16" s="1"/>
  <c r="D155" i="16"/>
  <c r="C155" i="16"/>
  <c r="B155" i="16"/>
  <c r="B159" i="16" s="1"/>
  <c r="K154" i="16"/>
  <c r="J154" i="16"/>
  <c r="I154" i="16"/>
  <c r="H154" i="16"/>
  <c r="O154" i="16" s="1"/>
  <c r="G154" i="16"/>
  <c r="F154" i="16"/>
  <c r="E154" i="16"/>
  <c r="D154" i="16"/>
  <c r="C154" i="16"/>
  <c r="B154" i="16"/>
  <c r="J153" i="16"/>
  <c r="I153" i="16"/>
  <c r="H153" i="16"/>
  <c r="G153" i="16"/>
  <c r="F153" i="16"/>
  <c r="E153" i="16"/>
  <c r="D153" i="16"/>
  <c r="C153" i="16"/>
  <c r="B153" i="16"/>
  <c r="J152" i="16"/>
  <c r="I152" i="16"/>
  <c r="H152" i="16"/>
  <c r="G152" i="16"/>
  <c r="F152" i="16"/>
  <c r="E152" i="16"/>
  <c r="N152" i="16" s="1"/>
  <c r="D152" i="16"/>
  <c r="C152" i="16"/>
  <c r="B152" i="16"/>
  <c r="J151" i="16"/>
  <c r="I151" i="16"/>
  <c r="H151" i="16"/>
  <c r="K151" i="16" s="1"/>
  <c r="G151" i="16"/>
  <c r="F151" i="16"/>
  <c r="E151" i="16"/>
  <c r="D151" i="16"/>
  <c r="C151" i="16"/>
  <c r="B151" i="16"/>
  <c r="J150" i="16"/>
  <c r="I150" i="16"/>
  <c r="H150" i="16"/>
  <c r="K150" i="16" s="1"/>
  <c r="G150" i="16"/>
  <c r="F150" i="16"/>
  <c r="E150" i="16"/>
  <c r="D150" i="16"/>
  <c r="C150" i="16"/>
  <c r="B150" i="16"/>
  <c r="J149" i="16"/>
  <c r="I149" i="16"/>
  <c r="H149" i="16"/>
  <c r="G149" i="16"/>
  <c r="F149" i="16"/>
  <c r="E149" i="16"/>
  <c r="D149" i="16"/>
  <c r="C149" i="16"/>
  <c r="B149" i="16"/>
  <c r="J148" i="16"/>
  <c r="I148" i="16"/>
  <c r="I158" i="16" s="1"/>
  <c r="H148" i="16"/>
  <c r="O148" i="16" s="1"/>
  <c r="G148" i="16"/>
  <c r="F148" i="16"/>
  <c r="P148" i="16" s="1"/>
  <c r="E148" i="16"/>
  <c r="D148" i="16"/>
  <c r="C148" i="16"/>
  <c r="B148" i="16"/>
  <c r="B141" i="16"/>
  <c r="J140" i="16"/>
  <c r="I140" i="16"/>
  <c r="H140" i="16"/>
  <c r="G140" i="16"/>
  <c r="F140" i="16"/>
  <c r="E140" i="16"/>
  <c r="D140" i="16"/>
  <c r="P140" i="16" s="1"/>
  <c r="C140" i="16"/>
  <c r="B140" i="16"/>
  <c r="K139" i="16"/>
  <c r="J139" i="16"/>
  <c r="J143" i="16" s="1"/>
  <c r="I139" i="16"/>
  <c r="H139" i="16"/>
  <c r="O139" i="16" s="1"/>
  <c r="G139" i="16"/>
  <c r="G143" i="16" s="1"/>
  <c r="F139" i="16"/>
  <c r="E139" i="16"/>
  <c r="D139" i="16"/>
  <c r="C139" i="16"/>
  <c r="B139" i="16"/>
  <c r="B143" i="16" s="1"/>
  <c r="J138" i="16"/>
  <c r="I138" i="16"/>
  <c r="H138" i="16"/>
  <c r="K138" i="16" s="1"/>
  <c r="G138" i="16"/>
  <c r="F138" i="16"/>
  <c r="E138" i="16"/>
  <c r="D138" i="16"/>
  <c r="C138" i="16"/>
  <c r="B138" i="16"/>
  <c r="J137" i="16"/>
  <c r="I137" i="16"/>
  <c r="H137" i="16"/>
  <c r="G137" i="16"/>
  <c r="F137" i="16"/>
  <c r="E137" i="16"/>
  <c r="D137" i="16"/>
  <c r="C137" i="16"/>
  <c r="B137" i="16"/>
  <c r="K136" i="16"/>
  <c r="J136" i="16"/>
  <c r="I136" i="16"/>
  <c r="H136" i="16"/>
  <c r="G136" i="16"/>
  <c r="F136" i="16"/>
  <c r="E136" i="16"/>
  <c r="D136" i="16"/>
  <c r="C136" i="16"/>
  <c r="B136" i="16"/>
  <c r="J135" i="16"/>
  <c r="I135" i="16"/>
  <c r="H135" i="16"/>
  <c r="L135" i="16" s="1"/>
  <c r="G135" i="16"/>
  <c r="F135" i="16"/>
  <c r="E135" i="16"/>
  <c r="D135" i="16"/>
  <c r="P135" i="16" s="1"/>
  <c r="C135" i="16"/>
  <c r="N135" i="16" s="1"/>
  <c r="B135" i="16"/>
  <c r="J134" i="16"/>
  <c r="I134" i="16"/>
  <c r="H134" i="16"/>
  <c r="O134" i="16" s="1"/>
  <c r="G134" i="16"/>
  <c r="F134" i="16"/>
  <c r="E134" i="16"/>
  <c r="D134" i="16"/>
  <c r="C134" i="16"/>
  <c r="B134" i="16"/>
  <c r="J133" i="16"/>
  <c r="I133" i="16"/>
  <c r="H133" i="16"/>
  <c r="G133" i="16"/>
  <c r="F133" i="16"/>
  <c r="E133" i="16"/>
  <c r="D133" i="16"/>
  <c r="C133" i="16"/>
  <c r="B133" i="16"/>
  <c r="J132" i="16"/>
  <c r="I132" i="16"/>
  <c r="H132" i="16"/>
  <c r="G132" i="16"/>
  <c r="F132" i="16"/>
  <c r="E132" i="16"/>
  <c r="D132" i="16"/>
  <c r="C132" i="16"/>
  <c r="C142" i="16" s="1"/>
  <c r="B132" i="16"/>
  <c r="B125" i="16"/>
  <c r="K124" i="16"/>
  <c r="J124" i="16"/>
  <c r="I124" i="16"/>
  <c r="H124" i="16"/>
  <c r="G124" i="16"/>
  <c r="F124" i="16"/>
  <c r="E124" i="16"/>
  <c r="D124" i="16"/>
  <c r="C124" i="16"/>
  <c r="C127" i="16" s="1"/>
  <c r="B124" i="16"/>
  <c r="J123" i="16"/>
  <c r="I123" i="16"/>
  <c r="H123" i="16"/>
  <c r="G123" i="16"/>
  <c r="F123" i="16"/>
  <c r="E123" i="16"/>
  <c r="D123" i="16"/>
  <c r="D127" i="16" s="1"/>
  <c r="C123" i="16"/>
  <c r="B123" i="16"/>
  <c r="J122" i="16"/>
  <c r="I122" i="16"/>
  <c r="H122" i="16"/>
  <c r="G122" i="16"/>
  <c r="F122" i="16"/>
  <c r="E122" i="16"/>
  <c r="D122" i="16"/>
  <c r="C122" i="16"/>
  <c r="B122" i="16"/>
  <c r="J121" i="16"/>
  <c r="I121" i="16"/>
  <c r="H121" i="16"/>
  <c r="G121" i="16"/>
  <c r="F121" i="16"/>
  <c r="E121" i="16"/>
  <c r="N121" i="16" s="1"/>
  <c r="D121" i="16"/>
  <c r="C121" i="16"/>
  <c r="B121" i="16"/>
  <c r="J120" i="16"/>
  <c r="I120" i="16"/>
  <c r="H120" i="16"/>
  <c r="K120" i="16" s="1"/>
  <c r="G120" i="16"/>
  <c r="F120" i="16"/>
  <c r="N120" i="16" s="1"/>
  <c r="E120" i="16"/>
  <c r="D120" i="16"/>
  <c r="C120" i="16"/>
  <c r="B120" i="16"/>
  <c r="J119" i="16"/>
  <c r="I119" i="16"/>
  <c r="H119" i="16"/>
  <c r="G119" i="16"/>
  <c r="F119" i="16"/>
  <c r="E119" i="16"/>
  <c r="D119" i="16"/>
  <c r="C119" i="16"/>
  <c r="B119" i="16"/>
  <c r="J118" i="16"/>
  <c r="I118" i="16"/>
  <c r="H118" i="16"/>
  <c r="G118" i="16"/>
  <c r="F118" i="16"/>
  <c r="E118" i="16"/>
  <c r="D118" i="16"/>
  <c r="C118" i="16"/>
  <c r="B118" i="16"/>
  <c r="J117" i="16"/>
  <c r="I117" i="16"/>
  <c r="H117" i="16"/>
  <c r="G117" i="16"/>
  <c r="F117" i="16"/>
  <c r="E117" i="16"/>
  <c r="D117" i="16"/>
  <c r="C117" i="16"/>
  <c r="B117" i="16"/>
  <c r="J116" i="16"/>
  <c r="I116" i="16"/>
  <c r="H116" i="16"/>
  <c r="K116" i="16" s="1"/>
  <c r="G116" i="16"/>
  <c r="F116" i="16"/>
  <c r="E116" i="16"/>
  <c r="D116" i="16"/>
  <c r="C116" i="16"/>
  <c r="B116" i="16"/>
  <c r="B109" i="16"/>
  <c r="J108" i="16"/>
  <c r="I108" i="16"/>
  <c r="H108" i="16"/>
  <c r="G108" i="16"/>
  <c r="F108" i="16"/>
  <c r="E108" i="16"/>
  <c r="D108" i="16"/>
  <c r="C108" i="16"/>
  <c r="B108" i="16"/>
  <c r="J107" i="16"/>
  <c r="I107" i="16"/>
  <c r="H107" i="16"/>
  <c r="G107" i="16"/>
  <c r="G111" i="16" s="1"/>
  <c r="F107" i="16"/>
  <c r="E107" i="16"/>
  <c r="D107" i="16"/>
  <c r="D111" i="16" s="1"/>
  <c r="C107" i="16"/>
  <c r="C111" i="16" s="1"/>
  <c r="B107" i="16"/>
  <c r="J106" i="16"/>
  <c r="I106" i="16"/>
  <c r="H106" i="16"/>
  <c r="G106" i="16"/>
  <c r="F106" i="16"/>
  <c r="E106" i="16"/>
  <c r="D106" i="16"/>
  <c r="C106" i="16"/>
  <c r="B106" i="16"/>
  <c r="J105" i="16"/>
  <c r="I105" i="16"/>
  <c r="H105" i="16"/>
  <c r="G105" i="16"/>
  <c r="F105" i="16"/>
  <c r="E105" i="16"/>
  <c r="M105" i="16" s="1"/>
  <c r="D105" i="16"/>
  <c r="C105" i="16"/>
  <c r="B105" i="16"/>
  <c r="J104" i="16"/>
  <c r="I104" i="16"/>
  <c r="H104" i="16"/>
  <c r="G104" i="16"/>
  <c r="F104" i="16"/>
  <c r="E104" i="16"/>
  <c r="D104" i="16"/>
  <c r="C104" i="16"/>
  <c r="B104" i="16"/>
  <c r="J103" i="16"/>
  <c r="I103" i="16"/>
  <c r="H103" i="16"/>
  <c r="G103" i="16"/>
  <c r="F103" i="16"/>
  <c r="E103" i="16"/>
  <c r="L103" i="16" s="1"/>
  <c r="D103" i="16"/>
  <c r="C103" i="16"/>
  <c r="B103" i="16"/>
  <c r="J102" i="16"/>
  <c r="I102" i="16"/>
  <c r="H102" i="16"/>
  <c r="K102" i="16" s="1"/>
  <c r="G102" i="16"/>
  <c r="F102" i="16"/>
  <c r="E102" i="16"/>
  <c r="D102" i="16"/>
  <c r="C102" i="16"/>
  <c r="B102" i="16"/>
  <c r="J101" i="16"/>
  <c r="I101" i="16"/>
  <c r="H101" i="16"/>
  <c r="G101" i="16"/>
  <c r="F101" i="16"/>
  <c r="E101" i="16"/>
  <c r="D101" i="16"/>
  <c r="C101" i="16"/>
  <c r="B101" i="16"/>
  <c r="J100" i="16"/>
  <c r="I100" i="16"/>
  <c r="H100" i="16"/>
  <c r="G100" i="16"/>
  <c r="F100" i="16"/>
  <c r="E100" i="16"/>
  <c r="D100" i="16"/>
  <c r="C100" i="16"/>
  <c r="B100" i="16"/>
  <c r="B93" i="16"/>
  <c r="J92" i="16"/>
  <c r="I92" i="16"/>
  <c r="H92" i="16"/>
  <c r="O92" i="16" s="1"/>
  <c r="G92" i="16"/>
  <c r="F92" i="16"/>
  <c r="E92" i="16"/>
  <c r="D92" i="16"/>
  <c r="C92" i="16"/>
  <c r="B92" i="16"/>
  <c r="J91" i="16"/>
  <c r="I91" i="16"/>
  <c r="H91" i="16"/>
  <c r="G91" i="16"/>
  <c r="G95" i="16" s="1"/>
  <c r="F91" i="16"/>
  <c r="E91" i="16"/>
  <c r="D91" i="16"/>
  <c r="C91" i="16"/>
  <c r="B91" i="16"/>
  <c r="J90" i="16"/>
  <c r="I90" i="16"/>
  <c r="H90" i="16"/>
  <c r="L90" i="16" s="1"/>
  <c r="G90" i="16"/>
  <c r="F90" i="16"/>
  <c r="E90" i="16"/>
  <c r="D90" i="16"/>
  <c r="P90" i="16" s="1"/>
  <c r="C90" i="16"/>
  <c r="M90" i="16" s="1"/>
  <c r="B90" i="16"/>
  <c r="J89" i="16"/>
  <c r="I89" i="16"/>
  <c r="H89" i="16"/>
  <c r="G89" i="16"/>
  <c r="F89" i="16"/>
  <c r="E89" i="16"/>
  <c r="D89" i="16"/>
  <c r="C89" i="16"/>
  <c r="B89" i="16"/>
  <c r="J88" i="16"/>
  <c r="I88" i="16"/>
  <c r="H88" i="16"/>
  <c r="K88" i="16" s="1"/>
  <c r="G88" i="16"/>
  <c r="F88" i="16"/>
  <c r="E88" i="16"/>
  <c r="N88" i="16" s="1"/>
  <c r="D88" i="16"/>
  <c r="C88" i="16"/>
  <c r="B88" i="16"/>
  <c r="J87" i="16"/>
  <c r="I87" i="16"/>
  <c r="H87" i="16"/>
  <c r="G87" i="16"/>
  <c r="F87" i="16"/>
  <c r="E87" i="16"/>
  <c r="D87" i="16"/>
  <c r="C87" i="16"/>
  <c r="B87" i="16"/>
  <c r="J86" i="16"/>
  <c r="I86" i="16"/>
  <c r="H86" i="16"/>
  <c r="L86" i="16" s="1"/>
  <c r="G86" i="16"/>
  <c r="F86" i="16"/>
  <c r="E86" i="16"/>
  <c r="D86" i="16"/>
  <c r="C86" i="16"/>
  <c r="B86" i="16"/>
  <c r="J85" i="16"/>
  <c r="I85" i="16"/>
  <c r="H85" i="16"/>
  <c r="G85" i="16"/>
  <c r="F85" i="16"/>
  <c r="E85" i="16"/>
  <c r="N85" i="16" s="1"/>
  <c r="D85" i="16"/>
  <c r="C85" i="16"/>
  <c r="B85" i="16"/>
  <c r="J84" i="16"/>
  <c r="I84" i="16"/>
  <c r="H84" i="16"/>
  <c r="K84" i="16" s="1"/>
  <c r="G84" i="16"/>
  <c r="F84" i="16"/>
  <c r="E84" i="16"/>
  <c r="D84" i="16"/>
  <c r="C84" i="16"/>
  <c r="O84" i="16" s="1"/>
  <c r="B84" i="16"/>
  <c r="B77" i="16"/>
  <c r="J76" i="16"/>
  <c r="I76" i="16"/>
  <c r="H76" i="16"/>
  <c r="K76" i="16" s="1"/>
  <c r="G76" i="16"/>
  <c r="F76" i="16"/>
  <c r="E76" i="16"/>
  <c r="D76" i="16"/>
  <c r="C76" i="16"/>
  <c r="B76" i="16"/>
  <c r="J75" i="16"/>
  <c r="I75" i="16"/>
  <c r="I79" i="16" s="1"/>
  <c r="H75" i="16"/>
  <c r="G75" i="16"/>
  <c r="F75" i="16"/>
  <c r="E75" i="16"/>
  <c r="E79" i="16" s="1"/>
  <c r="D75" i="16"/>
  <c r="P75" i="16" s="1"/>
  <c r="C75" i="16"/>
  <c r="C79" i="16" s="1"/>
  <c r="B75" i="16"/>
  <c r="K74" i="16"/>
  <c r="J74" i="16"/>
  <c r="I74" i="16"/>
  <c r="H74" i="16"/>
  <c r="G74" i="16"/>
  <c r="F74" i="16"/>
  <c r="E74" i="16"/>
  <c r="D74" i="16"/>
  <c r="C74" i="16"/>
  <c r="O74" i="16" s="1"/>
  <c r="B74" i="16"/>
  <c r="J73" i="16"/>
  <c r="I73" i="16"/>
  <c r="H73" i="16"/>
  <c r="L73" i="16" s="1"/>
  <c r="G73" i="16"/>
  <c r="F73" i="16"/>
  <c r="E73" i="16"/>
  <c r="D73" i="16"/>
  <c r="C73" i="16"/>
  <c r="B73" i="16"/>
  <c r="J72" i="16"/>
  <c r="I72" i="16"/>
  <c r="H72" i="16"/>
  <c r="K72" i="16" s="1"/>
  <c r="G72" i="16"/>
  <c r="F72" i="16"/>
  <c r="E72" i="16"/>
  <c r="D72" i="16"/>
  <c r="C72" i="16"/>
  <c r="B72" i="16"/>
  <c r="J71" i="16"/>
  <c r="I71" i="16"/>
  <c r="H71" i="16"/>
  <c r="G71" i="16"/>
  <c r="F71" i="16"/>
  <c r="E71" i="16"/>
  <c r="D71" i="16"/>
  <c r="C71" i="16"/>
  <c r="B71" i="16"/>
  <c r="J70" i="16"/>
  <c r="I70" i="16"/>
  <c r="H70" i="16"/>
  <c r="G70" i="16"/>
  <c r="F70" i="16"/>
  <c r="E70" i="16"/>
  <c r="D70" i="16"/>
  <c r="C70" i="16"/>
  <c r="B70" i="16"/>
  <c r="J69" i="16"/>
  <c r="I69" i="16"/>
  <c r="H69" i="16"/>
  <c r="K69" i="16" s="1"/>
  <c r="G69" i="16"/>
  <c r="F69" i="16"/>
  <c r="N69" i="16" s="1"/>
  <c r="E69" i="16"/>
  <c r="D69" i="16"/>
  <c r="C69" i="16"/>
  <c r="B69" i="16"/>
  <c r="J68" i="16"/>
  <c r="I68" i="16"/>
  <c r="H68" i="16"/>
  <c r="G68" i="16"/>
  <c r="F68" i="16"/>
  <c r="E68" i="16"/>
  <c r="D68" i="16"/>
  <c r="C68" i="16"/>
  <c r="B68" i="16"/>
  <c r="B61" i="16"/>
  <c r="J60" i="16"/>
  <c r="I60" i="16"/>
  <c r="H60" i="16"/>
  <c r="K60" i="16" s="1"/>
  <c r="G60" i="16"/>
  <c r="F60" i="16"/>
  <c r="E60" i="16"/>
  <c r="D60" i="16"/>
  <c r="C60" i="16"/>
  <c r="B60" i="16"/>
  <c r="J59" i="16"/>
  <c r="J63" i="16" s="1"/>
  <c r="I59" i="16"/>
  <c r="I63" i="16" s="1"/>
  <c r="H59" i="16"/>
  <c r="K59" i="16" s="1"/>
  <c r="G59" i="16"/>
  <c r="G63" i="16" s="1"/>
  <c r="F59" i="16"/>
  <c r="E59" i="16"/>
  <c r="D59" i="16"/>
  <c r="D63" i="16" s="1"/>
  <c r="C59" i="16"/>
  <c r="C63" i="16" s="1"/>
  <c r="B59" i="16"/>
  <c r="B63" i="16" s="1"/>
  <c r="J58" i="16"/>
  <c r="I58" i="16"/>
  <c r="H58" i="16"/>
  <c r="K58" i="16" s="1"/>
  <c r="G58" i="16"/>
  <c r="F58" i="16"/>
  <c r="E58" i="16"/>
  <c r="M58" i="16" s="1"/>
  <c r="D58" i="16"/>
  <c r="C58" i="16"/>
  <c r="B58" i="16"/>
  <c r="J57" i="16"/>
  <c r="I57" i="16"/>
  <c r="H57" i="16"/>
  <c r="G57" i="16"/>
  <c r="F57" i="16"/>
  <c r="E57" i="16"/>
  <c r="D57" i="16"/>
  <c r="C57" i="16"/>
  <c r="B57" i="16"/>
  <c r="J56" i="16"/>
  <c r="I56" i="16"/>
  <c r="H56" i="16"/>
  <c r="G56" i="16"/>
  <c r="F56" i="16"/>
  <c r="E56" i="16"/>
  <c r="D56" i="16"/>
  <c r="C56" i="16"/>
  <c r="B56" i="16"/>
  <c r="J55" i="16"/>
  <c r="I55" i="16"/>
  <c r="H55" i="16"/>
  <c r="G55" i="16"/>
  <c r="F55" i="16"/>
  <c r="E55" i="16"/>
  <c r="D55" i="16"/>
  <c r="C55" i="16"/>
  <c r="B55" i="16"/>
  <c r="J54" i="16"/>
  <c r="I54" i="16"/>
  <c r="H54" i="16"/>
  <c r="K54" i="16" s="1"/>
  <c r="G54" i="16"/>
  <c r="F54" i="16"/>
  <c r="E54" i="16"/>
  <c r="D54" i="16"/>
  <c r="C54" i="16"/>
  <c r="B54" i="16"/>
  <c r="J53" i="16"/>
  <c r="I53" i="16"/>
  <c r="H53" i="16"/>
  <c r="G53" i="16"/>
  <c r="F53" i="16"/>
  <c r="E53" i="16"/>
  <c r="D53" i="16"/>
  <c r="C53" i="16"/>
  <c r="B53" i="16"/>
  <c r="K52" i="16"/>
  <c r="J52" i="16"/>
  <c r="I52" i="16"/>
  <c r="H52" i="16"/>
  <c r="G52" i="16"/>
  <c r="F52" i="16"/>
  <c r="E52" i="16"/>
  <c r="D52" i="16"/>
  <c r="C52" i="16"/>
  <c r="B52" i="16"/>
  <c r="B45" i="16"/>
  <c r="J44" i="16"/>
  <c r="I44" i="16"/>
  <c r="H44" i="16"/>
  <c r="G44" i="16"/>
  <c r="F44" i="16"/>
  <c r="E44" i="16"/>
  <c r="D44" i="16"/>
  <c r="C44" i="16"/>
  <c r="B44" i="16"/>
  <c r="J43" i="16"/>
  <c r="J47" i="16" s="1"/>
  <c r="I43" i="16"/>
  <c r="H43" i="16"/>
  <c r="G43" i="16"/>
  <c r="F43" i="16"/>
  <c r="F47" i="16" s="1"/>
  <c r="E43" i="16"/>
  <c r="D43" i="16"/>
  <c r="C43" i="16"/>
  <c r="C47" i="16" s="1"/>
  <c r="B43" i="16"/>
  <c r="B47" i="16" s="1"/>
  <c r="J42" i="16"/>
  <c r="I42" i="16"/>
  <c r="H42" i="16"/>
  <c r="K42" i="16" s="1"/>
  <c r="G42" i="16"/>
  <c r="F42" i="16"/>
  <c r="E42" i="16"/>
  <c r="N42" i="16" s="1"/>
  <c r="D42" i="16"/>
  <c r="C42" i="16"/>
  <c r="B42" i="16"/>
  <c r="K41" i="16"/>
  <c r="J41" i="16"/>
  <c r="I41" i="16"/>
  <c r="H41" i="16"/>
  <c r="G41" i="16"/>
  <c r="F41" i="16"/>
  <c r="E41" i="16"/>
  <c r="D41" i="16"/>
  <c r="C41" i="16"/>
  <c r="M41" i="16" s="1"/>
  <c r="B41" i="16"/>
  <c r="J40" i="16"/>
  <c r="I40" i="16"/>
  <c r="H40" i="16"/>
  <c r="K40" i="16" s="1"/>
  <c r="G40" i="16"/>
  <c r="F40" i="16"/>
  <c r="E40" i="16"/>
  <c r="M40" i="16" s="1"/>
  <c r="D40" i="16"/>
  <c r="C40" i="16"/>
  <c r="B40" i="16"/>
  <c r="J39" i="16"/>
  <c r="I39" i="16"/>
  <c r="H39" i="16"/>
  <c r="G39" i="16"/>
  <c r="F39" i="16"/>
  <c r="E39" i="16"/>
  <c r="D39" i="16"/>
  <c r="C39" i="16"/>
  <c r="B39" i="16"/>
  <c r="J38" i="16"/>
  <c r="I38" i="16"/>
  <c r="H38" i="16"/>
  <c r="G38" i="16"/>
  <c r="F38" i="16"/>
  <c r="E38" i="16"/>
  <c r="D38" i="16"/>
  <c r="P38" i="16" s="1"/>
  <c r="C38" i="16"/>
  <c r="B38" i="16"/>
  <c r="J37" i="16"/>
  <c r="I37" i="16"/>
  <c r="H37" i="16"/>
  <c r="G37" i="16"/>
  <c r="F37" i="16"/>
  <c r="E37" i="16"/>
  <c r="D37" i="16"/>
  <c r="C37" i="16"/>
  <c r="B37" i="16"/>
  <c r="J36" i="16"/>
  <c r="I36" i="16"/>
  <c r="H36" i="16"/>
  <c r="H46" i="16" s="1"/>
  <c r="G36" i="16"/>
  <c r="G46" i="16" s="1"/>
  <c r="F36" i="16"/>
  <c r="E36" i="16"/>
  <c r="D36" i="16"/>
  <c r="D46" i="16" s="1"/>
  <c r="C36" i="16"/>
  <c r="C46" i="16" s="1"/>
  <c r="B36" i="16"/>
  <c r="B29" i="16"/>
  <c r="K28" i="16"/>
  <c r="J28" i="16"/>
  <c r="I28" i="16"/>
  <c r="H28" i="16"/>
  <c r="G28" i="16"/>
  <c r="F28" i="16"/>
  <c r="E28" i="16"/>
  <c r="D28" i="16"/>
  <c r="C28" i="16"/>
  <c r="O28" i="16" s="1"/>
  <c r="B28" i="16"/>
  <c r="K27" i="16"/>
  <c r="J27" i="16"/>
  <c r="I27" i="16"/>
  <c r="I31" i="16" s="1"/>
  <c r="H27" i="16"/>
  <c r="H31" i="16" s="1"/>
  <c r="G27" i="16"/>
  <c r="F27" i="16"/>
  <c r="E27" i="16"/>
  <c r="E31" i="16" s="1"/>
  <c r="D27" i="16"/>
  <c r="D31" i="16" s="1"/>
  <c r="C27" i="16"/>
  <c r="B27" i="16"/>
  <c r="J26" i="16"/>
  <c r="I26" i="16"/>
  <c r="H26" i="16"/>
  <c r="K26" i="16" s="1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P25" i="16" s="1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N23" i="16" s="1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K20" i="16"/>
  <c r="J20" i="16"/>
  <c r="I20" i="16"/>
  <c r="H20" i="16"/>
  <c r="G20" i="16"/>
  <c r="F20" i="16"/>
  <c r="E20" i="16"/>
  <c r="D20" i="16"/>
  <c r="C20" i="16"/>
  <c r="B20" i="16"/>
  <c r="B13" i="16"/>
  <c r="J12" i="16"/>
  <c r="I12" i="16"/>
  <c r="H12" i="16"/>
  <c r="K12" i="16" s="1"/>
  <c r="G12" i="16"/>
  <c r="F12" i="16"/>
  <c r="E12" i="16"/>
  <c r="M12" i="16" s="1"/>
  <c r="D12" i="16"/>
  <c r="C12" i="16"/>
  <c r="B12" i="16"/>
  <c r="J11" i="16"/>
  <c r="J15" i="16" s="1"/>
  <c r="I11" i="16"/>
  <c r="H11" i="16"/>
  <c r="G11" i="16"/>
  <c r="F11" i="16"/>
  <c r="F15" i="16" s="1"/>
  <c r="E11" i="16"/>
  <c r="D11" i="16"/>
  <c r="C11" i="16"/>
  <c r="C15" i="16" s="1"/>
  <c r="B11" i="16"/>
  <c r="B15" i="16" s="1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N7" i="16" s="1"/>
  <c r="D7" i="16"/>
  <c r="C7" i="16"/>
  <c r="B7" i="16"/>
  <c r="J6" i="16"/>
  <c r="I6" i="16"/>
  <c r="H6" i="16"/>
  <c r="K6" i="16" s="1"/>
  <c r="G6" i="16"/>
  <c r="F6" i="16"/>
  <c r="E6" i="16"/>
  <c r="D6" i="16"/>
  <c r="C6" i="16"/>
  <c r="O6" i="16" s="1"/>
  <c r="B6" i="16"/>
  <c r="J5" i="16"/>
  <c r="I5" i="16"/>
  <c r="H5" i="16"/>
  <c r="K5" i="16" s="1"/>
  <c r="G5" i="16"/>
  <c r="F5" i="16"/>
  <c r="E5" i="16"/>
  <c r="D5" i="16"/>
  <c r="C5" i="16"/>
  <c r="B5" i="16"/>
  <c r="J4" i="16"/>
  <c r="J14" i="16" s="1"/>
  <c r="I4" i="16"/>
  <c r="H4" i="16"/>
  <c r="K4" i="16" s="1"/>
  <c r="G4" i="16"/>
  <c r="G14" i="16" s="1"/>
  <c r="F4" i="16"/>
  <c r="E4" i="16"/>
  <c r="D4" i="16"/>
  <c r="C4" i="16"/>
  <c r="C14" i="16" s="1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B285" i="15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O5" i="15" s="1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AY16" i="18" l="1"/>
  <c r="AI16" i="18"/>
  <c r="U16" i="18"/>
  <c r="K16" i="18"/>
  <c r="P252" i="15"/>
  <c r="P254" i="15"/>
  <c r="P256" i="15"/>
  <c r="P258" i="15"/>
  <c r="P260" i="15"/>
  <c r="P264" i="15"/>
  <c r="P266" i="15"/>
  <c r="P268" i="15"/>
  <c r="P270" i="15"/>
  <c r="P272" i="15"/>
  <c r="P274" i="15"/>
  <c r="P276" i="15"/>
  <c r="P288" i="15"/>
  <c r="P290" i="15"/>
  <c r="P292" i="15"/>
  <c r="P294" i="15"/>
  <c r="P296" i="15"/>
  <c r="P298" i="15"/>
  <c r="P300" i="15"/>
  <c r="P302" i="15"/>
  <c r="P304" i="15"/>
  <c r="P306" i="15"/>
  <c r="P308" i="15"/>
  <c r="P310" i="15"/>
  <c r="P312" i="15"/>
  <c r="P314" i="15"/>
  <c r="P316" i="15"/>
  <c r="P318" i="15"/>
  <c r="L8" i="16"/>
  <c r="N20" i="16"/>
  <c r="I30" i="16"/>
  <c r="B62" i="16"/>
  <c r="F62" i="16"/>
  <c r="J62" i="16"/>
  <c r="P53" i="16"/>
  <c r="L53" i="16"/>
  <c r="O54" i="16"/>
  <c r="P56" i="16"/>
  <c r="L56" i="16"/>
  <c r="N70" i="16"/>
  <c r="O72" i="16"/>
  <c r="B79" i="16"/>
  <c r="J79" i="16"/>
  <c r="P85" i="16"/>
  <c r="L85" i="16"/>
  <c r="O86" i="16"/>
  <c r="K86" i="16"/>
  <c r="N87" i="16"/>
  <c r="D95" i="16"/>
  <c r="K92" i="16"/>
  <c r="M104" i="16"/>
  <c r="K134" i="16"/>
  <c r="P137" i="16"/>
  <c r="N138" i="16"/>
  <c r="K148" i="16"/>
  <c r="L165" i="16"/>
  <c r="P170" i="16"/>
  <c r="L170" i="16"/>
  <c r="P185" i="16"/>
  <c r="L185" i="16"/>
  <c r="O9" i="20"/>
  <c r="N10" i="20"/>
  <c r="M12" i="20"/>
  <c r="L25" i="16"/>
  <c r="O26" i="16"/>
  <c r="L38" i="16"/>
  <c r="P60" i="16"/>
  <c r="K90" i="16"/>
  <c r="P104" i="16"/>
  <c r="L104" i="16"/>
  <c r="P121" i="16"/>
  <c r="L121" i="16"/>
  <c r="M122" i="16"/>
  <c r="N133" i="16"/>
  <c r="O140" i="16"/>
  <c r="N149" i="16"/>
  <c r="L150" i="16"/>
  <c r="N154" i="16"/>
  <c r="N165" i="16"/>
  <c r="N168" i="16"/>
  <c r="K169" i="16"/>
  <c r="L183" i="16"/>
  <c r="N185" i="16"/>
  <c r="G191" i="16"/>
  <c r="K187" i="16"/>
  <c r="E191" i="16"/>
  <c r="L6" i="20"/>
  <c r="P317" i="15"/>
  <c r="P319" i="15"/>
  <c r="P10" i="16"/>
  <c r="L10" i="16"/>
  <c r="N37" i="16"/>
  <c r="P42" i="16"/>
  <c r="G47" i="16"/>
  <c r="N60" i="16"/>
  <c r="L75" i="16"/>
  <c r="O76" i="16"/>
  <c r="B111" i="16"/>
  <c r="F111" i="16"/>
  <c r="J111" i="16"/>
  <c r="I111" i="16"/>
  <c r="J126" i="16"/>
  <c r="L140" i="16"/>
  <c r="H143" i="16"/>
  <c r="K143" i="16" s="1"/>
  <c r="O151" i="16"/>
  <c r="L153" i="16"/>
  <c r="M181" i="16"/>
  <c r="O182" i="16"/>
  <c r="K182" i="16"/>
  <c r="N186" i="16"/>
  <c r="P188" i="16"/>
  <c r="K5" i="20"/>
  <c r="O8" i="20"/>
  <c r="N9" i="20"/>
  <c r="N12" i="20"/>
  <c r="P7" i="16"/>
  <c r="N9" i="16"/>
  <c r="O12" i="16"/>
  <c r="G15" i="16"/>
  <c r="L23" i="16"/>
  <c r="P70" i="16"/>
  <c r="N91" i="16"/>
  <c r="G127" i="16"/>
  <c r="I159" i="16"/>
  <c r="P166" i="16"/>
  <c r="P6" i="20"/>
  <c r="P328" i="15"/>
  <c r="P330" i="15"/>
  <c r="P332" i="15"/>
  <c r="P334" i="15"/>
  <c r="P336" i="15"/>
  <c r="P338" i="15"/>
  <c r="P340" i="15"/>
  <c r="P342" i="15"/>
  <c r="P344" i="15"/>
  <c r="P346" i="15"/>
  <c r="P348" i="15"/>
  <c r="P350" i="15"/>
  <c r="P352" i="15"/>
  <c r="P354" i="15"/>
  <c r="P356" i="15"/>
  <c r="P369" i="15"/>
  <c r="P371" i="15"/>
  <c r="P373" i="15"/>
  <c r="P375" i="15"/>
  <c r="P377" i="15"/>
  <c r="P379" i="15"/>
  <c r="P381" i="15"/>
  <c r="P383" i="15"/>
  <c r="P385" i="15"/>
  <c r="P387" i="15"/>
  <c r="P389" i="15"/>
  <c r="P391" i="15"/>
  <c r="P393" i="15"/>
  <c r="P395" i="15"/>
  <c r="P397" i="15"/>
  <c r="P399" i="15"/>
  <c r="P411" i="15"/>
  <c r="P415" i="15"/>
  <c r="P417" i="15"/>
  <c r="P249" i="15"/>
  <c r="P251" i="15"/>
  <c r="P253" i="15"/>
  <c r="P255" i="15"/>
  <c r="P257" i="15"/>
  <c r="P259" i="15"/>
  <c r="P261" i="15"/>
  <c r="P263" i="15"/>
  <c r="P265" i="15"/>
  <c r="P267" i="15"/>
  <c r="P269" i="15"/>
  <c r="P271" i="15"/>
  <c r="P273" i="15"/>
  <c r="P275" i="15"/>
  <c r="P277" i="15"/>
  <c r="P279" i="15"/>
  <c r="P289" i="15"/>
  <c r="P291" i="15"/>
  <c r="P293" i="15"/>
  <c r="P297" i="15"/>
  <c r="P301" i="15"/>
  <c r="P303" i="15"/>
  <c r="P305" i="15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P156" i="15"/>
  <c r="P159" i="15"/>
  <c r="P169" i="15"/>
  <c r="P171" i="15"/>
  <c r="P173" i="15"/>
  <c r="P175" i="15"/>
  <c r="P177" i="15"/>
  <c r="P179" i="15"/>
  <c r="P181" i="15"/>
  <c r="P183" i="15"/>
  <c r="P185" i="15"/>
  <c r="P187" i="15"/>
  <c r="P189" i="15"/>
  <c r="P191" i="15"/>
  <c r="P193" i="15"/>
  <c r="P195" i="15"/>
  <c r="P197" i="15"/>
  <c r="P199" i="15"/>
  <c r="P209" i="15"/>
  <c r="P211" i="15"/>
  <c r="P213" i="15"/>
  <c r="P215" i="15"/>
  <c r="P217" i="15"/>
  <c r="P219" i="15"/>
  <c r="P221" i="15"/>
  <c r="P223" i="15"/>
  <c r="P225" i="15"/>
  <c r="P227" i="15"/>
  <c r="P229" i="15"/>
  <c r="P231" i="15"/>
  <c r="P233" i="15"/>
  <c r="P235" i="15"/>
  <c r="P237" i="15"/>
  <c r="E14" i="16"/>
  <c r="I14" i="16"/>
  <c r="M5" i="16"/>
  <c r="N6" i="16"/>
  <c r="P8" i="16"/>
  <c r="L9" i="16"/>
  <c r="P11" i="16"/>
  <c r="L11" i="16"/>
  <c r="C30" i="16"/>
  <c r="G30" i="16"/>
  <c r="N21" i="16"/>
  <c r="L22" i="16"/>
  <c r="P24" i="16"/>
  <c r="L24" i="16"/>
  <c r="M26" i="16"/>
  <c r="C31" i="16"/>
  <c r="G31" i="16"/>
  <c r="N28" i="16"/>
  <c r="B46" i="16"/>
  <c r="P36" i="16"/>
  <c r="J46" i="16"/>
  <c r="L37" i="16"/>
  <c r="P39" i="16"/>
  <c r="L39" i="16"/>
  <c r="O40" i="16"/>
  <c r="O42" i="16"/>
  <c r="E47" i="16"/>
  <c r="N47" i="16" s="1"/>
  <c r="I47" i="16"/>
  <c r="L44" i="16"/>
  <c r="D62" i="16"/>
  <c r="P57" i="16"/>
  <c r="L57" i="16"/>
  <c r="O58" i="16"/>
  <c r="E63" i="16"/>
  <c r="O60" i="16"/>
  <c r="E78" i="16"/>
  <c r="I78" i="16"/>
  <c r="L91" i="16"/>
  <c r="H95" i="16"/>
  <c r="M101" i="16"/>
  <c r="N101" i="16"/>
  <c r="N103" i="16"/>
  <c r="M119" i="16"/>
  <c r="N119" i="16"/>
  <c r="P136" i="16"/>
  <c r="O150" i="16"/>
  <c r="M150" i="16"/>
  <c r="P4" i="16"/>
  <c r="L5" i="16"/>
  <c r="L7" i="16"/>
  <c r="O8" i="16"/>
  <c r="K8" i="16"/>
  <c r="O10" i="16"/>
  <c r="K10" i="16"/>
  <c r="E15" i="16"/>
  <c r="N15" i="16" s="1"/>
  <c r="I15" i="16"/>
  <c r="L12" i="16"/>
  <c r="D30" i="16"/>
  <c r="H30" i="16"/>
  <c r="M22" i="16"/>
  <c r="M23" i="16"/>
  <c r="K23" i="16"/>
  <c r="N24" i="16"/>
  <c r="P26" i="16"/>
  <c r="L27" i="16"/>
  <c r="K36" i="16"/>
  <c r="O38" i="16"/>
  <c r="K38" i="16"/>
  <c r="N39" i="16"/>
  <c r="L40" i="16"/>
  <c r="N41" i="16"/>
  <c r="L42" i="16"/>
  <c r="M44" i="16"/>
  <c r="N52" i="16"/>
  <c r="I62" i="16"/>
  <c r="P54" i="16"/>
  <c r="L55" i="16"/>
  <c r="K55" i="16"/>
  <c r="O56" i="16"/>
  <c r="K56" i="16"/>
  <c r="N57" i="16"/>
  <c r="L58" i="16"/>
  <c r="N59" i="16"/>
  <c r="L60" i="16"/>
  <c r="B78" i="16"/>
  <c r="M72" i="16"/>
  <c r="M73" i="16"/>
  <c r="K73" i="16"/>
  <c r="N74" i="16"/>
  <c r="G79" i="16"/>
  <c r="P76" i="16"/>
  <c r="F79" i="16"/>
  <c r="N79" i="16" s="1"/>
  <c r="O88" i="16"/>
  <c r="N89" i="16"/>
  <c r="O90" i="16"/>
  <c r="N107" i="16"/>
  <c r="M108" i="16"/>
  <c r="P122" i="16"/>
  <c r="L123" i="16"/>
  <c r="L133" i="16"/>
  <c r="P22" i="16"/>
  <c r="P44" i="16"/>
  <c r="L70" i="16"/>
  <c r="K70" i="16"/>
  <c r="P72" i="16"/>
  <c r="P89" i="16"/>
  <c r="L106" i="16"/>
  <c r="K106" i="16"/>
  <c r="O124" i="16"/>
  <c r="M132" i="16"/>
  <c r="L156" i="16"/>
  <c r="K156" i="16"/>
  <c r="O164" i="16"/>
  <c r="P419" i="15"/>
  <c r="P421" i="15"/>
  <c r="P423" i="15"/>
  <c r="P427" i="15"/>
  <c r="P431" i="15"/>
  <c r="P433" i="15"/>
  <c r="P435" i="15"/>
  <c r="P437" i="15"/>
  <c r="P448" i="15"/>
  <c r="P450" i="15"/>
  <c r="P452" i="15"/>
  <c r="P454" i="15"/>
  <c r="P456" i="15"/>
  <c r="P458" i="15"/>
  <c r="P460" i="15"/>
  <c r="P462" i="15"/>
  <c r="P464" i="15"/>
  <c r="P466" i="15"/>
  <c r="P468" i="15"/>
  <c r="P470" i="15"/>
  <c r="P472" i="15"/>
  <c r="P474" i="15"/>
  <c r="P476" i="15"/>
  <c r="P478" i="15"/>
  <c r="D14" i="16"/>
  <c r="H14" i="16"/>
  <c r="N5" i="16"/>
  <c r="P6" i="16"/>
  <c r="L6" i="16"/>
  <c r="M8" i="16"/>
  <c r="M9" i="16"/>
  <c r="K9" i="16"/>
  <c r="N10" i="16"/>
  <c r="P12" i="16"/>
  <c r="B30" i="16"/>
  <c r="P30" i="16" s="1"/>
  <c r="F30" i="16"/>
  <c r="J30" i="16"/>
  <c r="P21" i="16"/>
  <c r="L21" i="16"/>
  <c r="O22" i="16"/>
  <c r="K22" i="16"/>
  <c r="O24" i="16"/>
  <c r="K24" i="16"/>
  <c r="N25" i="16"/>
  <c r="L26" i="16"/>
  <c r="B31" i="16"/>
  <c r="N27" i="16"/>
  <c r="J31" i="16"/>
  <c r="P28" i="16"/>
  <c r="L28" i="16"/>
  <c r="E46" i="16"/>
  <c r="I46" i="16"/>
  <c r="M37" i="16"/>
  <c r="K37" i="16"/>
  <c r="N38" i="16"/>
  <c r="P40" i="16"/>
  <c r="L41" i="16"/>
  <c r="P43" i="16"/>
  <c r="L43" i="16"/>
  <c r="O44" i="16"/>
  <c r="K44" i="16"/>
  <c r="C62" i="16"/>
  <c r="G62" i="16"/>
  <c r="N53" i="16"/>
  <c r="L54" i="16"/>
  <c r="N55" i="16"/>
  <c r="H63" i="16"/>
  <c r="K63" i="16" s="1"/>
  <c r="D78" i="16"/>
  <c r="H78" i="16"/>
  <c r="O78" i="16" s="1"/>
  <c r="K68" i="16"/>
  <c r="M69" i="16"/>
  <c r="G94" i="16"/>
  <c r="F94" i="16"/>
  <c r="N117" i="16"/>
  <c r="N118" i="16"/>
  <c r="L119" i="16"/>
  <c r="M120" i="16"/>
  <c r="F127" i="16"/>
  <c r="F159" i="16"/>
  <c r="N155" i="16"/>
  <c r="H62" i="16"/>
  <c r="K62" i="16" s="1"/>
  <c r="M54" i="16"/>
  <c r="M55" i="16"/>
  <c r="N56" i="16"/>
  <c r="P58" i="16"/>
  <c r="L59" i="16"/>
  <c r="C78" i="16"/>
  <c r="G78" i="16"/>
  <c r="O70" i="16"/>
  <c r="N71" i="16"/>
  <c r="L72" i="16"/>
  <c r="N73" i="16"/>
  <c r="P74" i="16"/>
  <c r="L74" i="16"/>
  <c r="M76" i="16"/>
  <c r="P86" i="16"/>
  <c r="M88" i="16"/>
  <c r="L89" i="16"/>
  <c r="N100" i="16"/>
  <c r="I110" i="16"/>
  <c r="L101" i="16"/>
  <c r="P103" i="16"/>
  <c r="M106" i="16"/>
  <c r="P108" i="16"/>
  <c r="O116" i="16"/>
  <c r="G126" i="16"/>
  <c r="P118" i="16"/>
  <c r="M121" i="16"/>
  <c r="N122" i="16"/>
  <c r="N124" i="16"/>
  <c r="I142" i="16"/>
  <c r="N134" i="16"/>
  <c r="L136" i="16"/>
  <c r="N137" i="16"/>
  <c r="O138" i="16"/>
  <c r="P152" i="16"/>
  <c r="L152" i="16"/>
  <c r="M156" i="16"/>
  <c r="N167" i="16"/>
  <c r="O170" i="16"/>
  <c r="O172" i="16"/>
  <c r="N180" i="16"/>
  <c r="I190" i="16"/>
  <c r="G190" i="16"/>
  <c r="K183" i="16"/>
  <c r="B191" i="16"/>
  <c r="J191" i="16"/>
  <c r="D191" i="16"/>
  <c r="L188" i="16"/>
  <c r="N11" i="20"/>
  <c r="N6" i="20"/>
  <c r="N8" i="20"/>
  <c r="M9" i="20"/>
  <c r="M10" i="20"/>
  <c r="P11" i="20"/>
  <c r="L12" i="20"/>
  <c r="M154" i="16"/>
  <c r="M166" i="16"/>
  <c r="M172" i="16"/>
  <c r="C190" i="16"/>
  <c r="O180" i="16"/>
  <c r="M182" i="16"/>
  <c r="M184" i="16"/>
  <c r="O4" i="20"/>
  <c r="L9" i="20"/>
  <c r="P10" i="20"/>
  <c r="L10" i="20"/>
  <c r="O11" i="20"/>
  <c r="P68" i="16"/>
  <c r="J78" i="16"/>
  <c r="L69" i="16"/>
  <c r="P71" i="16"/>
  <c r="L71" i="16"/>
  <c r="L76" i="16"/>
  <c r="B94" i="16"/>
  <c r="J94" i="16"/>
  <c r="M86" i="16"/>
  <c r="M87" i="16"/>
  <c r="E95" i="16"/>
  <c r="I95" i="16"/>
  <c r="D110" i="16"/>
  <c r="L100" i="16"/>
  <c r="M103" i="16"/>
  <c r="N104" i="16"/>
  <c r="L107" i="16"/>
  <c r="B126" i="16"/>
  <c r="P117" i="16"/>
  <c r="L117" i="16"/>
  <c r="L120" i="16"/>
  <c r="L122" i="16"/>
  <c r="B127" i="16"/>
  <c r="P123" i="16"/>
  <c r="J127" i="16"/>
  <c r="D142" i="16"/>
  <c r="L132" i="16"/>
  <c r="P133" i="16"/>
  <c r="G142" i="16"/>
  <c r="L137" i="16"/>
  <c r="D143" i="16"/>
  <c r="N140" i="16"/>
  <c r="G158" i="16"/>
  <c r="N150" i="16"/>
  <c r="P153" i="16"/>
  <c r="D159" i="16"/>
  <c r="I174" i="16"/>
  <c r="L166" i="16"/>
  <c r="O166" i="16"/>
  <c r="B175" i="16"/>
  <c r="J175" i="16"/>
  <c r="N182" i="16"/>
  <c r="P184" i="16"/>
  <c r="O186" i="16"/>
  <c r="K188" i="16"/>
  <c r="O6" i="20"/>
  <c r="L11" i="20"/>
  <c r="P12" i="20"/>
  <c r="O285" i="15"/>
  <c r="P295" i="15"/>
  <c r="P311" i="15"/>
  <c r="P380" i="15"/>
  <c r="P396" i="15"/>
  <c r="P413" i="15"/>
  <c r="P429" i="15"/>
  <c r="P459" i="15"/>
  <c r="P475" i="15"/>
  <c r="O62" i="16"/>
  <c r="O30" i="16"/>
  <c r="K30" i="16"/>
  <c r="K78" i="16"/>
  <c r="O46" i="16"/>
  <c r="K46" i="16"/>
  <c r="P278" i="15"/>
  <c r="P299" i="15"/>
  <c r="P315" i="15"/>
  <c r="P329" i="15"/>
  <c r="P337" i="15"/>
  <c r="P345" i="15"/>
  <c r="P353" i="15"/>
  <c r="P359" i="15"/>
  <c r="P376" i="15"/>
  <c r="P392" i="15"/>
  <c r="P409" i="15"/>
  <c r="P425" i="15"/>
  <c r="P455" i="15"/>
  <c r="P471" i="15"/>
  <c r="O14" i="16"/>
  <c r="K14" i="16"/>
  <c r="N4" i="16"/>
  <c r="O5" i="16"/>
  <c r="M7" i="16"/>
  <c r="N8" i="16"/>
  <c r="O9" i="16"/>
  <c r="M11" i="16"/>
  <c r="N12" i="16"/>
  <c r="F14" i="16"/>
  <c r="L20" i="16"/>
  <c r="P20" i="16"/>
  <c r="M21" i="16"/>
  <c r="N22" i="16"/>
  <c r="O23" i="16"/>
  <c r="M25" i="16"/>
  <c r="N26" i="16"/>
  <c r="O27" i="16"/>
  <c r="N36" i="16"/>
  <c r="O37" i="16"/>
  <c r="M39" i="16"/>
  <c r="N40" i="16"/>
  <c r="O41" i="16"/>
  <c r="M43" i="16"/>
  <c r="N44" i="16"/>
  <c r="F46" i="16"/>
  <c r="P46" i="16" s="1"/>
  <c r="L52" i="16"/>
  <c r="P52" i="16"/>
  <c r="M53" i="16"/>
  <c r="N54" i="16"/>
  <c r="O55" i="16"/>
  <c r="M57" i="16"/>
  <c r="N58" i="16"/>
  <c r="O59" i="16"/>
  <c r="N68" i="16"/>
  <c r="O69" i="16"/>
  <c r="M71" i="16"/>
  <c r="N72" i="16"/>
  <c r="O73" i="16"/>
  <c r="M75" i="16"/>
  <c r="N76" i="16"/>
  <c r="F78" i="16"/>
  <c r="P78" i="16" s="1"/>
  <c r="D94" i="16"/>
  <c r="H94" i="16"/>
  <c r="L84" i="16"/>
  <c r="P84" i="16"/>
  <c r="M85" i="16"/>
  <c r="N86" i="16"/>
  <c r="L87" i="16"/>
  <c r="P88" i="16"/>
  <c r="P92" i="16"/>
  <c r="P100" i="16"/>
  <c r="N102" i="16"/>
  <c r="P102" i="16"/>
  <c r="P105" i="16"/>
  <c r="O106" i="16"/>
  <c r="M136" i="16"/>
  <c r="O136" i="16"/>
  <c r="P138" i="16"/>
  <c r="H158" i="16"/>
  <c r="D158" i="16"/>
  <c r="O149" i="16"/>
  <c r="K149" i="16"/>
  <c r="L149" i="16"/>
  <c r="M149" i="16"/>
  <c r="E174" i="16"/>
  <c r="N164" i="16"/>
  <c r="O4" i="16"/>
  <c r="P5" i="16"/>
  <c r="M6" i="16"/>
  <c r="P9" i="16"/>
  <c r="M10" i="16"/>
  <c r="N11" i="16"/>
  <c r="D15" i="16"/>
  <c r="P15" i="16" s="1"/>
  <c r="H15" i="16"/>
  <c r="M15" i="16" s="1"/>
  <c r="M20" i="16"/>
  <c r="P23" i="16"/>
  <c r="M24" i="16"/>
  <c r="P27" i="16"/>
  <c r="M28" i="16"/>
  <c r="E30" i="16"/>
  <c r="N30" i="16" s="1"/>
  <c r="F31" i="16"/>
  <c r="P31" i="16" s="1"/>
  <c r="O36" i="16"/>
  <c r="P37" i="16"/>
  <c r="M38" i="16"/>
  <c r="P41" i="16"/>
  <c r="M42" i="16"/>
  <c r="N43" i="16"/>
  <c r="D47" i="16"/>
  <c r="P47" i="16" s="1"/>
  <c r="H47" i="16"/>
  <c r="M52" i="16"/>
  <c r="P55" i="16"/>
  <c r="M56" i="16"/>
  <c r="P59" i="16"/>
  <c r="M60" i="16"/>
  <c r="E62" i="16"/>
  <c r="N62" i="16" s="1"/>
  <c r="F63" i="16"/>
  <c r="P63" i="16" s="1"/>
  <c r="O68" i="16"/>
  <c r="P69" i="16"/>
  <c r="M70" i="16"/>
  <c r="P73" i="16"/>
  <c r="M74" i="16"/>
  <c r="N75" i="16"/>
  <c r="D79" i="16"/>
  <c r="P79" i="16" s="1"/>
  <c r="H79" i="16"/>
  <c r="E94" i="16"/>
  <c r="I94" i="16"/>
  <c r="M84" i="16"/>
  <c r="O87" i="16"/>
  <c r="K87" i="16"/>
  <c r="O89" i="16"/>
  <c r="B95" i="16"/>
  <c r="F95" i="16"/>
  <c r="L95" i="16" s="1"/>
  <c r="P91" i="16"/>
  <c r="J95" i="16"/>
  <c r="M92" i="16"/>
  <c r="C95" i="16"/>
  <c r="K95" i="16"/>
  <c r="B110" i="16"/>
  <c r="F110" i="16"/>
  <c r="P110" i="16" s="1"/>
  <c r="J110" i="16"/>
  <c r="P101" i="16"/>
  <c r="M102" i="16"/>
  <c r="O103" i="16"/>
  <c r="K103" i="16"/>
  <c r="N105" i="16"/>
  <c r="I126" i="16"/>
  <c r="M118" i="16"/>
  <c r="O121" i="16"/>
  <c r="K121" i="16"/>
  <c r="N132" i="16"/>
  <c r="E142" i="16"/>
  <c r="P169" i="16"/>
  <c r="N169" i="16"/>
  <c r="D175" i="16"/>
  <c r="P171" i="16"/>
  <c r="O171" i="16"/>
  <c r="K171" i="16"/>
  <c r="H175" i="16"/>
  <c r="L171" i="16"/>
  <c r="M171" i="16"/>
  <c r="D190" i="16"/>
  <c r="P180" i="16"/>
  <c r="K180" i="16"/>
  <c r="H190" i="16"/>
  <c r="L180" i="16"/>
  <c r="L4" i="16"/>
  <c r="K7" i="16"/>
  <c r="O7" i="16"/>
  <c r="K11" i="16"/>
  <c r="O11" i="16"/>
  <c r="K21" i="16"/>
  <c r="O21" i="16"/>
  <c r="K25" i="16"/>
  <c r="O25" i="16"/>
  <c r="M27" i="16"/>
  <c r="K31" i="16"/>
  <c r="O31" i="16"/>
  <c r="L36" i="16"/>
  <c r="K39" i="16"/>
  <c r="O39" i="16"/>
  <c r="K43" i="16"/>
  <c r="O43" i="16"/>
  <c r="K53" i="16"/>
  <c r="O53" i="16"/>
  <c r="K57" i="16"/>
  <c r="O57" i="16"/>
  <c r="M59" i="16"/>
  <c r="L68" i="16"/>
  <c r="K71" i="16"/>
  <c r="O71" i="16"/>
  <c r="K75" i="16"/>
  <c r="O75" i="16"/>
  <c r="N84" i="16"/>
  <c r="K85" i="16"/>
  <c r="O85" i="16"/>
  <c r="L88" i="16"/>
  <c r="M89" i="16"/>
  <c r="K89" i="16"/>
  <c r="N90" i="16"/>
  <c r="M91" i="16"/>
  <c r="L92" i="16"/>
  <c r="N92" i="16"/>
  <c r="C94" i="16"/>
  <c r="C110" i="16"/>
  <c r="G110" i="16"/>
  <c r="L102" i="16"/>
  <c r="O102" i="16"/>
  <c r="L105" i="16"/>
  <c r="N106" i="16"/>
  <c r="L108" i="16"/>
  <c r="N116" i="16"/>
  <c r="M117" i="16"/>
  <c r="L118" i="16"/>
  <c r="P119" i="16"/>
  <c r="O120" i="16"/>
  <c r="P124" i="16"/>
  <c r="E126" i="16"/>
  <c r="P134" i="16"/>
  <c r="F143" i="16"/>
  <c r="P143" i="16" s="1"/>
  <c r="P139" i="16"/>
  <c r="N139" i="16"/>
  <c r="M4" i="16"/>
  <c r="O20" i="16"/>
  <c r="M36" i="16"/>
  <c r="O52" i="16"/>
  <c r="M68" i="16"/>
  <c r="P87" i="16"/>
  <c r="H110" i="16"/>
  <c r="O100" i="16"/>
  <c r="K100" i="16"/>
  <c r="M100" i="16"/>
  <c r="O107" i="16"/>
  <c r="K107" i="16"/>
  <c r="H111" i="16"/>
  <c r="P107" i="16"/>
  <c r="E111" i="16"/>
  <c r="N111" i="16" s="1"/>
  <c r="N108" i="16"/>
  <c r="E110" i="16"/>
  <c r="P111" i="16"/>
  <c r="C126" i="16"/>
  <c r="M116" i="16"/>
  <c r="O117" i="16"/>
  <c r="K117" i="16"/>
  <c r="N151" i="16"/>
  <c r="P151" i="16"/>
  <c r="K155" i="16"/>
  <c r="H159" i="16"/>
  <c r="O155" i="16"/>
  <c r="L155" i="16"/>
  <c r="K91" i="16"/>
  <c r="O91" i="16"/>
  <c r="K101" i="16"/>
  <c r="O101" i="16"/>
  <c r="K105" i="16"/>
  <c r="O105" i="16"/>
  <c r="P106" i="16"/>
  <c r="M107" i="16"/>
  <c r="D126" i="16"/>
  <c r="H126" i="16"/>
  <c r="L116" i="16"/>
  <c r="P116" i="16"/>
  <c r="K119" i="16"/>
  <c r="O119" i="16"/>
  <c r="P120" i="16"/>
  <c r="O122" i="16"/>
  <c r="O123" i="16"/>
  <c r="K123" i="16"/>
  <c r="M123" i="16"/>
  <c r="F126" i="16"/>
  <c r="B142" i="16"/>
  <c r="F142" i="16"/>
  <c r="J142" i="16"/>
  <c r="O132" i="16"/>
  <c r="O133" i="16"/>
  <c r="K133" i="16"/>
  <c r="M133" i="16"/>
  <c r="O135" i="16"/>
  <c r="M139" i="16"/>
  <c r="M140" i="16"/>
  <c r="K140" i="16"/>
  <c r="H142" i="16"/>
  <c r="C143" i="16"/>
  <c r="M151" i="16"/>
  <c r="B174" i="16"/>
  <c r="P164" i="16"/>
  <c r="F174" i="16"/>
  <c r="J174" i="16"/>
  <c r="P165" i="16"/>
  <c r="E175" i="16"/>
  <c r="N175" i="16" s="1"/>
  <c r="N171" i="16"/>
  <c r="I175" i="16"/>
  <c r="C191" i="16"/>
  <c r="M187" i="16"/>
  <c r="O187" i="16"/>
  <c r="P4" i="20"/>
  <c r="K104" i="16"/>
  <c r="O104" i="16"/>
  <c r="K108" i="16"/>
  <c r="O108" i="16"/>
  <c r="K118" i="16"/>
  <c r="O118" i="16"/>
  <c r="K122" i="16"/>
  <c r="E127" i="16"/>
  <c r="N127" i="16" s="1"/>
  <c r="I127" i="16"/>
  <c r="N123" i="16"/>
  <c r="L124" i="16"/>
  <c r="M124" i="16"/>
  <c r="H127" i="16"/>
  <c r="M127" i="16" s="1"/>
  <c r="K132" i="16"/>
  <c r="P132" i="16"/>
  <c r="L134" i="16"/>
  <c r="M134" i="16"/>
  <c r="M135" i="16"/>
  <c r="K135" i="16"/>
  <c r="N136" i="16"/>
  <c r="O137" i="16"/>
  <c r="K137" i="16"/>
  <c r="M137" i="16"/>
  <c r="L138" i="16"/>
  <c r="M138" i="16"/>
  <c r="L139" i="16"/>
  <c r="B158" i="16"/>
  <c r="F158" i="16"/>
  <c r="J158" i="16"/>
  <c r="P149" i="16"/>
  <c r="L151" i="16"/>
  <c r="K152" i="16"/>
  <c r="O152" i="16"/>
  <c r="M152" i="16"/>
  <c r="N153" i="16"/>
  <c r="P154" i="16"/>
  <c r="P155" i="16"/>
  <c r="L167" i="16"/>
  <c r="O167" i="16"/>
  <c r="K167" i="16"/>
  <c r="M167" i="16"/>
  <c r="P168" i="16"/>
  <c r="N172" i="16"/>
  <c r="O184" i="16"/>
  <c r="L184" i="16"/>
  <c r="P186" i="16"/>
  <c r="C158" i="16"/>
  <c r="M148" i="16"/>
  <c r="E158" i="16"/>
  <c r="K165" i="16"/>
  <c r="O165" i="16"/>
  <c r="O181" i="16"/>
  <c r="K181" i="16"/>
  <c r="L181" i="16"/>
  <c r="M183" i="16"/>
  <c r="O183" i="16"/>
  <c r="N183" i="16"/>
  <c r="M7" i="20"/>
  <c r="L148" i="16"/>
  <c r="O153" i="16"/>
  <c r="K153" i="16"/>
  <c r="M153" i="16"/>
  <c r="C174" i="16"/>
  <c r="G174" i="16"/>
  <c r="P167" i="16"/>
  <c r="M168" i="16"/>
  <c r="M188" i="16"/>
  <c r="O188" i="16"/>
  <c r="O191" i="16"/>
  <c r="K191" i="16"/>
  <c r="E143" i="16"/>
  <c r="I143" i="16"/>
  <c r="N148" i="16"/>
  <c r="P150" i="16"/>
  <c r="L154" i="16"/>
  <c r="C159" i="16"/>
  <c r="M155" i="16"/>
  <c r="G159" i="16"/>
  <c r="N156" i="16"/>
  <c r="M164" i="16"/>
  <c r="M165" i="16"/>
  <c r="N166" i="16"/>
  <c r="O168" i="16"/>
  <c r="L172" i="16"/>
  <c r="F191" i="16"/>
  <c r="P191" i="16" s="1"/>
  <c r="P187" i="16"/>
  <c r="N187" i="16"/>
  <c r="L8" i="20"/>
  <c r="M8" i="20"/>
  <c r="M4" i="20"/>
  <c r="P5" i="20"/>
  <c r="N5" i="20"/>
  <c r="O7" i="20"/>
  <c r="K7" i="20"/>
  <c r="L7" i="20"/>
  <c r="D174" i="16"/>
  <c r="H174" i="16"/>
  <c r="L164" i="16"/>
  <c r="L168" i="16"/>
  <c r="M169" i="16"/>
  <c r="M170" i="16"/>
  <c r="K170" i="16"/>
  <c r="P172" i="16"/>
  <c r="B190" i="16"/>
  <c r="F190" i="16"/>
  <c r="P190" i="16" s="1"/>
  <c r="J190" i="16"/>
  <c r="N184" i="16"/>
  <c r="O185" i="16"/>
  <c r="K185" i="16"/>
  <c r="M185" i="16"/>
  <c r="L186" i="16"/>
  <c r="M186" i="16"/>
  <c r="L187" i="16"/>
  <c r="M5" i="20"/>
  <c r="M6" i="20"/>
  <c r="K6" i="20"/>
  <c r="P8" i="20"/>
  <c r="P9" i="20"/>
  <c r="L169" i="16"/>
  <c r="M180" i="16"/>
  <c r="P182" i="16"/>
  <c r="P183" i="16"/>
  <c r="N188" i="16"/>
  <c r="L4" i="20"/>
  <c r="L5" i="20"/>
  <c r="K10" i="20"/>
  <c r="O10" i="20"/>
  <c r="M11" i="20"/>
  <c r="E190" i="16"/>
  <c r="K12" i="20"/>
  <c r="O12" i="20"/>
  <c r="N191" i="16" l="1"/>
  <c r="M159" i="16"/>
  <c r="O63" i="16"/>
  <c r="P159" i="16"/>
  <c r="N63" i="16"/>
  <c r="P62" i="16"/>
  <c r="P174" i="16"/>
  <c r="M143" i="16"/>
  <c r="M111" i="16"/>
  <c r="M79" i="16"/>
  <c r="N142" i="16"/>
  <c r="M31" i="16"/>
  <c r="M110" i="16"/>
  <c r="P175" i="16"/>
  <c r="P94" i="16"/>
  <c r="N78" i="16"/>
  <c r="L46" i="16"/>
  <c r="L63" i="16"/>
  <c r="M30" i="16"/>
  <c r="M94" i="16"/>
  <c r="P14" i="16"/>
  <c r="M46" i="16"/>
  <c r="P127" i="16"/>
  <c r="L174" i="16"/>
  <c r="O174" i="16"/>
  <c r="K174" i="16"/>
  <c r="L191" i="16"/>
  <c r="M174" i="16"/>
  <c r="M190" i="16"/>
  <c r="M158" i="16"/>
  <c r="L142" i="16"/>
  <c r="O142" i="16"/>
  <c r="K142" i="16"/>
  <c r="P126" i="16"/>
  <c r="N110" i="16"/>
  <c r="N190" i="16"/>
  <c r="O143" i="16"/>
  <c r="P158" i="16"/>
  <c r="M191" i="16"/>
  <c r="N126" i="16"/>
  <c r="L190" i="16"/>
  <c r="K190" i="16"/>
  <c r="O190" i="16"/>
  <c r="N94" i="16"/>
  <c r="L47" i="16"/>
  <c r="O47" i="16"/>
  <c r="K47" i="16"/>
  <c r="N174" i="16"/>
  <c r="N95" i="16"/>
  <c r="N46" i="16"/>
  <c r="M47" i="16"/>
  <c r="L31" i="16"/>
  <c r="N31" i="16"/>
  <c r="L175" i="16"/>
  <c r="K175" i="16"/>
  <c r="O175" i="16"/>
  <c r="L158" i="16"/>
  <c r="O158" i="16"/>
  <c r="K158" i="16"/>
  <c r="M62" i="16"/>
  <c r="M175" i="16"/>
  <c r="O127" i="16"/>
  <c r="L127" i="16"/>
  <c r="K127" i="16"/>
  <c r="L111" i="16"/>
  <c r="O111" i="16"/>
  <c r="K111" i="16"/>
  <c r="L15" i="16"/>
  <c r="O15" i="16"/>
  <c r="K15" i="16"/>
  <c r="L94" i="16"/>
  <c r="K94" i="16"/>
  <c r="O94" i="16"/>
  <c r="L62" i="16"/>
  <c r="N143" i="16"/>
  <c r="L143" i="16"/>
  <c r="N158" i="16"/>
  <c r="P142" i="16"/>
  <c r="L126" i="16"/>
  <c r="K126" i="16"/>
  <c r="O126" i="16"/>
  <c r="O159" i="16"/>
  <c r="K159" i="16"/>
  <c r="L159" i="16"/>
  <c r="M142" i="16"/>
  <c r="M126" i="16"/>
  <c r="L110" i="16"/>
  <c r="O110" i="16"/>
  <c r="K110" i="16"/>
  <c r="N159" i="16"/>
  <c r="M95" i="16"/>
  <c r="O95" i="16"/>
  <c r="P95" i="16"/>
  <c r="L79" i="16"/>
  <c r="O79" i="16"/>
  <c r="K79" i="16"/>
  <c r="M63" i="16"/>
  <c r="L14" i="16"/>
  <c r="M14" i="16"/>
  <c r="L78" i="16"/>
  <c r="L30" i="16"/>
  <c r="M78" i="16"/>
  <c r="N14" i="16"/>
</calcChain>
</file>

<file path=xl/sharedStrings.xml><?xml version="1.0" encoding="utf-8"?>
<sst xmlns="http://schemas.openxmlformats.org/spreadsheetml/2006/main" count="8093" uniqueCount="986">
  <si>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</si>
  <si>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</si>
  <si>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</si>
  <si>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</si>
  <si>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</si>
  <si>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</si>
  <si>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</si>
  <si>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</si>
  <si>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</si>
  <si>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</si>
  <si>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</si>
  <si>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</si>
  <si>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</si>
  <si>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</si>
  <si>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</si>
  <si>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</si>
  <si>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</si>
  <si>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</si>
  <si>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</si>
  <si>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</si>
  <si>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</si>
  <si>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</si>
  <si>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</si>
  <si>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</si>
  <si>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</si>
  <si>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</si>
  <si>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</si>
  <si>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</si>
  <si>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</si>
  <si>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</si>
  <si>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</si>
  <si>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</si>
  <si>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</si>
  <si>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</si>
  <si>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</si>
  <si>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</si>
  <si>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</si>
  <si>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</si>
  <si>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</si>
  <si>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</si>
  <si>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</si>
  <si>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</si>
  <si>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</si>
  <si>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</si>
  <si>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</si>
  <si>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</si>
  <si>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</si>
  <si>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</si>
  <si>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</si>
  <si>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</si>
  <si>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</si>
  <si>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</si>
  <si>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</si>
  <si>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</si>
  <si>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</si>
  <si>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</si>
  <si>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</si>
  <si>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</si>
  <si>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</si>
  <si>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</si>
  <si>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</si>
  <si>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</si>
  <si>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</si>
  <si>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</si>
  <si>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</si>
  <si>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</si>
  <si>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</si>
  <si>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</si>
  <si>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</si>
  <si>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</si>
  <si>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</si>
  <si>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</si>
  <si>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</si>
  <si>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</si>
  <si>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</si>
  <si>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</si>
  <si>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</si>
  <si>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</si>
  <si>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</si>
  <si>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</si>
  <si>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</si>
  <si>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</si>
  <si>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</si>
  <si>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</si>
  <si>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</si>
  <si>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</si>
  <si>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</si>
  <si>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</si>
  <si>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</si>
  <si>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</si>
  <si>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</si>
  <si>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</si>
  <si>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</si>
  <si>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</si>
  <si>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</si>
  <si>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</si>
  <si>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</si>
  <si>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</si>
  <si>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</si>
  <si>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</si>
  <si>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</si>
  <si>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</si>
  <si>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</si>
  <si>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</si>
  <si>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</si>
  <si>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</si>
  <si>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</si>
  <si>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</si>
  <si>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</si>
  <si>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</si>
  <si>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</si>
  <si>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</si>
  <si>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</si>
  <si>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</si>
  <si>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</si>
  <si>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</si>
  <si>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</si>
  <si>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</si>
  <si>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</si>
  <si>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</si>
  <si>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</si>
  <si>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</si>
  <si>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</si>
  <si>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</si>
  <si>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</si>
  <si>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</si>
  <si>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</si>
  <si>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</si>
  <si>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</si>
  <si>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</si>
  <si>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</si>
  <si>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</si>
  <si>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</si>
  <si>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</si>
  <si>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</si>
  <si>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</si>
  <si>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</si>
  <si>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</si>
  <si>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</si>
  <si>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</si>
  <si>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</si>
  <si>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</si>
  <si>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</si>
  <si>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</si>
  <si>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</si>
  <si>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</si>
  <si>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</si>
  <si>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</si>
  <si>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</si>
  <si>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</si>
  <si>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</si>
  <si>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</si>
  <si>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</si>
  <si>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</si>
  <si>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</si>
  <si>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</si>
  <si>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</si>
  <si>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</si>
  <si>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</si>
  <si>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</si>
  <si>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</si>
  <si>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</si>
  <si>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</si>
  <si>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</si>
  <si>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</si>
  <si>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</si>
  <si>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</si>
  <si>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</si>
  <si>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</si>
  <si>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</si>
  <si>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</si>
  <si>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</si>
  <si>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</si>
  <si>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</si>
  <si>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</si>
  <si>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</si>
  <si>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</si>
  <si>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</si>
  <si>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</si>
  <si>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</si>
  <si>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</si>
  <si>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</si>
  <si>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</si>
  <si>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</si>
  <si>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</si>
  <si>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</si>
  <si>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</si>
  <si>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</si>
  <si>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</si>
  <si>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</si>
  <si>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</si>
  <si>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</si>
  <si>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</si>
  <si>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</si>
  <si>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</si>
  <si>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</si>
  <si>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</si>
  <si>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</si>
  <si>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</si>
  <si>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</si>
  <si>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</si>
  <si>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</si>
  <si>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D2026-00001</t>
  </si>
  <si>
    <t>AAH1814</t>
  </si>
  <si>
    <t>Years</t>
  </si>
  <si>
    <t>F</t>
  </si>
  <si>
    <t>D2026-00002</t>
  </si>
  <si>
    <t>AAD1836</t>
  </si>
  <si>
    <t>RAZAK ISHATU</t>
  </si>
  <si>
    <t>D2026-00003</t>
  </si>
  <si>
    <t>AAH1836</t>
  </si>
  <si>
    <t>SOPHIA MANTEY-LARBI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</si>
  <si>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</si>
  <si>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</si>
  <si>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</si>
  <si>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</si>
  <si>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</si>
  <si>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</si>
  <si>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</si>
  <si>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</si>
  <si>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</si>
  <si>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</si>
  <si>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</si>
  <si>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</si>
  <si>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</si>
  <si>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</si>
  <si>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</si>
  <si>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</si>
  <si>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Insured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</si>
  <si>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</si>
  <si>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</si>
  <si>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</si>
  <si>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</si>
  <si>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</si>
  <si>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</si>
  <si>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</si>
  <si>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</si>
  <si>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</si>
  <si>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</si>
  <si>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</si>
  <si>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</si>
  <si>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</si>
  <si>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</si>
  <si>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</si>
  <si>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</si>
  <si>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</si>
  <si>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</si>
  <si>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</si>
  <si>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</si>
  <si>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</si>
  <si>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</si>
  <si>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</si>
  <si>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</si>
  <si>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</si>
  <si>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</si>
  <si>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</si>
  <si>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</si>
  <si>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</si>
  <si>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</si>
  <si>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</si>
  <si>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</si>
  <si>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</si>
  <si>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</si>
  <si>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</si>
  <si>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</si>
  <si>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Non-Insured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</si>
  <si>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</si>
  <si>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</si>
  <si>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</si>
  <si>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</si>
  <si>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</si>
  <si>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</si>
  <si>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</si>
  <si>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</si>
  <si>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</si>
  <si>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</si>
  <si>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</si>
  <si>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</si>
  <si>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</si>
  <si>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</si>
  <si>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</si>
  <si>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</si>
  <si>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</si>
  <si>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</si>
  <si>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</si>
  <si>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</si>
  <si>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</si>
  <si>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</si>
  <si>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</si>
  <si>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</si>
  <si>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</si>
  <si>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</si>
  <si>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</si>
  <si>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</si>
  <si>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</si>
  <si>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</si>
  <si>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</si>
  <si>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</si>
  <si>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</si>
  <si>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</si>
  <si>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</si>
  <si>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</si>
  <si>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</si>
  <si>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</si>
  <si>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</si>
  <si>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</si>
  <si>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</si>
  <si>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</si>
  <si>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</si>
  <si>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</si>
  <si>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</si>
  <si>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</si>
  <si>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</si>
  <si>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</si>
  <si>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</si>
  <si>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</si>
  <si>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</si>
  <si>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</si>
  <si>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</si>
  <si>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</si>
  <si>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</si>
  <si>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</si>
  <si>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</si>
  <si>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</si>
  <si>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</si>
  <si>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</si>
  <si>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</si>
  <si>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</si>
  <si>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</si>
  <si>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</si>
  <si>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</si>
  <si>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</si>
  <si>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</si>
  <si>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</si>
  <si>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</si>
  <si>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</si>
  <si>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</si>
  <si>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</si>
  <si>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</si>
  <si>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</si>
  <si>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</si>
  <si>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</si>
  <si>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</si>
  <si>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</si>
  <si>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</si>
  <si>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</si>
  <si>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</si>
  <si>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</si>
  <si>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</si>
  <si>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</si>
  <si>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</si>
  <si>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</si>
  <si>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</si>
  <si>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</si>
  <si>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</si>
  <si>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</si>
  <si>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</si>
  <si>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</si>
  <si>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</si>
  <si>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</si>
  <si>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</si>
  <si>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</si>
  <si>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</si>
  <si>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</si>
  <si>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</si>
  <si>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</si>
  <si>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</si>
  <si>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</si>
  <si>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</si>
  <si>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</si>
  <si>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</si>
  <si>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</si>
  <si>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</si>
  <si>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</si>
  <si>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</si>
  <si>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</si>
  <si>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</si>
  <si>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</si>
  <si>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</si>
  <si>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</si>
  <si>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</si>
  <si>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</si>
  <si>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</si>
  <si>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</si>
  <si>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</si>
  <si>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</si>
  <si>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</si>
  <si>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</si>
  <si>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</si>
  <si>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</si>
  <si>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</si>
  <si>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</si>
  <si>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</si>
  <si>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</si>
  <si>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</si>
  <si>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</si>
  <si>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</si>
  <si>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</si>
  <si>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</si>
  <si>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</si>
  <si>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</si>
  <si>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</si>
  <si>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</si>
  <si>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</si>
  <si>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</si>
  <si>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</si>
  <si>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</si>
  <si>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</si>
  <si>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</si>
  <si>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</si>
  <si>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</si>
  <si>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</si>
  <si>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</si>
  <si>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</si>
  <si>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</si>
  <si>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</si>
  <si>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</si>
  <si>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</si>
  <si>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</si>
  <si>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</si>
  <si>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</si>
  <si>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</si>
  <si>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</si>
  <si>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</si>
  <si>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</si>
  <si>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</si>
  <si>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</si>
  <si>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</si>
  <si>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</si>
  <si>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</si>
  <si>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</si>
  <si>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</si>
  <si>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</si>
  <si>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</si>
  <si>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</si>
  <si>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</si>
  <si>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</si>
  <si>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</si>
  <si>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</si>
  <si>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</si>
  <si>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</si>
  <si>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</si>
  <si>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</si>
  <si>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</si>
  <si>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</si>
  <si>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</si>
  <si>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</si>
  <si>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</si>
  <si>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</si>
  <si>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</si>
  <si>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</si>
  <si>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</si>
  <si>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</si>
  <si>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</si>
  <si>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</si>
  <si>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</si>
  <si>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</si>
  <si>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</si>
  <si>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</si>
  <si>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</si>
  <si>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</si>
  <si>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</si>
  <si>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</si>
  <si>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</si>
  <si>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</si>
  <si>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</si>
  <si>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</si>
  <si>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</si>
  <si>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</si>
  <si>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</si>
  <si>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</si>
  <si>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</si>
  <si>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</si>
  <si>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</si>
  <si>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</si>
  <si>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</si>
  <si>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</si>
  <si>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</si>
  <si>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</si>
  <si>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</si>
  <si>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</si>
  <si>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</si>
  <si>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</si>
  <si>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</si>
  <si>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</si>
  <si>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</si>
  <si>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</si>
  <si>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</si>
  <si>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</si>
  <si>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</si>
  <si>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</si>
  <si>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</si>
  <si>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</si>
  <si>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</si>
  <si>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</si>
  <si>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</si>
  <si>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</si>
  <si>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</si>
  <si>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</si>
  <si>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</si>
  <si>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</si>
  <si>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</si>
  <si>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</si>
  <si>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</si>
  <si>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</si>
  <si>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</si>
  <si>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</si>
  <si>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</si>
  <si>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</si>
  <si>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</si>
  <si>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</si>
  <si>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</si>
  <si>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</si>
  <si>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</si>
  <si>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</si>
  <si>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</si>
  <si>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</si>
  <si>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</si>
  <si>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</si>
  <si>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</si>
  <si>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</si>
  <si>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</si>
  <si>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</si>
  <si>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</si>
  <si>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</si>
  <si>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</si>
  <si>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</si>
  <si>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</si>
  <si>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</si>
  <si>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</si>
  <si>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</si>
  <si>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</si>
  <si>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</si>
  <si>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</si>
  <si>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</si>
  <si>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</si>
  <si>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</si>
  <si>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</si>
  <si>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</si>
  <si>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</si>
  <si>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</si>
  <si>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</si>
  <si>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</si>
  <si>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</si>
  <si>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</si>
  <si>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</si>
  <si>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</si>
  <si>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</si>
  <si>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</si>
  <si>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</si>
  <si>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</si>
  <si>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</si>
  <si>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</si>
  <si>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</si>
  <si>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</si>
  <si>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</si>
  <si>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</si>
  <si>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</si>
  <si>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</si>
  <si>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</si>
  <si>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</si>
  <si>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</si>
  <si>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</si>
  <si>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</si>
  <si>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</si>
  <si>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</si>
  <si>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</si>
  <si>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</si>
  <si>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</si>
  <si>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</si>
  <si>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</si>
  <si>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</si>
  <si>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</si>
  <si>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</si>
  <si>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</si>
  <si>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</si>
  <si>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</si>
  <si>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</si>
  <si>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</si>
  <si>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</si>
  <si>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</si>
  <si>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</si>
  <si>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</si>
  <si>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</si>
  <si>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</si>
  <si>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</si>
  <si>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</si>
  <si>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</si>
  <si>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</si>
  <si>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</si>
  <si>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</si>
  <si>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</si>
  <si>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</si>
  <si>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</si>
  <si>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</si>
  <si>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</si>
  <si>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</si>
  <si>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</si>
  <si>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</si>
  <si>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</si>
  <si>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</si>
  <si>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</si>
  <si>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</si>
  <si>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</si>
  <si>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</si>
  <si>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</si>
  <si>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</si>
  <si>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</si>
  <si>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</si>
  <si>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</si>
  <si>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</si>
  <si>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</si>
  <si>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</si>
  <si>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</si>
  <si>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</si>
  <si>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</si>
  <si>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</si>
  <si>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</si>
  <si>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</si>
  <si>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</si>
  <si>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</si>
  <si>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</si>
  <si>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Months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</si>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</sst>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13385A15-215F-1D2E-392C-04A04F5C61F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5D771008-4F35-E85B-B516-35CDF23C9F9E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94B70C64-A2B4-22D9-D24E-F9A42D4C1FC9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A05C4E90-E3CA-4836-0A36-CF3EFEADB475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53A74AD7-75D4-743C-6D14-DB86C995C020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E0DD11F5-7D76-446E-28B1-4F004623FA0D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50D84B5F-79BC-B792-6AC9-12906F5A4921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8589355C-4F37-938F-76AE-9D9B30018ADA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B030C8E4-449E-0015-2F78-CFC860A890E4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F53A8B89-3797-0AFF-87C5-08F01E550132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7B01F793-D2FF-EDE9-430D-739450E23812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CA0CF030-933E-4537-A7FB-096A0B690409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9305C1CF-9B17-EFE9-ED33-BAAA1DD57B9D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3794F182-1031-30FA-9302-667E9FCFED33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79">
  <autoFilter ref="A1:L279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669">
  <autoFilter ref="A1:K669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40">
  <autoFilter ref="A1:M40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3" t="s">
        <v>0</v>
      </c>
      <c r="B1" s="29"/>
      <c r="C1" s="29"/>
      <c r="D1" s="29"/>
      <c r="E1" s="29"/>
      <c r="F1" s="29"/>
      <c r="G1" s="29"/>
      <c r="H1" s="29"/>
    </row>
    <row r="2" spans="1:10" ht="15.75" x14ac:dyDescent="0.25">
      <c r="A2" s="37" t="s">
        <v>1</v>
      </c>
      <c r="B2" s="29"/>
      <c r="C2" s="29"/>
      <c r="D2" s="29"/>
      <c r="E2" s="29"/>
      <c r="F2" s="29"/>
      <c r="G2" s="29"/>
      <c r="H2" s="29"/>
    </row>
    <row r="3" spans="1:10" x14ac:dyDescent="0.25">
      <c r="A3" s="36" t="s">
        <v>2</v>
      </c>
      <c r="B3" s="29"/>
      <c r="C3" s="29"/>
      <c r="D3" s="29"/>
      <c r="E3" s="29"/>
      <c r="F3" s="29"/>
      <c r="G3" s="29"/>
      <c r="H3" s="29"/>
    </row>
    <row r="5" spans="1:10" x14ac:dyDescent="0.25">
      <c r="A5" s="1" t="s">
        <v>3</v>
      </c>
      <c r="B5" s="1">
        <v>2026</v>
      </c>
      <c r="D5" s="1" t="s">
        <v>4</v>
      </c>
      <c r="E5" s="35" t="s">
        <v>2</v>
      </c>
      <c r="F5" s="29"/>
      <c r="G5" s="29"/>
      <c r="H5" s="29"/>
      <c r="J5" t="b">
        <v>1</v>
      </c>
    </row>
    <row r="6" spans="1:10" x14ac:dyDescent="0.25">
      <c r="J6" t="b">
        <v>1</v>
      </c>
    </row>
    <row r="7" spans="1:10" ht="15.75" x14ac:dyDescent="0.25">
      <c r="A7" s="34" t="s">
        <v>5</v>
      </c>
      <c r="B7" s="29"/>
      <c r="C7" s="29"/>
      <c r="D7" s="29"/>
      <c r="E7" s="29"/>
      <c r="F7" s="29"/>
      <c r="G7" s="29"/>
      <c r="H7" s="29"/>
    </row>
    <row r="9" spans="1:10" x14ac:dyDescent="0.25">
      <c r="A9" s="30" t="s">
        <v>190</v>
      </c>
      <c r="B9" s="29"/>
      <c r="C9" s="29"/>
      <c r="D9" s="2" t="s">
        <v>6</v>
      </c>
    </row>
    <row r="11" spans="1:10" x14ac:dyDescent="0.25">
      <c r="A11" s="30" t="s">
        <v>191</v>
      </c>
      <c r="B11" s="29"/>
      <c r="C11" s="29"/>
      <c r="D11" s="2" t="s">
        <v>7</v>
      </c>
    </row>
    <row r="13" spans="1:10" x14ac:dyDescent="0.25">
      <c r="A13" s="30" t="s">
        <v>192</v>
      </c>
      <c r="B13" s="29"/>
      <c r="C13" s="29"/>
      <c r="D13" s="2" t="s">
        <v>8</v>
      </c>
    </row>
    <row r="15" spans="1:10" x14ac:dyDescent="0.25">
      <c r="A15" s="30" t="s">
        <v>193</v>
      </c>
      <c r="B15" s="29"/>
      <c r="C15" s="29"/>
      <c r="D15" s="2" t="s">
        <v>9</v>
      </c>
    </row>
    <row r="17" spans="1:4" x14ac:dyDescent="0.25">
      <c r="A17" s="30" t="s">
        <v>194</v>
      </c>
      <c r="B17" s="29"/>
      <c r="C17" s="29"/>
      <c r="D17" s="2" t="s">
        <v>10</v>
      </c>
    </row>
    <row r="19" spans="1:4" x14ac:dyDescent="0.25">
      <c r="A19" s="30" t="s">
        <v>195</v>
      </c>
      <c r="B19" s="29"/>
      <c r="C19" s="29"/>
      <c r="D19" s="2" t="s">
        <v>11</v>
      </c>
    </row>
    <row r="21" spans="1:4" x14ac:dyDescent="0.25">
      <c r="A21" s="30" t="s">
        <v>196</v>
      </c>
      <c r="B21" s="29"/>
      <c r="C21" s="29"/>
      <c r="D21" s="2" t="s">
        <v>12</v>
      </c>
    </row>
    <row r="23" spans="1:4" x14ac:dyDescent="0.25">
      <c r="A23" s="30" t="s">
        <v>197</v>
      </c>
      <c r="B23" s="29"/>
      <c r="C23" s="29"/>
      <c r="D23" s="2" t="s">
        <v>13</v>
      </c>
    </row>
    <row r="25" spans="1:4" x14ac:dyDescent="0.25">
      <c r="A25" s="30" t="s">
        <v>198</v>
      </c>
      <c r="B25" s="29"/>
      <c r="C25" s="29"/>
      <c r="D25" s="2" t="s">
        <v>14</v>
      </c>
    </row>
    <row r="27" spans="1:4" x14ac:dyDescent="0.25">
      <c r="A27" s="32" t="s">
        <v>15</v>
      </c>
      <c r="B27" s="29"/>
      <c r="C27" s="29"/>
      <c r="D27" s="2" t="s">
        <v>16</v>
      </c>
    </row>
    <row r="29" spans="1:4" x14ac:dyDescent="0.25">
      <c r="A29" s="28" t="s">
        <v>17</v>
      </c>
      <c r="B29" s="29"/>
      <c r="C29" s="29"/>
      <c r="D29" s="2" t="s">
        <v>18</v>
      </c>
    </row>
    <row r="31" spans="1:4" x14ac:dyDescent="0.25">
      <c r="A31" s="28" t="s">
        <v>199</v>
      </c>
      <c r="B31" s="29"/>
      <c r="C31" s="29"/>
      <c r="D31" s="2" t="s">
        <v>19</v>
      </c>
    </row>
    <row r="33" spans="1:6" x14ac:dyDescent="0.25">
      <c r="A33" s="28" t="s">
        <v>200</v>
      </c>
      <c r="B33" s="29"/>
      <c r="C33" s="29"/>
      <c r="D33" s="2" t="s">
        <v>20</v>
      </c>
    </row>
    <row r="35" spans="1:6" x14ac:dyDescent="0.25">
      <c r="A35" s="28" t="s">
        <v>201</v>
      </c>
      <c r="B35" s="29"/>
      <c r="C35" s="29"/>
      <c r="D35" s="2" t="s">
        <v>21</v>
      </c>
    </row>
    <row r="37" spans="1:6" ht="15.75" x14ac:dyDescent="0.25">
      <c r="A37" s="31" t="s">
        <v>22</v>
      </c>
      <c r="B37" s="29"/>
      <c r="C37" s="29"/>
      <c r="D37" s="29"/>
      <c r="E37" s="29"/>
      <c r="F37" s="29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1</v>
      </c>
      <c r="E47" s="4" t="b">
        <v>1</v>
      </c>
      <c r="F47" s="4">
        <v>9</v>
      </c>
    </row>
    <row r="49" spans="1:6" ht="15.75" x14ac:dyDescent="0.25">
      <c r="A49" s="31" t="s">
        <v>47</v>
      </c>
      <c r="B49" s="29"/>
      <c r="C49" s="29"/>
      <c r="D49" s="29"/>
      <c r="E49" s="29"/>
      <c r="F49" s="29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1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4" spans="1:6" ht="15.75" x14ac:dyDescent="0.25">
      <c r="A54" s="5" t="s">
        <v>55</v>
      </c>
    </row>
    <row r="55" spans="1:6" x14ac:dyDescent="0.25">
      <c r="A55" s="3" t="s">
        <v>56</v>
      </c>
      <c r="B55" s="3" t="s">
        <v>57</v>
      </c>
      <c r="C55" s="3" t="s">
        <v>58</v>
      </c>
    </row>
    <row r="56" spans="1:6" x14ac:dyDescent="0.25">
      <c r="A56" s="4">
        <v>1</v>
      </c>
      <c r="B56" s="4" t="s">
        <v>59</v>
      </c>
      <c r="C56" s="4">
        <v>31</v>
      </c>
    </row>
    <row r="57" spans="1:6" x14ac:dyDescent="0.25">
      <c r="A57" s="4">
        <v>2</v>
      </c>
      <c r="B57" s="4" t="s">
        <v>60</v>
      </c>
      <c r="C57" s="4">
        <v>28</v>
      </c>
    </row>
    <row r="58" spans="1:6" x14ac:dyDescent="0.25">
      <c r="A58" s="4">
        <v>3</v>
      </c>
      <c r="B58" s="4" t="s">
        <v>61</v>
      </c>
      <c r="C58" s="4">
        <v>31</v>
      </c>
    </row>
    <row r="59" spans="1:6" x14ac:dyDescent="0.25">
      <c r="A59" s="4">
        <v>4</v>
      </c>
      <c r="B59" s="4" t="s">
        <v>62</v>
      </c>
      <c r="C59" s="4">
        <v>30</v>
      </c>
    </row>
    <row r="60" spans="1:6" x14ac:dyDescent="0.25">
      <c r="A60" s="4">
        <v>5</v>
      </c>
      <c r="B60" s="4" t="s">
        <v>63</v>
      </c>
      <c r="C60" s="4">
        <v>31</v>
      </c>
    </row>
    <row r="61" spans="1:6" x14ac:dyDescent="0.25">
      <c r="A61" s="4">
        <v>6</v>
      </c>
      <c r="B61" s="4" t="s">
        <v>64</v>
      </c>
      <c r="C61" s="4">
        <v>30</v>
      </c>
    </row>
    <row r="62" spans="1:6" x14ac:dyDescent="0.25">
      <c r="A62" s="4">
        <v>7</v>
      </c>
      <c r="B62" s="4" t="s">
        <v>65</v>
      </c>
      <c r="C62" s="4">
        <v>31</v>
      </c>
    </row>
    <row r="63" spans="1:6" x14ac:dyDescent="0.25">
      <c r="A63" s="4">
        <v>8</v>
      </c>
      <c r="B63" s="4" t="s">
        <v>66</v>
      </c>
      <c r="C63" s="4">
        <v>31</v>
      </c>
    </row>
    <row r="64" spans="1:6" x14ac:dyDescent="0.25">
      <c r="A64" s="4">
        <v>9</v>
      </c>
      <c r="B64" s="4" t="s">
        <v>67</v>
      </c>
      <c r="C64" s="4">
        <v>30</v>
      </c>
    </row>
    <row r="65" spans="1:3" x14ac:dyDescent="0.25">
      <c r="A65" s="4">
        <v>10</v>
      </c>
      <c r="B65" s="4" t="s">
        <v>68</v>
      </c>
      <c r="C65" s="4">
        <v>31</v>
      </c>
    </row>
    <row r="66" spans="1:3" x14ac:dyDescent="0.25">
      <c r="A66" s="4">
        <v>11</v>
      </c>
      <c r="B66" s="4" t="s">
        <v>69</v>
      </c>
      <c r="C66" s="4">
        <v>30</v>
      </c>
    </row>
    <row r="67" spans="1:3" x14ac:dyDescent="0.25">
      <c r="A67" s="4">
        <v>12</v>
      </c>
      <c r="B67" s="4" t="s">
        <v>70</v>
      </c>
      <c r="C67" s="4">
        <v>31</v>
      </c>
    </row>
  </sheetData>
  <mergeCells count="21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79"/>
  <sheetViews>
    <sheetView workbookViewId="0">
      <selection activeCell="A2" sqref="A2:L279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71</v>
      </c>
      <c r="B1" t="s">
        <v>72</v>
      </c>
      <c r="C1" t="s">
        <v>23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</row>
    <row r="2" spans="1:12" x14ac:dyDescent="0.25">
      <c r="A2" s="26">
        <v>46023</v>
      </c>
      <c r="B2">
        <v>1</v>
      </c>
      <c r="C2" t="s">
        <v>35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27">
        <v>46078.633576388886</v>
      </c>
    </row>
    <row r="3" spans="1:12" x14ac:dyDescent="0.25">
      <c r="A3" s="26">
        <v>46024</v>
      </c>
      <c r="B3">
        <v>1</v>
      </c>
      <c r="C3" t="s">
        <v>35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27">
        <v>46078.633587962962</v>
      </c>
    </row>
    <row r="4" spans="1:12" x14ac:dyDescent="0.25">
      <c r="A4" s="26">
        <v>46025</v>
      </c>
      <c r="B4">
        <v>1</v>
      </c>
      <c r="C4" t="s">
        <v>35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27">
        <v>46078.633599537039</v>
      </c>
    </row>
    <row r="5" spans="1:12" x14ac:dyDescent="0.25">
      <c r="A5" s="26">
        <v>46026</v>
      </c>
      <c r="B5">
        <v>1</v>
      </c>
      <c r="C5" t="s">
        <v>35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27">
        <v>46078.633599537039</v>
      </c>
    </row>
    <row r="6" spans="1:12" x14ac:dyDescent="0.25">
      <c r="A6" s="26">
        <v>46027</v>
      </c>
      <c r="B6">
        <v>1</v>
      </c>
      <c r="C6" t="s">
        <v>35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27">
        <v>46078.633611111109</v>
      </c>
    </row>
    <row r="7" spans="1:12" x14ac:dyDescent="0.25">
      <c r="A7" s="26">
        <v>46028</v>
      </c>
      <c r="B7">
        <v>1</v>
      </c>
      <c r="C7" t="s">
        <v>35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27">
        <v>46078.633622685185</v>
      </c>
    </row>
    <row r="8" spans="1:12" x14ac:dyDescent="0.25">
      <c r="A8" s="26">
        <v>46029</v>
      </c>
      <c r="B8">
        <v>1</v>
      </c>
      <c r="C8" t="s">
        <v>35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27">
        <v>46078.633622685185</v>
      </c>
    </row>
    <row r="9" spans="1:12" x14ac:dyDescent="0.25">
      <c r="A9" s="26">
        <v>46030</v>
      </c>
      <c r="B9">
        <v>1</v>
      </c>
      <c r="C9" t="s">
        <v>35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27">
        <v>46078.633634259262</v>
      </c>
    </row>
    <row r="10" spans="1:12" x14ac:dyDescent="0.25">
      <c r="A10" s="26">
        <v>46031</v>
      </c>
      <c r="B10">
        <v>1</v>
      </c>
      <c r="C10" t="s">
        <v>35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27">
        <v>46078.633645833332</v>
      </c>
    </row>
    <row r="11" spans="1:12" x14ac:dyDescent="0.25">
      <c r="A11" s="26">
        <v>46032</v>
      </c>
      <c r="B11">
        <v>1</v>
      </c>
      <c r="C11" t="s">
        <v>35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27">
        <v>46078.633645833332</v>
      </c>
    </row>
    <row r="12" spans="1:12" x14ac:dyDescent="0.25">
      <c r="A12" s="26">
        <v>46033</v>
      </c>
      <c r="B12">
        <v>1</v>
      </c>
      <c r="C12" t="s">
        <v>35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27">
        <v>46078.633657407408</v>
      </c>
    </row>
    <row r="13" spans="1:12" x14ac:dyDescent="0.25">
      <c r="A13" s="26">
        <v>46034</v>
      </c>
      <c r="B13">
        <v>1</v>
      </c>
      <c r="C13" t="s">
        <v>35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27">
        <v>46078.633668981478</v>
      </c>
    </row>
    <row r="14" spans="1:12" x14ac:dyDescent="0.25">
      <c r="A14" s="26">
        <v>46035</v>
      </c>
      <c r="B14">
        <v>1</v>
      </c>
      <c r="C14" t="s">
        <v>35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27">
        <v>46078.633668981478</v>
      </c>
    </row>
    <row r="15" spans="1:12" x14ac:dyDescent="0.25">
      <c r="A15" s="26">
        <v>46036</v>
      </c>
      <c r="B15">
        <v>1</v>
      </c>
      <c r="C15" t="s">
        <v>35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27">
        <v>46078.633680555555</v>
      </c>
    </row>
    <row r="16" spans="1:12" x14ac:dyDescent="0.25">
      <c r="A16" s="26">
        <v>46037</v>
      </c>
      <c r="B16">
        <v>1</v>
      </c>
      <c r="C16" t="s">
        <v>35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27">
        <v>46078.633692129632</v>
      </c>
    </row>
    <row r="17" spans="1:12" x14ac:dyDescent="0.25">
      <c r="A17" s="26">
        <v>46038</v>
      </c>
      <c r="B17">
        <v>1</v>
      </c>
      <c r="C17" t="s">
        <v>35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27">
        <v>46078.633692129632</v>
      </c>
    </row>
    <row r="18" spans="1:12" x14ac:dyDescent="0.25">
      <c r="A18" s="26">
        <v>46039</v>
      </c>
      <c r="B18">
        <v>1</v>
      </c>
      <c r="C18" t="s">
        <v>35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27">
        <v>46078.633703703701</v>
      </c>
    </row>
    <row r="19" spans="1:12" x14ac:dyDescent="0.25">
      <c r="A19" s="26">
        <v>46040</v>
      </c>
      <c r="B19">
        <v>1</v>
      </c>
      <c r="C19" t="s">
        <v>35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27">
        <v>46078.633703703701</v>
      </c>
    </row>
    <row r="20" spans="1:12" x14ac:dyDescent="0.25">
      <c r="A20" s="26">
        <v>46041</v>
      </c>
      <c r="B20">
        <v>1</v>
      </c>
      <c r="C20" t="s">
        <v>35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27">
        <v>46078.633715277778</v>
      </c>
    </row>
    <row r="21" spans="1:12" x14ac:dyDescent="0.25">
      <c r="A21" s="26">
        <v>46042</v>
      </c>
      <c r="B21">
        <v>1</v>
      </c>
      <c r="C21" t="s">
        <v>35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27">
        <v>46078.633726851855</v>
      </c>
    </row>
    <row r="22" spans="1:12" x14ac:dyDescent="0.25">
      <c r="A22" s="26">
        <v>46043</v>
      </c>
      <c r="B22">
        <v>1</v>
      </c>
      <c r="C22" t="s">
        <v>35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27">
        <v>46078.633726851855</v>
      </c>
    </row>
    <row r="23" spans="1:12" x14ac:dyDescent="0.25">
      <c r="A23" s="26">
        <v>46044</v>
      </c>
      <c r="B23">
        <v>1</v>
      </c>
      <c r="C23" t="s">
        <v>35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27">
        <v>46078.633738425924</v>
      </c>
    </row>
    <row r="24" spans="1:12" x14ac:dyDescent="0.25">
      <c r="A24" s="26">
        <v>46045</v>
      </c>
      <c r="B24">
        <v>1</v>
      </c>
      <c r="C24" t="s">
        <v>35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27">
        <v>46078.633750000001</v>
      </c>
    </row>
    <row r="25" spans="1:12" x14ac:dyDescent="0.25">
      <c r="A25" s="26">
        <v>46046</v>
      </c>
      <c r="B25">
        <v>1</v>
      </c>
      <c r="C25" t="s">
        <v>35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27">
        <v>46078.633750000001</v>
      </c>
    </row>
    <row r="26" spans="1:12" x14ac:dyDescent="0.25">
      <c r="A26" s="26">
        <v>46047</v>
      </c>
      <c r="B26">
        <v>1</v>
      </c>
      <c r="C26" t="s">
        <v>35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27">
        <v>46078.633761574078</v>
      </c>
    </row>
    <row r="27" spans="1:12" x14ac:dyDescent="0.25">
      <c r="A27" s="26">
        <v>46048</v>
      </c>
      <c r="B27">
        <v>1</v>
      </c>
      <c r="C27" t="s">
        <v>35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27">
        <v>46078.633773148147</v>
      </c>
    </row>
    <row r="28" spans="1:12" x14ac:dyDescent="0.25">
      <c r="A28" s="26">
        <v>46049</v>
      </c>
      <c r="B28">
        <v>1</v>
      </c>
      <c r="C28" t="s">
        <v>35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27">
        <v>46078.633773148147</v>
      </c>
    </row>
    <row r="29" spans="1:12" x14ac:dyDescent="0.25">
      <c r="A29" s="26">
        <v>46050</v>
      </c>
      <c r="B29">
        <v>1</v>
      </c>
      <c r="C29" t="s">
        <v>35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27">
        <v>46078.633784722224</v>
      </c>
    </row>
    <row r="30" spans="1:12" x14ac:dyDescent="0.25">
      <c r="A30" s="26">
        <v>46051</v>
      </c>
      <c r="B30">
        <v>1</v>
      </c>
      <c r="C30" t="s">
        <v>35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27">
        <v>46078.633796296293</v>
      </c>
    </row>
    <row r="31" spans="1:12" x14ac:dyDescent="0.25">
      <c r="A31" s="26">
        <v>46052</v>
      </c>
      <c r="B31">
        <v>1</v>
      </c>
      <c r="C31" t="s">
        <v>35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27">
        <v>46078.633796296293</v>
      </c>
    </row>
    <row r="32" spans="1:12" x14ac:dyDescent="0.25">
      <c r="A32" s="26">
        <v>46053</v>
      </c>
      <c r="B32">
        <v>1</v>
      </c>
      <c r="C32" t="s">
        <v>35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27">
        <v>46078.63380787037</v>
      </c>
    </row>
    <row r="33" spans="1:12" x14ac:dyDescent="0.25">
      <c r="A33" s="26">
        <v>46023</v>
      </c>
      <c r="B33">
        <v>1</v>
      </c>
      <c r="C33" t="s">
        <v>37</v>
      </c>
      <c r="D33">
        <v>4</v>
      </c>
      <c r="E33">
        <v>6</v>
      </c>
      <c r="F33">
        <v>0</v>
      </c>
      <c r="G33">
        <v>0</v>
      </c>
      <c r="H33">
        <v>0</v>
      </c>
      <c r="I33">
        <v>1</v>
      </c>
      <c r="J33">
        <v>9</v>
      </c>
      <c r="K33">
        <v>6</v>
      </c>
      <c r="L33" s="27">
        <v>46078.633819444447</v>
      </c>
    </row>
    <row r="34" spans="1:12" x14ac:dyDescent="0.25">
      <c r="A34" s="26">
        <v>46024</v>
      </c>
      <c r="B34">
        <v>1</v>
      </c>
      <c r="C34" t="s">
        <v>37</v>
      </c>
      <c r="D34">
        <v>4</v>
      </c>
      <c r="E34">
        <v>3</v>
      </c>
      <c r="F34">
        <v>0</v>
      </c>
      <c r="G34">
        <v>0</v>
      </c>
      <c r="H34">
        <v>2</v>
      </c>
      <c r="I34">
        <v>0</v>
      </c>
      <c r="J34">
        <v>6</v>
      </c>
      <c r="K34">
        <v>9</v>
      </c>
      <c r="L34" s="27">
        <v>46078.633819444447</v>
      </c>
    </row>
    <row r="35" spans="1:12" x14ac:dyDescent="0.25">
      <c r="A35" s="26">
        <v>46025</v>
      </c>
      <c r="B35">
        <v>1</v>
      </c>
      <c r="C35" t="s">
        <v>37</v>
      </c>
      <c r="D35">
        <v>3</v>
      </c>
      <c r="E35">
        <v>4</v>
      </c>
      <c r="F35">
        <v>0</v>
      </c>
      <c r="G35">
        <v>0</v>
      </c>
      <c r="H35">
        <v>2</v>
      </c>
      <c r="I35">
        <v>1</v>
      </c>
      <c r="J35">
        <v>9</v>
      </c>
      <c r="K35">
        <v>9</v>
      </c>
      <c r="L35" s="27">
        <v>46078.633831018517</v>
      </c>
    </row>
    <row r="36" spans="1:12" x14ac:dyDescent="0.25">
      <c r="A36" s="26">
        <v>46026</v>
      </c>
      <c r="B36">
        <v>1</v>
      </c>
      <c r="C36" t="s">
        <v>37</v>
      </c>
      <c r="D36">
        <v>7</v>
      </c>
      <c r="E36">
        <v>2</v>
      </c>
      <c r="F36">
        <v>0</v>
      </c>
      <c r="G36">
        <v>0</v>
      </c>
      <c r="H36">
        <v>1</v>
      </c>
      <c r="I36">
        <v>0</v>
      </c>
      <c r="J36">
        <v>9</v>
      </c>
      <c r="K36">
        <v>15</v>
      </c>
      <c r="L36" s="27">
        <v>46078.633831018517</v>
      </c>
    </row>
    <row r="37" spans="1:12" x14ac:dyDescent="0.25">
      <c r="A37" s="26">
        <v>46027</v>
      </c>
      <c r="B37">
        <v>1</v>
      </c>
      <c r="C37" t="s">
        <v>37</v>
      </c>
      <c r="D37">
        <v>5</v>
      </c>
      <c r="E37">
        <v>7</v>
      </c>
      <c r="F37">
        <v>0</v>
      </c>
      <c r="G37">
        <v>0</v>
      </c>
      <c r="H37">
        <v>2</v>
      </c>
      <c r="I37">
        <v>1</v>
      </c>
      <c r="J37">
        <v>15</v>
      </c>
      <c r="K37">
        <v>14</v>
      </c>
      <c r="L37" s="27">
        <v>46078.633842592593</v>
      </c>
    </row>
    <row r="38" spans="1:12" x14ac:dyDescent="0.25">
      <c r="A38" s="26">
        <v>46028</v>
      </c>
      <c r="B38">
        <v>1</v>
      </c>
      <c r="C38" t="s">
        <v>37</v>
      </c>
      <c r="D38">
        <v>6</v>
      </c>
      <c r="E38">
        <v>6</v>
      </c>
      <c r="F38">
        <v>0</v>
      </c>
      <c r="G38">
        <v>0</v>
      </c>
      <c r="H38">
        <v>0</v>
      </c>
      <c r="I38">
        <v>2</v>
      </c>
      <c r="J38">
        <v>14</v>
      </c>
      <c r="K38">
        <v>12</v>
      </c>
      <c r="L38" s="27">
        <v>46078.63385416667</v>
      </c>
    </row>
    <row r="39" spans="1:12" x14ac:dyDescent="0.25">
      <c r="A39" s="26">
        <v>46029</v>
      </c>
      <c r="B39">
        <v>1</v>
      </c>
      <c r="C39" t="s">
        <v>37</v>
      </c>
      <c r="D39">
        <v>3</v>
      </c>
      <c r="E39">
        <v>7</v>
      </c>
      <c r="F39">
        <v>0</v>
      </c>
      <c r="G39">
        <v>0</v>
      </c>
      <c r="H39">
        <v>1</v>
      </c>
      <c r="I39">
        <v>1</v>
      </c>
      <c r="J39">
        <v>12</v>
      </c>
      <c r="K39">
        <v>8</v>
      </c>
      <c r="L39" s="27">
        <v>46078.63386574074</v>
      </c>
    </row>
    <row r="40" spans="1:12" x14ac:dyDescent="0.25">
      <c r="A40" s="26">
        <v>46030</v>
      </c>
      <c r="B40">
        <v>1</v>
      </c>
      <c r="C40" t="s">
        <v>37</v>
      </c>
      <c r="D40">
        <v>7</v>
      </c>
      <c r="E40">
        <v>2</v>
      </c>
      <c r="F40">
        <v>0</v>
      </c>
      <c r="G40">
        <v>0</v>
      </c>
      <c r="H40">
        <v>0</v>
      </c>
      <c r="I40">
        <v>1</v>
      </c>
      <c r="J40">
        <v>8</v>
      </c>
      <c r="K40">
        <v>12</v>
      </c>
      <c r="L40" s="27">
        <v>46078.63386574074</v>
      </c>
    </row>
    <row r="41" spans="1:12" x14ac:dyDescent="0.25">
      <c r="A41" s="26">
        <v>46031</v>
      </c>
      <c r="B41">
        <v>1</v>
      </c>
      <c r="C41" t="s">
        <v>37</v>
      </c>
      <c r="D41">
        <v>3</v>
      </c>
      <c r="E41">
        <v>6</v>
      </c>
      <c r="F41">
        <v>0</v>
      </c>
      <c r="G41">
        <v>0</v>
      </c>
      <c r="H41">
        <v>1</v>
      </c>
      <c r="I41">
        <v>1</v>
      </c>
      <c r="J41">
        <v>12</v>
      </c>
      <c r="K41">
        <v>9</v>
      </c>
      <c r="L41" s="27">
        <v>46078.633877314816</v>
      </c>
    </row>
    <row r="42" spans="1:12" x14ac:dyDescent="0.25">
      <c r="A42" s="26">
        <v>46032</v>
      </c>
      <c r="B42">
        <v>1</v>
      </c>
      <c r="C42" t="s">
        <v>37</v>
      </c>
      <c r="D42">
        <v>4</v>
      </c>
      <c r="E42">
        <v>2</v>
      </c>
      <c r="F42">
        <v>0</v>
      </c>
      <c r="G42">
        <v>0</v>
      </c>
      <c r="H42">
        <v>0</v>
      </c>
      <c r="I42">
        <v>1</v>
      </c>
      <c r="J42">
        <v>9</v>
      </c>
      <c r="K42">
        <v>10</v>
      </c>
      <c r="L42" s="27">
        <v>46078.633877314816</v>
      </c>
    </row>
    <row r="43" spans="1:12" x14ac:dyDescent="0.25">
      <c r="A43" s="26">
        <v>46033</v>
      </c>
      <c r="B43">
        <v>1</v>
      </c>
      <c r="C43" t="s">
        <v>37</v>
      </c>
      <c r="D43">
        <v>6</v>
      </c>
      <c r="E43">
        <v>7</v>
      </c>
      <c r="F43">
        <v>0</v>
      </c>
      <c r="G43">
        <v>0</v>
      </c>
      <c r="H43">
        <v>4</v>
      </c>
      <c r="I43">
        <v>1</v>
      </c>
      <c r="J43">
        <v>10</v>
      </c>
      <c r="K43">
        <v>12</v>
      </c>
      <c r="L43" s="27">
        <v>46078.633888888886</v>
      </c>
    </row>
    <row r="44" spans="1:12" x14ac:dyDescent="0.25">
      <c r="A44" s="26">
        <v>46034</v>
      </c>
      <c r="B44">
        <v>1</v>
      </c>
      <c r="C44" t="s">
        <v>37</v>
      </c>
      <c r="D44">
        <v>8</v>
      </c>
      <c r="E44">
        <v>4</v>
      </c>
      <c r="F44">
        <v>0</v>
      </c>
      <c r="G44">
        <v>0</v>
      </c>
      <c r="H44">
        <v>2</v>
      </c>
      <c r="I44">
        <v>3</v>
      </c>
      <c r="J44">
        <v>12</v>
      </c>
      <c r="K44">
        <v>15</v>
      </c>
      <c r="L44" s="27">
        <v>46078.633900462963</v>
      </c>
    </row>
    <row r="45" spans="1:12" x14ac:dyDescent="0.25">
      <c r="A45" s="26">
        <v>46035</v>
      </c>
      <c r="B45">
        <v>1</v>
      </c>
      <c r="C45" t="s">
        <v>37</v>
      </c>
      <c r="D45">
        <v>5</v>
      </c>
      <c r="E45">
        <v>6</v>
      </c>
      <c r="F45">
        <v>0</v>
      </c>
      <c r="G45">
        <v>0</v>
      </c>
      <c r="H45">
        <v>2</v>
      </c>
      <c r="I45">
        <v>0</v>
      </c>
      <c r="J45">
        <v>15</v>
      </c>
      <c r="K45">
        <v>16</v>
      </c>
      <c r="L45" s="27">
        <v>46078.633900462963</v>
      </c>
    </row>
    <row r="46" spans="1:12" x14ac:dyDescent="0.25">
      <c r="A46" s="26">
        <v>46036</v>
      </c>
      <c r="B46">
        <v>1</v>
      </c>
      <c r="C46" t="s">
        <v>37</v>
      </c>
      <c r="D46">
        <v>5</v>
      </c>
      <c r="E46">
        <v>3</v>
      </c>
      <c r="F46">
        <v>0</v>
      </c>
      <c r="G46">
        <v>0</v>
      </c>
      <c r="H46">
        <v>1</v>
      </c>
      <c r="I46">
        <v>2</v>
      </c>
      <c r="J46">
        <v>16</v>
      </c>
      <c r="K46">
        <v>17</v>
      </c>
      <c r="L46" s="27">
        <v>46078.633912037039</v>
      </c>
    </row>
    <row r="47" spans="1:12" x14ac:dyDescent="0.25">
      <c r="A47" s="26">
        <v>46037</v>
      </c>
      <c r="B47">
        <v>1</v>
      </c>
      <c r="C47" t="s">
        <v>37</v>
      </c>
      <c r="D47">
        <v>4</v>
      </c>
      <c r="E47">
        <v>11</v>
      </c>
      <c r="F47">
        <v>0</v>
      </c>
      <c r="G47">
        <v>0</v>
      </c>
      <c r="H47">
        <v>0</v>
      </c>
      <c r="I47">
        <v>1</v>
      </c>
      <c r="J47">
        <v>17</v>
      </c>
      <c r="K47">
        <v>9</v>
      </c>
      <c r="L47" s="27">
        <v>46078.633923611109</v>
      </c>
    </row>
    <row r="48" spans="1:12" x14ac:dyDescent="0.25">
      <c r="A48" s="26">
        <v>46038</v>
      </c>
      <c r="B48">
        <v>1</v>
      </c>
      <c r="C48" t="s">
        <v>37</v>
      </c>
      <c r="D48">
        <v>2</v>
      </c>
      <c r="E48">
        <v>1</v>
      </c>
      <c r="F48">
        <v>0</v>
      </c>
      <c r="G48">
        <v>0</v>
      </c>
      <c r="H48">
        <v>0</v>
      </c>
      <c r="I48">
        <v>0</v>
      </c>
      <c r="J48">
        <v>9</v>
      </c>
      <c r="K48">
        <v>10</v>
      </c>
      <c r="L48" s="27">
        <v>46078.633923611109</v>
      </c>
    </row>
    <row r="49" spans="1:12" x14ac:dyDescent="0.25">
      <c r="A49" s="26">
        <v>46039</v>
      </c>
      <c r="B49">
        <v>1</v>
      </c>
      <c r="C49" t="s">
        <v>37</v>
      </c>
      <c r="D49">
        <v>4</v>
      </c>
      <c r="E49">
        <v>2</v>
      </c>
      <c r="F49">
        <v>0</v>
      </c>
      <c r="G49">
        <v>0</v>
      </c>
      <c r="H49">
        <v>0</v>
      </c>
      <c r="I49">
        <v>1</v>
      </c>
      <c r="J49">
        <v>10</v>
      </c>
      <c r="K49">
        <v>11</v>
      </c>
      <c r="L49" s="27">
        <v>46078.633935185186</v>
      </c>
    </row>
    <row r="50" spans="1:12" x14ac:dyDescent="0.25">
      <c r="A50" s="26">
        <v>46040</v>
      </c>
      <c r="B50">
        <v>1</v>
      </c>
      <c r="C50" t="s">
        <v>37</v>
      </c>
      <c r="D50">
        <v>1</v>
      </c>
      <c r="E50">
        <v>3</v>
      </c>
      <c r="F50">
        <v>0</v>
      </c>
      <c r="G50">
        <v>0</v>
      </c>
      <c r="H50">
        <v>1</v>
      </c>
      <c r="I50">
        <v>0</v>
      </c>
      <c r="J50">
        <v>11</v>
      </c>
      <c r="K50">
        <v>10</v>
      </c>
      <c r="L50" s="27">
        <v>46078.633946759262</v>
      </c>
    </row>
    <row r="51" spans="1:12" x14ac:dyDescent="0.25">
      <c r="A51" s="26">
        <v>46041</v>
      </c>
      <c r="B51">
        <v>1</v>
      </c>
      <c r="C51" t="s">
        <v>37</v>
      </c>
      <c r="D51">
        <v>4</v>
      </c>
      <c r="E51">
        <v>1</v>
      </c>
      <c r="F51">
        <v>0</v>
      </c>
      <c r="G51">
        <v>0</v>
      </c>
      <c r="H51">
        <v>0</v>
      </c>
      <c r="I51">
        <v>0</v>
      </c>
      <c r="J51">
        <v>10</v>
      </c>
      <c r="K51">
        <v>13</v>
      </c>
      <c r="L51" s="27">
        <v>46078.633946759262</v>
      </c>
    </row>
    <row r="52" spans="1:12" x14ac:dyDescent="0.25">
      <c r="A52" s="26">
        <v>46042</v>
      </c>
      <c r="B52">
        <v>1</v>
      </c>
      <c r="C52" t="s">
        <v>37</v>
      </c>
      <c r="D52">
        <v>4</v>
      </c>
      <c r="E52">
        <v>2</v>
      </c>
      <c r="F52">
        <v>0</v>
      </c>
      <c r="G52">
        <v>0</v>
      </c>
      <c r="H52">
        <v>1</v>
      </c>
      <c r="I52">
        <v>0</v>
      </c>
      <c r="J52">
        <v>13</v>
      </c>
      <c r="K52">
        <v>16</v>
      </c>
      <c r="L52" s="27">
        <v>46078.633958333332</v>
      </c>
    </row>
    <row r="53" spans="1:12" x14ac:dyDescent="0.25">
      <c r="A53" s="26">
        <v>46043</v>
      </c>
      <c r="B53">
        <v>1</v>
      </c>
      <c r="C53" t="s">
        <v>37</v>
      </c>
      <c r="D53">
        <v>2</v>
      </c>
      <c r="E53">
        <v>6</v>
      </c>
      <c r="F53">
        <v>0</v>
      </c>
      <c r="G53">
        <v>0</v>
      </c>
      <c r="H53">
        <v>1</v>
      </c>
      <c r="I53">
        <v>0</v>
      </c>
      <c r="J53">
        <v>16</v>
      </c>
      <c r="K53">
        <v>13</v>
      </c>
      <c r="L53" s="27">
        <v>46078.633969907409</v>
      </c>
    </row>
    <row r="54" spans="1:12" x14ac:dyDescent="0.25">
      <c r="A54" s="26">
        <v>46044</v>
      </c>
      <c r="B54">
        <v>1</v>
      </c>
      <c r="C54" t="s">
        <v>37</v>
      </c>
      <c r="D54">
        <v>6</v>
      </c>
      <c r="E54">
        <v>3</v>
      </c>
      <c r="F54">
        <v>0</v>
      </c>
      <c r="G54">
        <v>0</v>
      </c>
      <c r="H54">
        <v>0</v>
      </c>
      <c r="I54">
        <v>3</v>
      </c>
      <c r="J54">
        <v>13</v>
      </c>
      <c r="K54">
        <v>13</v>
      </c>
      <c r="L54" s="27">
        <v>46078.633969907409</v>
      </c>
    </row>
    <row r="55" spans="1:12" x14ac:dyDescent="0.25">
      <c r="A55" s="26">
        <v>46045</v>
      </c>
      <c r="B55">
        <v>1</v>
      </c>
      <c r="C55" t="s">
        <v>37</v>
      </c>
      <c r="D55">
        <v>4</v>
      </c>
      <c r="E55">
        <v>7</v>
      </c>
      <c r="F55">
        <v>0</v>
      </c>
      <c r="G55">
        <v>0</v>
      </c>
      <c r="H55">
        <v>0</v>
      </c>
      <c r="I55">
        <v>1</v>
      </c>
      <c r="J55">
        <v>13</v>
      </c>
      <c r="K55">
        <v>9</v>
      </c>
      <c r="L55" s="27">
        <v>46078.633981481478</v>
      </c>
    </row>
    <row r="56" spans="1:12" x14ac:dyDescent="0.25">
      <c r="A56" s="26">
        <v>46046</v>
      </c>
      <c r="B56">
        <v>1</v>
      </c>
      <c r="C56" t="s">
        <v>37</v>
      </c>
      <c r="D56">
        <v>0</v>
      </c>
      <c r="E56">
        <v>1</v>
      </c>
      <c r="F56">
        <v>0</v>
      </c>
      <c r="G56">
        <v>0</v>
      </c>
      <c r="H56">
        <v>0</v>
      </c>
      <c r="I56">
        <v>1</v>
      </c>
      <c r="J56">
        <v>9</v>
      </c>
      <c r="K56">
        <v>7</v>
      </c>
      <c r="L56" s="27">
        <v>46078.633981481478</v>
      </c>
    </row>
    <row r="57" spans="1:12" x14ac:dyDescent="0.25">
      <c r="A57" s="26">
        <v>46047</v>
      </c>
      <c r="B57">
        <v>1</v>
      </c>
      <c r="C57" t="s">
        <v>37</v>
      </c>
      <c r="D57">
        <v>2</v>
      </c>
      <c r="E57">
        <v>1</v>
      </c>
      <c r="F57">
        <v>0</v>
      </c>
      <c r="G57">
        <v>0</v>
      </c>
      <c r="H57">
        <v>2</v>
      </c>
      <c r="I57">
        <v>0</v>
      </c>
      <c r="J57">
        <v>7</v>
      </c>
      <c r="K57">
        <v>10</v>
      </c>
      <c r="L57" s="27">
        <v>46078.633993055555</v>
      </c>
    </row>
    <row r="58" spans="1:12" x14ac:dyDescent="0.25">
      <c r="A58" s="26">
        <v>46048</v>
      </c>
      <c r="B58">
        <v>1</v>
      </c>
      <c r="C58" t="s">
        <v>37</v>
      </c>
      <c r="D58">
        <v>1</v>
      </c>
      <c r="E58">
        <v>3</v>
      </c>
      <c r="F58">
        <v>0</v>
      </c>
      <c r="G58">
        <v>0</v>
      </c>
      <c r="H58">
        <v>0</v>
      </c>
      <c r="I58">
        <v>0</v>
      </c>
      <c r="J58">
        <v>10</v>
      </c>
      <c r="K58">
        <v>8</v>
      </c>
      <c r="L58" s="27">
        <v>46078.634004629632</v>
      </c>
    </row>
    <row r="59" spans="1:12" x14ac:dyDescent="0.25">
      <c r="A59" s="26">
        <v>46049</v>
      </c>
      <c r="B59">
        <v>1</v>
      </c>
      <c r="C59" t="s">
        <v>37</v>
      </c>
      <c r="D59">
        <v>5</v>
      </c>
      <c r="E59">
        <v>5</v>
      </c>
      <c r="F59">
        <v>0</v>
      </c>
      <c r="G59">
        <v>0</v>
      </c>
      <c r="H59">
        <v>1</v>
      </c>
      <c r="I59">
        <v>1</v>
      </c>
      <c r="J59">
        <v>8</v>
      </c>
      <c r="K59">
        <v>8</v>
      </c>
      <c r="L59" s="27">
        <v>46078.634004629632</v>
      </c>
    </row>
    <row r="60" spans="1:12" x14ac:dyDescent="0.25">
      <c r="A60" s="26">
        <v>46050</v>
      </c>
      <c r="B60">
        <v>1</v>
      </c>
      <c r="C60" t="s">
        <v>37</v>
      </c>
      <c r="D60">
        <v>5</v>
      </c>
      <c r="E60">
        <v>2</v>
      </c>
      <c r="F60">
        <v>0</v>
      </c>
      <c r="G60">
        <v>0</v>
      </c>
      <c r="H60">
        <v>0</v>
      </c>
      <c r="I60">
        <v>2</v>
      </c>
      <c r="J60">
        <v>8</v>
      </c>
      <c r="K60">
        <v>9</v>
      </c>
      <c r="L60" s="27">
        <v>46078.634016203701</v>
      </c>
    </row>
    <row r="61" spans="1:12" x14ac:dyDescent="0.25">
      <c r="A61" s="26">
        <v>46051</v>
      </c>
      <c r="B61">
        <v>1</v>
      </c>
      <c r="C61" t="s">
        <v>37</v>
      </c>
      <c r="D61">
        <v>4</v>
      </c>
      <c r="E61">
        <v>1</v>
      </c>
      <c r="F61">
        <v>0</v>
      </c>
      <c r="G61">
        <v>0</v>
      </c>
      <c r="H61">
        <v>1</v>
      </c>
      <c r="I61">
        <v>2</v>
      </c>
      <c r="J61">
        <v>9</v>
      </c>
      <c r="K61">
        <v>11</v>
      </c>
      <c r="L61" s="27">
        <v>46078.634027777778</v>
      </c>
    </row>
    <row r="62" spans="1:12" x14ac:dyDescent="0.25">
      <c r="A62" s="26">
        <v>46052</v>
      </c>
      <c r="B62">
        <v>1</v>
      </c>
      <c r="C62" t="s">
        <v>37</v>
      </c>
      <c r="D62">
        <v>2</v>
      </c>
      <c r="E62">
        <v>5</v>
      </c>
      <c r="F62">
        <v>0</v>
      </c>
      <c r="G62">
        <v>0</v>
      </c>
      <c r="H62">
        <v>1</v>
      </c>
      <c r="I62">
        <v>0</v>
      </c>
      <c r="J62">
        <v>11</v>
      </c>
      <c r="K62">
        <v>9</v>
      </c>
      <c r="L62" s="27">
        <v>46078.634027777778</v>
      </c>
    </row>
    <row r="63" spans="1:12" x14ac:dyDescent="0.25">
      <c r="A63" s="26">
        <v>46053</v>
      </c>
      <c r="B63">
        <v>1</v>
      </c>
      <c r="C63" t="s">
        <v>37</v>
      </c>
      <c r="D63">
        <v>5</v>
      </c>
      <c r="E63">
        <v>3</v>
      </c>
      <c r="F63">
        <v>0</v>
      </c>
      <c r="G63">
        <v>0</v>
      </c>
      <c r="H63">
        <v>1</v>
      </c>
      <c r="I63">
        <v>0</v>
      </c>
      <c r="J63">
        <v>9</v>
      </c>
      <c r="K63">
        <v>12</v>
      </c>
      <c r="L63" s="27">
        <v>46078.634039351855</v>
      </c>
    </row>
    <row r="64" spans="1:12" x14ac:dyDescent="0.25">
      <c r="A64" s="26">
        <v>46023</v>
      </c>
      <c r="B64">
        <v>1</v>
      </c>
      <c r="C64" t="s">
        <v>39</v>
      </c>
      <c r="D64">
        <v>3</v>
      </c>
      <c r="E64">
        <v>2</v>
      </c>
      <c r="F64">
        <v>0</v>
      </c>
      <c r="G64">
        <v>0</v>
      </c>
      <c r="H64">
        <v>1</v>
      </c>
      <c r="I64">
        <v>0</v>
      </c>
      <c r="J64">
        <v>12</v>
      </c>
      <c r="K64">
        <v>14</v>
      </c>
      <c r="L64" s="27">
        <v>46078.634050925924</v>
      </c>
    </row>
    <row r="65" spans="1:12" x14ac:dyDescent="0.25">
      <c r="A65" s="26">
        <v>46024</v>
      </c>
      <c r="B65">
        <v>1</v>
      </c>
      <c r="C65" t="s">
        <v>39</v>
      </c>
      <c r="D65">
        <v>5</v>
      </c>
      <c r="E65">
        <v>4</v>
      </c>
      <c r="F65">
        <v>0</v>
      </c>
      <c r="G65">
        <v>0</v>
      </c>
      <c r="H65">
        <v>0</v>
      </c>
      <c r="I65">
        <v>2</v>
      </c>
      <c r="J65">
        <v>14</v>
      </c>
      <c r="K65">
        <v>13</v>
      </c>
      <c r="L65" s="27">
        <v>46078.634050925924</v>
      </c>
    </row>
    <row r="66" spans="1:12" x14ac:dyDescent="0.25">
      <c r="A66" s="26">
        <v>46025</v>
      </c>
      <c r="B66">
        <v>1</v>
      </c>
      <c r="C66" t="s">
        <v>39</v>
      </c>
      <c r="D66">
        <v>3</v>
      </c>
      <c r="E66">
        <v>1</v>
      </c>
      <c r="F66">
        <v>0</v>
      </c>
      <c r="G66">
        <v>0</v>
      </c>
      <c r="H66">
        <v>1</v>
      </c>
      <c r="I66">
        <v>2</v>
      </c>
      <c r="J66">
        <v>13</v>
      </c>
      <c r="K66">
        <v>14</v>
      </c>
      <c r="L66" s="27">
        <v>46078.634062500001</v>
      </c>
    </row>
    <row r="67" spans="1:12" x14ac:dyDescent="0.25">
      <c r="A67" s="26">
        <v>46026</v>
      </c>
      <c r="B67">
        <v>1</v>
      </c>
      <c r="C67" t="s">
        <v>39</v>
      </c>
      <c r="D67">
        <v>1</v>
      </c>
      <c r="E67">
        <v>4</v>
      </c>
      <c r="F67">
        <v>0</v>
      </c>
      <c r="G67">
        <v>0</v>
      </c>
      <c r="H67">
        <v>0</v>
      </c>
      <c r="I67">
        <v>1</v>
      </c>
      <c r="J67">
        <v>14</v>
      </c>
      <c r="K67">
        <v>10</v>
      </c>
      <c r="L67" s="27">
        <v>46078.634074074071</v>
      </c>
    </row>
    <row r="68" spans="1:12" x14ac:dyDescent="0.25">
      <c r="A68" s="26">
        <v>46027</v>
      </c>
      <c r="B68">
        <v>1</v>
      </c>
      <c r="C68" t="s">
        <v>39</v>
      </c>
      <c r="D68">
        <v>5</v>
      </c>
      <c r="E68">
        <v>1</v>
      </c>
      <c r="F68">
        <v>0</v>
      </c>
      <c r="G68">
        <v>0</v>
      </c>
      <c r="H68">
        <v>1</v>
      </c>
      <c r="I68">
        <v>1</v>
      </c>
      <c r="J68">
        <v>10</v>
      </c>
      <c r="K68">
        <v>14</v>
      </c>
      <c r="L68" s="27">
        <v>46078.634074074071</v>
      </c>
    </row>
    <row r="69" spans="1:12" x14ac:dyDescent="0.25">
      <c r="A69" s="26">
        <v>46028</v>
      </c>
      <c r="B69">
        <v>1</v>
      </c>
      <c r="C69" t="s">
        <v>39</v>
      </c>
      <c r="D69">
        <v>2</v>
      </c>
      <c r="E69">
        <v>0</v>
      </c>
      <c r="F69">
        <v>0</v>
      </c>
      <c r="G69">
        <v>0</v>
      </c>
      <c r="H69">
        <v>2</v>
      </c>
      <c r="I69">
        <v>0</v>
      </c>
      <c r="J69">
        <v>14</v>
      </c>
      <c r="K69">
        <v>18</v>
      </c>
      <c r="L69" s="27">
        <v>46078.634085648147</v>
      </c>
    </row>
    <row r="70" spans="1:12" x14ac:dyDescent="0.25">
      <c r="A70" s="26">
        <v>46029</v>
      </c>
      <c r="B70">
        <v>1</v>
      </c>
      <c r="C70" t="s">
        <v>39</v>
      </c>
      <c r="D70">
        <v>3</v>
      </c>
      <c r="E70">
        <v>1</v>
      </c>
      <c r="F70">
        <v>0</v>
      </c>
      <c r="G70">
        <v>0</v>
      </c>
      <c r="H70">
        <v>1</v>
      </c>
      <c r="I70">
        <v>1</v>
      </c>
      <c r="J70">
        <v>18</v>
      </c>
      <c r="K70">
        <v>20</v>
      </c>
      <c r="L70" s="27">
        <v>46078.634097222224</v>
      </c>
    </row>
    <row r="71" spans="1:12" x14ac:dyDescent="0.25">
      <c r="A71" s="26">
        <v>46030</v>
      </c>
      <c r="B71">
        <v>1</v>
      </c>
      <c r="C71" t="s">
        <v>39</v>
      </c>
      <c r="D71">
        <v>2</v>
      </c>
      <c r="E71">
        <v>4</v>
      </c>
      <c r="F71">
        <v>0</v>
      </c>
      <c r="G71">
        <v>0</v>
      </c>
      <c r="H71">
        <v>1</v>
      </c>
      <c r="I71">
        <v>0</v>
      </c>
      <c r="J71">
        <v>20</v>
      </c>
      <c r="K71">
        <v>19</v>
      </c>
      <c r="L71" s="27">
        <v>46078.634097222224</v>
      </c>
    </row>
    <row r="72" spans="1:12" x14ac:dyDescent="0.25">
      <c r="A72" s="26">
        <v>46031</v>
      </c>
      <c r="B72">
        <v>1</v>
      </c>
      <c r="C72" t="s">
        <v>39</v>
      </c>
      <c r="D72">
        <v>1</v>
      </c>
      <c r="E72">
        <v>3</v>
      </c>
      <c r="F72">
        <v>0</v>
      </c>
      <c r="G72">
        <v>0</v>
      </c>
      <c r="H72">
        <v>2</v>
      </c>
      <c r="I72">
        <v>1</v>
      </c>
      <c r="J72">
        <v>19</v>
      </c>
      <c r="K72">
        <v>18</v>
      </c>
      <c r="L72" s="27">
        <v>46078.634108796294</v>
      </c>
    </row>
    <row r="73" spans="1:12" x14ac:dyDescent="0.25">
      <c r="A73" s="26">
        <v>46032</v>
      </c>
      <c r="B73">
        <v>1</v>
      </c>
      <c r="C73" t="s">
        <v>39</v>
      </c>
      <c r="D73">
        <v>4</v>
      </c>
      <c r="E73">
        <v>3</v>
      </c>
      <c r="F73">
        <v>0</v>
      </c>
      <c r="G73">
        <v>0</v>
      </c>
      <c r="H73">
        <v>1</v>
      </c>
      <c r="I73">
        <v>0</v>
      </c>
      <c r="J73">
        <v>18</v>
      </c>
      <c r="K73">
        <v>20</v>
      </c>
      <c r="L73" s="27">
        <v>46078.634108796294</v>
      </c>
    </row>
    <row r="74" spans="1:12" x14ac:dyDescent="0.25">
      <c r="A74" s="26">
        <v>46033</v>
      </c>
      <c r="B74">
        <v>1</v>
      </c>
      <c r="C74" t="s">
        <v>39</v>
      </c>
      <c r="D74">
        <v>3</v>
      </c>
      <c r="E74">
        <v>2</v>
      </c>
      <c r="F74">
        <v>0</v>
      </c>
      <c r="G74">
        <v>0</v>
      </c>
      <c r="H74">
        <v>1</v>
      </c>
      <c r="I74">
        <v>4</v>
      </c>
      <c r="J74">
        <v>20</v>
      </c>
      <c r="K74">
        <v>18</v>
      </c>
      <c r="L74" s="27">
        <v>46078.634120370371</v>
      </c>
    </row>
    <row r="75" spans="1:12" x14ac:dyDescent="0.25">
      <c r="A75" s="26">
        <v>46034</v>
      </c>
      <c r="B75">
        <v>1</v>
      </c>
      <c r="C75" t="s">
        <v>39</v>
      </c>
      <c r="D75">
        <v>3</v>
      </c>
      <c r="E75">
        <v>3</v>
      </c>
      <c r="F75">
        <v>0</v>
      </c>
      <c r="G75">
        <v>0</v>
      </c>
      <c r="H75">
        <v>3</v>
      </c>
      <c r="I75">
        <v>2</v>
      </c>
      <c r="J75">
        <v>18</v>
      </c>
      <c r="K75">
        <v>19</v>
      </c>
      <c r="L75" s="27">
        <v>46078.634131944447</v>
      </c>
    </row>
    <row r="76" spans="1:12" x14ac:dyDescent="0.25">
      <c r="A76" s="26">
        <v>46035</v>
      </c>
      <c r="B76">
        <v>1</v>
      </c>
      <c r="C76" t="s">
        <v>39</v>
      </c>
      <c r="D76">
        <v>4</v>
      </c>
      <c r="E76">
        <v>4</v>
      </c>
      <c r="F76">
        <v>0</v>
      </c>
      <c r="G76">
        <v>0</v>
      </c>
      <c r="H76">
        <v>0</v>
      </c>
      <c r="I76">
        <v>2</v>
      </c>
      <c r="J76">
        <v>19</v>
      </c>
      <c r="K76">
        <v>17</v>
      </c>
      <c r="L76" s="27">
        <v>46078.634131944447</v>
      </c>
    </row>
    <row r="77" spans="1:12" x14ac:dyDescent="0.25">
      <c r="A77" s="26">
        <v>46036</v>
      </c>
      <c r="B77">
        <v>1</v>
      </c>
      <c r="C77" t="s">
        <v>39</v>
      </c>
      <c r="D77">
        <v>1</v>
      </c>
      <c r="E77">
        <v>8</v>
      </c>
      <c r="F77">
        <v>0</v>
      </c>
      <c r="G77">
        <v>0</v>
      </c>
      <c r="H77">
        <v>2</v>
      </c>
      <c r="I77">
        <v>1</v>
      </c>
      <c r="J77">
        <v>17</v>
      </c>
      <c r="K77">
        <v>11</v>
      </c>
      <c r="L77" s="27">
        <v>46078.634143518517</v>
      </c>
    </row>
    <row r="78" spans="1:12" x14ac:dyDescent="0.25">
      <c r="A78" s="26">
        <v>46037</v>
      </c>
      <c r="B78">
        <v>1</v>
      </c>
      <c r="C78" t="s">
        <v>39</v>
      </c>
      <c r="D78">
        <v>2</v>
      </c>
      <c r="E78">
        <v>3</v>
      </c>
      <c r="F78">
        <v>0</v>
      </c>
      <c r="G78">
        <v>0</v>
      </c>
      <c r="H78">
        <v>1</v>
      </c>
      <c r="I78">
        <v>0</v>
      </c>
      <c r="J78">
        <v>11</v>
      </c>
      <c r="K78">
        <v>11</v>
      </c>
      <c r="L78" s="27">
        <v>46078.634155092594</v>
      </c>
    </row>
    <row r="79" spans="1:12" x14ac:dyDescent="0.25">
      <c r="A79" s="26">
        <v>46038</v>
      </c>
      <c r="B79">
        <v>1</v>
      </c>
      <c r="C79" t="s">
        <v>39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11</v>
      </c>
      <c r="K79">
        <v>11</v>
      </c>
      <c r="L79" s="27">
        <v>46078.634155092594</v>
      </c>
    </row>
    <row r="80" spans="1:12" x14ac:dyDescent="0.25">
      <c r="A80" s="26">
        <v>46039</v>
      </c>
      <c r="B80">
        <v>1</v>
      </c>
      <c r="C80" t="s">
        <v>39</v>
      </c>
      <c r="D80">
        <v>2</v>
      </c>
      <c r="E80">
        <v>6</v>
      </c>
      <c r="F80">
        <v>0</v>
      </c>
      <c r="G80">
        <v>0</v>
      </c>
      <c r="H80">
        <v>1</v>
      </c>
      <c r="I80">
        <v>0</v>
      </c>
      <c r="J80">
        <v>11</v>
      </c>
      <c r="K80">
        <v>8</v>
      </c>
      <c r="L80" s="27">
        <v>46078.634166666663</v>
      </c>
    </row>
    <row r="81" spans="1:12" x14ac:dyDescent="0.25">
      <c r="A81" s="26">
        <v>46040</v>
      </c>
      <c r="B81">
        <v>1</v>
      </c>
      <c r="C81" t="s">
        <v>39</v>
      </c>
      <c r="D81">
        <v>2</v>
      </c>
      <c r="E81">
        <v>1</v>
      </c>
      <c r="F81">
        <v>0</v>
      </c>
      <c r="G81">
        <v>0</v>
      </c>
      <c r="H81">
        <v>0</v>
      </c>
      <c r="I81">
        <v>1</v>
      </c>
      <c r="J81">
        <v>8</v>
      </c>
      <c r="K81">
        <v>8</v>
      </c>
      <c r="L81" s="27">
        <v>46078.63417824074</v>
      </c>
    </row>
    <row r="82" spans="1:12" x14ac:dyDescent="0.25">
      <c r="A82" s="26">
        <v>46041</v>
      </c>
      <c r="B82">
        <v>1</v>
      </c>
      <c r="C82" t="s">
        <v>39</v>
      </c>
      <c r="D82">
        <v>3</v>
      </c>
      <c r="E82">
        <v>3</v>
      </c>
      <c r="F82">
        <v>0</v>
      </c>
      <c r="G82">
        <v>0</v>
      </c>
      <c r="H82">
        <v>0</v>
      </c>
      <c r="I82">
        <v>0</v>
      </c>
      <c r="J82">
        <v>8</v>
      </c>
      <c r="K82">
        <v>8</v>
      </c>
      <c r="L82" s="27">
        <v>46078.63417824074</v>
      </c>
    </row>
    <row r="83" spans="1:12" x14ac:dyDescent="0.25">
      <c r="A83" s="26">
        <v>46042</v>
      </c>
      <c r="B83">
        <v>1</v>
      </c>
      <c r="C83" t="s">
        <v>39</v>
      </c>
      <c r="D83">
        <v>2</v>
      </c>
      <c r="E83">
        <v>2</v>
      </c>
      <c r="F83">
        <v>0</v>
      </c>
      <c r="G83">
        <v>0</v>
      </c>
      <c r="H83">
        <v>0</v>
      </c>
      <c r="I83">
        <v>1</v>
      </c>
      <c r="J83">
        <v>8</v>
      </c>
      <c r="K83">
        <v>7</v>
      </c>
      <c r="L83" s="27">
        <v>46078.634189814817</v>
      </c>
    </row>
    <row r="84" spans="1:12" x14ac:dyDescent="0.25">
      <c r="A84" s="26">
        <v>46043</v>
      </c>
      <c r="B84">
        <v>1</v>
      </c>
      <c r="C84" t="s">
        <v>39</v>
      </c>
      <c r="D84">
        <v>1</v>
      </c>
      <c r="E84">
        <v>2</v>
      </c>
      <c r="F84">
        <v>0</v>
      </c>
      <c r="G84">
        <v>0</v>
      </c>
      <c r="H84">
        <v>0</v>
      </c>
      <c r="I84">
        <v>1</v>
      </c>
      <c r="J84">
        <v>7</v>
      </c>
      <c r="K84">
        <v>5</v>
      </c>
      <c r="L84" s="27">
        <v>46078.634201388886</v>
      </c>
    </row>
    <row r="85" spans="1:12" x14ac:dyDescent="0.25">
      <c r="A85" s="26">
        <v>46044</v>
      </c>
      <c r="B85">
        <v>1</v>
      </c>
      <c r="C85" t="s">
        <v>39</v>
      </c>
      <c r="D85">
        <v>2</v>
      </c>
      <c r="E85">
        <v>4</v>
      </c>
      <c r="F85">
        <v>0</v>
      </c>
      <c r="G85">
        <v>0</v>
      </c>
      <c r="H85">
        <v>3</v>
      </c>
      <c r="I85">
        <v>0</v>
      </c>
      <c r="J85">
        <v>5</v>
      </c>
      <c r="K85">
        <v>6</v>
      </c>
      <c r="L85" s="27">
        <v>46078.634201388886</v>
      </c>
    </row>
    <row r="86" spans="1:12" x14ac:dyDescent="0.25">
      <c r="A86" s="26">
        <v>46045</v>
      </c>
      <c r="B86">
        <v>1</v>
      </c>
      <c r="C86" t="s">
        <v>39</v>
      </c>
      <c r="D86">
        <v>2</v>
      </c>
      <c r="E86">
        <v>3</v>
      </c>
      <c r="F86">
        <v>0</v>
      </c>
      <c r="G86">
        <v>0</v>
      </c>
      <c r="H86">
        <v>1</v>
      </c>
      <c r="I86">
        <v>0</v>
      </c>
      <c r="J86">
        <v>6</v>
      </c>
      <c r="K86">
        <v>6</v>
      </c>
      <c r="L86" s="27">
        <v>46078.634212962963</v>
      </c>
    </row>
    <row r="87" spans="1:12" x14ac:dyDescent="0.25">
      <c r="A87" s="26">
        <v>46046</v>
      </c>
      <c r="B87">
        <v>1</v>
      </c>
      <c r="C87" t="s">
        <v>39</v>
      </c>
      <c r="D87">
        <v>1</v>
      </c>
      <c r="E87">
        <v>2</v>
      </c>
      <c r="F87">
        <v>0</v>
      </c>
      <c r="G87">
        <v>0</v>
      </c>
      <c r="H87">
        <v>1</v>
      </c>
      <c r="I87">
        <v>0</v>
      </c>
      <c r="J87">
        <v>6</v>
      </c>
      <c r="K87">
        <v>6</v>
      </c>
      <c r="L87" s="27">
        <v>46078.634212962963</v>
      </c>
    </row>
    <row r="88" spans="1:12" x14ac:dyDescent="0.25">
      <c r="A88" s="26">
        <v>46047</v>
      </c>
      <c r="B88">
        <v>1</v>
      </c>
      <c r="C88" t="s">
        <v>39</v>
      </c>
      <c r="D88">
        <v>1</v>
      </c>
      <c r="E88">
        <v>2</v>
      </c>
      <c r="F88">
        <v>0</v>
      </c>
      <c r="G88">
        <v>0</v>
      </c>
      <c r="H88">
        <v>0</v>
      </c>
      <c r="I88">
        <v>2</v>
      </c>
      <c r="J88">
        <v>6</v>
      </c>
      <c r="K88">
        <v>3</v>
      </c>
      <c r="L88" s="27">
        <v>46078.63422453704</v>
      </c>
    </row>
    <row r="89" spans="1:12" x14ac:dyDescent="0.25">
      <c r="A89" s="26">
        <v>46048</v>
      </c>
      <c r="B89">
        <v>1</v>
      </c>
      <c r="C89" t="s">
        <v>39</v>
      </c>
      <c r="D89">
        <v>3</v>
      </c>
      <c r="E89">
        <v>0</v>
      </c>
      <c r="F89">
        <v>0</v>
      </c>
      <c r="G89">
        <v>0</v>
      </c>
      <c r="H89">
        <v>0</v>
      </c>
      <c r="I89">
        <v>0</v>
      </c>
      <c r="J89">
        <v>3</v>
      </c>
      <c r="K89">
        <v>6</v>
      </c>
      <c r="L89" s="27">
        <v>46078.634236111109</v>
      </c>
    </row>
    <row r="90" spans="1:12" x14ac:dyDescent="0.25">
      <c r="A90" s="26">
        <v>46049</v>
      </c>
      <c r="B90">
        <v>1</v>
      </c>
      <c r="C90" t="s">
        <v>39</v>
      </c>
      <c r="D90">
        <v>5</v>
      </c>
      <c r="E90">
        <v>1</v>
      </c>
      <c r="F90">
        <v>0</v>
      </c>
      <c r="G90">
        <v>0</v>
      </c>
      <c r="H90">
        <v>1</v>
      </c>
      <c r="I90">
        <v>1</v>
      </c>
      <c r="J90">
        <v>6</v>
      </c>
      <c r="K90">
        <v>10</v>
      </c>
      <c r="L90" s="27">
        <v>46078.634236111109</v>
      </c>
    </row>
    <row r="91" spans="1:12" x14ac:dyDescent="0.25">
      <c r="A91" s="26">
        <v>46050</v>
      </c>
      <c r="B91">
        <v>1</v>
      </c>
      <c r="C91" t="s">
        <v>39</v>
      </c>
      <c r="D91">
        <v>3</v>
      </c>
      <c r="E91">
        <v>1</v>
      </c>
      <c r="F91">
        <v>0</v>
      </c>
      <c r="G91">
        <v>0</v>
      </c>
      <c r="H91">
        <v>2</v>
      </c>
      <c r="I91">
        <v>0</v>
      </c>
      <c r="J91">
        <v>10</v>
      </c>
      <c r="K91">
        <v>14</v>
      </c>
      <c r="L91" s="27">
        <v>46078.634247685186</v>
      </c>
    </row>
    <row r="92" spans="1:12" x14ac:dyDescent="0.25">
      <c r="A92" s="26">
        <v>46051</v>
      </c>
      <c r="B92">
        <v>1</v>
      </c>
      <c r="C92" t="s">
        <v>39</v>
      </c>
      <c r="D92">
        <v>1</v>
      </c>
      <c r="E92">
        <v>3</v>
      </c>
      <c r="F92">
        <v>0</v>
      </c>
      <c r="G92">
        <v>0</v>
      </c>
      <c r="H92">
        <v>2</v>
      </c>
      <c r="I92">
        <v>1</v>
      </c>
      <c r="J92">
        <v>14</v>
      </c>
      <c r="K92">
        <v>13</v>
      </c>
      <c r="L92" s="27">
        <v>46078.634259259263</v>
      </c>
    </row>
    <row r="93" spans="1:12" x14ac:dyDescent="0.25">
      <c r="A93" s="26">
        <v>46052</v>
      </c>
      <c r="B93">
        <v>1</v>
      </c>
      <c r="C93" t="s">
        <v>39</v>
      </c>
      <c r="D93">
        <v>3</v>
      </c>
      <c r="E93">
        <v>0</v>
      </c>
      <c r="F93">
        <v>0</v>
      </c>
      <c r="G93">
        <v>0</v>
      </c>
      <c r="H93">
        <v>0</v>
      </c>
      <c r="I93">
        <v>1</v>
      </c>
      <c r="J93">
        <v>13</v>
      </c>
      <c r="K93">
        <v>15</v>
      </c>
      <c r="L93" s="27">
        <v>46078.634259259263</v>
      </c>
    </row>
    <row r="94" spans="1:12" x14ac:dyDescent="0.25">
      <c r="A94" s="26">
        <v>46053</v>
      </c>
      <c r="B94">
        <v>1</v>
      </c>
      <c r="C94" t="s">
        <v>39</v>
      </c>
      <c r="D94">
        <v>0</v>
      </c>
      <c r="E94">
        <v>7</v>
      </c>
      <c r="F94">
        <v>0</v>
      </c>
      <c r="G94">
        <v>0</v>
      </c>
      <c r="H94">
        <v>0</v>
      </c>
      <c r="I94">
        <v>1</v>
      </c>
      <c r="J94">
        <v>15</v>
      </c>
      <c r="K94">
        <v>7</v>
      </c>
      <c r="L94" s="27">
        <v>46078.634270833332</v>
      </c>
    </row>
    <row r="95" spans="1:12" x14ac:dyDescent="0.25">
      <c r="A95" s="26">
        <v>46023</v>
      </c>
      <c r="B95">
        <v>1</v>
      </c>
      <c r="C95" t="s">
        <v>33</v>
      </c>
      <c r="D95">
        <v>1</v>
      </c>
      <c r="E95">
        <v>3</v>
      </c>
      <c r="F95">
        <v>0</v>
      </c>
      <c r="G95">
        <v>0</v>
      </c>
      <c r="H95">
        <v>0</v>
      </c>
      <c r="I95">
        <v>0</v>
      </c>
      <c r="J95">
        <v>7</v>
      </c>
      <c r="K95">
        <v>5</v>
      </c>
      <c r="L95" s="27">
        <v>46078.634282407409</v>
      </c>
    </row>
    <row r="96" spans="1:12" x14ac:dyDescent="0.25">
      <c r="A96" s="26">
        <v>46024</v>
      </c>
      <c r="B96">
        <v>1</v>
      </c>
      <c r="C96" t="s">
        <v>33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5</v>
      </c>
      <c r="K96">
        <v>5</v>
      </c>
      <c r="L96" s="27">
        <v>46078.634282407409</v>
      </c>
    </row>
    <row r="97" spans="1:12" x14ac:dyDescent="0.25">
      <c r="A97" s="26">
        <v>46025</v>
      </c>
      <c r="B97">
        <v>1</v>
      </c>
      <c r="C97" t="s">
        <v>33</v>
      </c>
      <c r="D97">
        <v>3</v>
      </c>
      <c r="E97">
        <v>0</v>
      </c>
      <c r="F97">
        <v>0</v>
      </c>
      <c r="G97">
        <v>0</v>
      </c>
      <c r="H97">
        <v>0</v>
      </c>
      <c r="I97">
        <v>0</v>
      </c>
      <c r="J97">
        <v>5</v>
      </c>
      <c r="K97">
        <v>8</v>
      </c>
      <c r="L97" s="27">
        <v>46078.634293981479</v>
      </c>
    </row>
    <row r="98" spans="1:12" x14ac:dyDescent="0.25">
      <c r="A98" s="26">
        <v>46026</v>
      </c>
      <c r="B98">
        <v>1</v>
      </c>
      <c r="C98" t="s">
        <v>33</v>
      </c>
      <c r="D98">
        <v>2</v>
      </c>
      <c r="E98">
        <v>0</v>
      </c>
      <c r="F98">
        <v>0</v>
      </c>
      <c r="G98">
        <v>0</v>
      </c>
      <c r="H98">
        <v>0</v>
      </c>
      <c r="I98">
        <v>0</v>
      </c>
      <c r="J98">
        <v>8</v>
      </c>
      <c r="K98">
        <v>10</v>
      </c>
      <c r="L98" s="27">
        <v>46078.634305555555</v>
      </c>
    </row>
    <row r="99" spans="1:12" x14ac:dyDescent="0.25">
      <c r="A99" s="26">
        <v>46027</v>
      </c>
      <c r="B99">
        <v>1</v>
      </c>
      <c r="C99" t="s">
        <v>33</v>
      </c>
      <c r="D99">
        <v>2</v>
      </c>
      <c r="E99">
        <v>2</v>
      </c>
      <c r="F99">
        <v>0</v>
      </c>
      <c r="G99">
        <v>0</v>
      </c>
      <c r="H99">
        <v>0</v>
      </c>
      <c r="I99">
        <v>0</v>
      </c>
      <c r="J99">
        <v>10</v>
      </c>
      <c r="K99">
        <v>10</v>
      </c>
      <c r="L99" s="27">
        <v>46078.634305555555</v>
      </c>
    </row>
    <row r="100" spans="1:12" x14ac:dyDescent="0.25">
      <c r="A100" s="26">
        <v>46028</v>
      </c>
      <c r="B100">
        <v>1</v>
      </c>
      <c r="C100" t="s">
        <v>33</v>
      </c>
      <c r="D100">
        <v>2</v>
      </c>
      <c r="E100">
        <v>3</v>
      </c>
      <c r="F100">
        <v>0</v>
      </c>
      <c r="G100">
        <v>0</v>
      </c>
      <c r="H100">
        <v>0</v>
      </c>
      <c r="I100">
        <v>0</v>
      </c>
      <c r="J100">
        <v>10</v>
      </c>
      <c r="K100">
        <v>9</v>
      </c>
      <c r="L100" s="27">
        <v>46078.634317129632</v>
      </c>
    </row>
    <row r="101" spans="1:12" x14ac:dyDescent="0.25">
      <c r="A101" s="26">
        <v>46029</v>
      </c>
      <c r="B101">
        <v>1</v>
      </c>
      <c r="C101" t="s">
        <v>33</v>
      </c>
      <c r="D101">
        <v>1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9</v>
      </c>
      <c r="L101" s="27">
        <v>46078.634328703702</v>
      </c>
    </row>
    <row r="102" spans="1:12" x14ac:dyDescent="0.25">
      <c r="A102" s="26">
        <v>46030</v>
      </c>
      <c r="B102">
        <v>1</v>
      </c>
      <c r="C102" t="s">
        <v>33</v>
      </c>
      <c r="D102">
        <v>0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9</v>
      </c>
      <c r="K102">
        <v>7</v>
      </c>
      <c r="L102" s="27">
        <v>46078.634328703702</v>
      </c>
    </row>
    <row r="103" spans="1:12" x14ac:dyDescent="0.25">
      <c r="A103" s="26">
        <v>46031</v>
      </c>
      <c r="B103">
        <v>1</v>
      </c>
      <c r="C103" t="s">
        <v>33</v>
      </c>
      <c r="D103">
        <v>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7</v>
      </c>
      <c r="K103">
        <v>9</v>
      </c>
      <c r="L103" s="27">
        <v>46078.634340277778</v>
      </c>
    </row>
    <row r="104" spans="1:12" x14ac:dyDescent="0.25">
      <c r="A104" s="26">
        <v>46032</v>
      </c>
      <c r="B104">
        <v>1</v>
      </c>
      <c r="C104" t="s">
        <v>33</v>
      </c>
      <c r="D104">
        <v>2</v>
      </c>
      <c r="E104">
        <v>2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27">
        <v>46078.634351851855</v>
      </c>
    </row>
    <row r="105" spans="1:12" x14ac:dyDescent="0.25">
      <c r="A105" s="26">
        <v>46033</v>
      </c>
      <c r="B105">
        <v>1</v>
      </c>
      <c r="C105" t="s">
        <v>33</v>
      </c>
      <c r="D105">
        <v>5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12</v>
      </c>
      <c r="L105" s="27">
        <v>46078.634351851855</v>
      </c>
    </row>
    <row r="106" spans="1:12" x14ac:dyDescent="0.25">
      <c r="A106" s="26">
        <v>46034</v>
      </c>
      <c r="B106">
        <v>1</v>
      </c>
      <c r="C106" t="s">
        <v>33</v>
      </c>
      <c r="D106">
        <v>4</v>
      </c>
      <c r="E106">
        <v>5</v>
      </c>
      <c r="F106">
        <v>0</v>
      </c>
      <c r="G106">
        <v>0</v>
      </c>
      <c r="H106">
        <v>1</v>
      </c>
      <c r="I106">
        <v>0</v>
      </c>
      <c r="J106">
        <v>12</v>
      </c>
      <c r="K106">
        <v>12</v>
      </c>
      <c r="L106" s="27">
        <v>46078.634363425925</v>
      </c>
    </row>
    <row r="107" spans="1:12" x14ac:dyDescent="0.25">
      <c r="A107" s="26">
        <v>46035</v>
      </c>
      <c r="B107">
        <v>1</v>
      </c>
      <c r="C107" t="s">
        <v>33</v>
      </c>
      <c r="D107">
        <v>3</v>
      </c>
      <c r="E107">
        <v>3</v>
      </c>
      <c r="F107">
        <v>0</v>
      </c>
      <c r="G107">
        <v>0</v>
      </c>
      <c r="H107">
        <v>0</v>
      </c>
      <c r="I107">
        <v>0</v>
      </c>
      <c r="J107">
        <v>12</v>
      </c>
      <c r="K107">
        <v>12</v>
      </c>
      <c r="L107" s="27">
        <v>46078.634375000001</v>
      </c>
    </row>
    <row r="108" spans="1:12" x14ac:dyDescent="0.25">
      <c r="A108" s="26">
        <v>46036</v>
      </c>
      <c r="B108">
        <v>1</v>
      </c>
      <c r="C108" t="s">
        <v>33</v>
      </c>
      <c r="D108">
        <v>6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12</v>
      </c>
      <c r="K108">
        <v>17</v>
      </c>
      <c r="L108" s="27">
        <v>46078.634375000001</v>
      </c>
    </row>
    <row r="109" spans="1:12" x14ac:dyDescent="0.25">
      <c r="A109" s="26">
        <v>46037</v>
      </c>
      <c r="B109">
        <v>1</v>
      </c>
      <c r="C109" t="s">
        <v>33</v>
      </c>
      <c r="D109">
        <v>3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17</v>
      </c>
      <c r="K109">
        <v>16</v>
      </c>
      <c r="L109" s="27">
        <v>46078.634386574071</v>
      </c>
    </row>
    <row r="110" spans="1:12" x14ac:dyDescent="0.25">
      <c r="A110" s="26">
        <v>46038</v>
      </c>
      <c r="B110">
        <v>1</v>
      </c>
      <c r="C110" t="s">
        <v>33</v>
      </c>
      <c r="D110">
        <v>5</v>
      </c>
      <c r="E110">
        <v>5</v>
      </c>
      <c r="F110">
        <v>0</v>
      </c>
      <c r="G110">
        <v>0</v>
      </c>
      <c r="H110">
        <v>0</v>
      </c>
      <c r="I110">
        <v>0</v>
      </c>
      <c r="J110">
        <v>16</v>
      </c>
      <c r="K110">
        <v>16</v>
      </c>
      <c r="L110" s="27">
        <v>46078.634398148148</v>
      </c>
    </row>
    <row r="111" spans="1:12" x14ac:dyDescent="0.25">
      <c r="A111" s="26">
        <v>46039</v>
      </c>
      <c r="B111">
        <v>1</v>
      </c>
      <c r="C111" t="s">
        <v>33</v>
      </c>
      <c r="D111">
        <v>3</v>
      </c>
      <c r="E111">
        <v>2</v>
      </c>
      <c r="F111">
        <v>0</v>
      </c>
      <c r="G111">
        <v>0</v>
      </c>
      <c r="H111">
        <v>0</v>
      </c>
      <c r="I111">
        <v>0</v>
      </c>
      <c r="J111">
        <v>16</v>
      </c>
      <c r="K111">
        <v>17</v>
      </c>
      <c r="L111" s="27">
        <v>46078.634398148148</v>
      </c>
    </row>
    <row r="112" spans="1:12" x14ac:dyDescent="0.25">
      <c r="A112" s="26">
        <v>46040</v>
      </c>
      <c r="B112">
        <v>1</v>
      </c>
      <c r="C112" t="s">
        <v>33</v>
      </c>
      <c r="D112">
        <v>2</v>
      </c>
      <c r="E112">
        <v>1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19</v>
      </c>
      <c r="L112" s="27">
        <v>46078.634409722225</v>
      </c>
    </row>
    <row r="113" spans="1:12" x14ac:dyDescent="0.25">
      <c r="A113" s="26">
        <v>46041</v>
      </c>
      <c r="B113">
        <v>1</v>
      </c>
      <c r="C113" t="s">
        <v>33</v>
      </c>
      <c r="D113">
        <v>2</v>
      </c>
      <c r="E113">
        <v>12</v>
      </c>
      <c r="F113">
        <v>0</v>
      </c>
      <c r="G113">
        <v>0</v>
      </c>
      <c r="H113">
        <v>0</v>
      </c>
      <c r="I113">
        <v>0</v>
      </c>
      <c r="J113">
        <v>19</v>
      </c>
      <c r="K113">
        <v>9</v>
      </c>
      <c r="L113" s="27">
        <v>46078.634421296294</v>
      </c>
    </row>
    <row r="114" spans="1:12" x14ac:dyDescent="0.25">
      <c r="A114" s="26">
        <v>46042</v>
      </c>
      <c r="B114">
        <v>1</v>
      </c>
      <c r="C114" t="s">
        <v>33</v>
      </c>
      <c r="D114">
        <v>0</v>
      </c>
      <c r="E114">
        <v>3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6</v>
      </c>
      <c r="L114" s="27">
        <v>46078.634421296294</v>
      </c>
    </row>
    <row r="115" spans="1:12" x14ac:dyDescent="0.25">
      <c r="A115" s="26">
        <v>46043</v>
      </c>
      <c r="B115">
        <v>1</v>
      </c>
      <c r="C115" t="s">
        <v>33</v>
      </c>
      <c r="D115">
        <v>1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6</v>
      </c>
      <c r="K115">
        <v>6</v>
      </c>
      <c r="L115" s="27">
        <v>46078.634432870371</v>
      </c>
    </row>
    <row r="116" spans="1:12" x14ac:dyDescent="0.25">
      <c r="A116" s="26">
        <v>46044</v>
      </c>
      <c r="B116">
        <v>1</v>
      </c>
      <c r="C116" t="s">
        <v>33</v>
      </c>
      <c r="D116">
        <v>5</v>
      </c>
      <c r="E116">
        <v>2</v>
      </c>
      <c r="F116">
        <v>0</v>
      </c>
      <c r="G116">
        <v>0</v>
      </c>
      <c r="H116">
        <v>0</v>
      </c>
      <c r="I116">
        <v>0</v>
      </c>
      <c r="J116">
        <v>6</v>
      </c>
      <c r="K116">
        <v>9</v>
      </c>
      <c r="L116" s="27">
        <v>46078.634444444448</v>
      </c>
    </row>
    <row r="117" spans="1:12" x14ac:dyDescent="0.25">
      <c r="A117" s="26">
        <v>46045</v>
      </c>
      <c r="B117">
        <v>1</v>
      </c>
      <c r="C117" t="s">
        <v>33</v>
      </c>
      <c r="D117">
        <v>4</v>
      </c>
      <c r="E117">
        <v>8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5</v>
      </c>
      <c r="L117" s="27">
        <v>46078.634444444448</v>
      </c>
    </row>
    <row r="118" spans="1:12" x14ac:dyDescent="0.25">
      <c r="A118" s="26">
        <v>46046</v>
      </c>
      <c r="B118">
        <v>1</v>
      </c>
      <c r="C118" t="s">
        <v>33</v>
      </c>
      <c r="D118">
        <v>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5</v>
      </c>
      <c r="K118">
        <v>6</v>
      </c>
      <c r="L118" s="27">
        <v>46078.634456018517</v>
      </c>
    </row>
    <row r="119" spans="1:12" x14ac:dyDescent="0.25">
      <c r="A119" s="26">
        <v>46047</v>
      </c>
      <c r="B119">
        <v>1</v>
      </c>
      <c r="C119" t="s">
        <v>33</v>
      </c>
      <c r="D119">
        <v>4</v>
      </c>
      <c r="E119">
        <v>3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7</v>
      </c>
      <c r="L119" s="27">
        <v>46078.634467592594</v>
      </c>
    </row>
    <row r="120" spans="1:12" x14ac:dyDescent="0.25">
      <c r="A120" s="26">
        <v>46048</v>
      </c>
      <c r="B120">
        <v>1</v>
      </c>
      <c r="C120" t="s">
        <v>33</v>
      </c>
      <c r="D120">
        <v>1</v>
      </c>
      <c r="E120">
        <v>2</v>
      </c>
      <c r="F120">
        <v>0</v>
      </c>
      <c r="G120">
        <v>0</v>
      </c>
      <c r="H120">
        <v>1</v>
      </c>
      <c r="I120">
        <v>0</v>
      </c>
      <c r="J120">
        <v>7</v>
      </c>
      <c r="K120">
        <v>7</v>
      </c>
      <c r="L120" s="27">
        <v>46078.634467592594</v>
      </c>
    </row>
    <row r="121" spans="1:12" x14ac:dyDescent="0.25">
      <c r="A121" s="26">
        <v>46049</v>
      </c>
      <c r="B121">
        <v>1</v>
      </c>
      <c r="C121" t="s">
        <v>33</v>
      </c>
      <c r="D121">
        <v>2</v>
      </c>
      <c r="E121">
        <v>3</v>
      </c>
      <c r="F121">
        <v>0</v>
      </c>
      <c r="G121">
        <v>0</v>
      </c>
      <c r="H121">
        <v>0</v>
      </c>
      <c r="I121">
        <v>0</v>
      </c>
      <c r="J121">
        <v>7</v>
      </c>
      <c r="K121">
        <v>6</v>
      </c>
      <c r="L121" s="27">
        <v>46078.634479166663</v>
      </c>
    </row>
    <row r="122" spans="1:12" x14ac:dyDescent="0.25">
      <c r="A122" s="26">
        <v>46050</v>
      </c>
      <c r="B122">
        <v>1</v>
      </c>
      <c r="C122" t="s">
        <v>33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27">
        <v>46078.63449074074</v>
      </c>
    </row>
    <row r="123" spans="1:12" x14ac:dyDescent="0.25">
      <c r="A123" s="26">
        <v>46051</v>
      </c>
      <c r="B123">
        <v>1</v>
      </c>
      <c r="C123" t="s">
        <v>33</v>
      </c>
      <c r="D123">
        <v>2</v>
      </c>
      <c r="E123">
        <v>2</v>
      </c>
      <c r="F123">
        <v>0</v>
      </c>
      <c r="G123">
        <v>0</v>
      </c>
      <c r="H123">
        <v>0</v>
      </c>
      <c r="I123">
        <v>0</v>
      </c>
      <c r="J123">
        <v>7</v>
      </c>
      <c r="K123">
        <v>7</v>
      </c>
      <c r="L123" s="27">
        <v>46078.63449074074</v>
      </c>
    </row>
    <row r="124" spans="1:12" x14ac:dyDescent="0.25">
      <c r="A124" s="26">
        <v>46052</v>
      </c>
      <c r="B124">
        <v>1</v>
      </c>
      <c r="C124" t="s">
        <v>33</v>
      </c>
      <c r="D124">
        <v>4</v>
      </c>
      <c r="E124">
        <v>4</v>
      </c>
      <c r="F124">
        <v>0</v>
      </c>
      <c r="G124">
        <v>0</v>
      </c>
      <c r="H124">
        <v>1</v>
      </c>
      <c r="I124">
        <v>0</v>
      </c>
      <c r="J124">
        <v>7</v>
      </c>
      <c r="K124">
        <v>8</v>
      </c>
      <c r="L124" s="27">
        <v>46078.634502314817</v>
      </c>
    </row>
    <row r="125" spans="1:12" x14ac:dyDescent="0.25">
      <c r="A125" s="26">
        <v>46053</v>
      </c>
      <c r="B125">
        <v>1</v>
      </c>
      <c r="C125" t="s">
        <v>33</v>
      </c>
      <c r="D125">
        <v>5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8</v>
      </c>
      <c r="K125">
        <v>12</v>
      </c>
      <c r="L125" s="27">
        <v>46078.634502314817</v>
      </c>
    </row>
    <row r="126" spans="1:12" x14ac:dyDescent="0.25">
      <c r="A126" s="26">
        <v>46023</v>
      </c>
      <c r="B126">
        <v>1</v>
      </c>
      <c r="C126" t="s">
        <v>45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1</v>
      </c>
      <c r="J126">
        <v>1</v>
      </c>
      <c r="K126">
        <v>0</v>
      </c>
      <c r="L126" s="27">
        <v>46078.634513888886</v>
      </c>
    </row>
    <row r="127" spans="1:12" x14ac:dyDescent="0.25">
      <c r="A127" s="26">
        <v>46024</v>
      </c>
      <c r="B127">
        <v>1</v>
      </c>
      <c r="C127" t="s">
        <v>45</v>
      </c>
      <c r="D127">
        <v>1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</v>
      </c>
      <c r="L127" s="27">
        <v>46078.634525462963</v>
      </c>
    </row>
    <row r="128" spans="1:12" x14ac:dyDescent="0.25">
      <c r="A128" s="26">
        <v>46025</v>
      </c>
      <c r="B128">
        <v>1</v>
      </c>
      <c r="C128" t="s">
        <v>45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1</v>
      </c>
      <c r="K128">
        <v>0</v>
      </c>
      <c r="L128" s="27">
        <v>46078.634525462963</v>
      </c>
    </row>
    <row r="129" spans="1:12" x14ac:dyDescent="0.25">
      <c r="A129" s="26">
        <v>46027</v>
      </c>
      <c r="B129">
        <v>1</v>
      </c>
      <c r="C129" t="s">
        <v>45</v>
      </c>
      <c r="D129">
        <v>4</v>
      </c>
      <c r="E129">
        <v>0</v>
      </c>
      <c r="F129">
        <v>0</v>
      </c>
      <c r="G129">
        <v>0</v>
      </c>
      <c r="H129">
        <v>0</v>
      </c>
      <c r="I129">
        <v>3</v>
      </c>
      <c r="J129">
        <v>0</v>
      </c>
      <c r="K129">
        <v>1</v>
      </c>
      <c r="L129" s="27">
        <v>46078.63453703704</v>
      </c>
    </row>
    <row r="130" spans="1:12" x14ac:dyDescent="0.25">
      <c r="A130" s="26">
        <v>46028</v>
      </c>
      <c r="B130">
        <v>1</v>
      </c>
      <c r="C130" t="s">
        <v>45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2</v>
      </c>
      <c r="L130" s="27">
        <v>46078.634548611109</v>
      </c>
    </row>
    <row r="131" spans="1:12" x14ac:dyDescent="0.25">
      <c r="A131" s="26">
        <v>46029</v>
      </c>
      <c r="B131">
        <v>1</v>
      </c>
      <c r="C131" t="s">
        <v>45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2</v>
      </c>
      <c r="K131">
        <v>2</v>
      </c>
      <c r="L131" s="27">
        <v>46078.634548611109</v>
      </c>
    </row>
    <row r="132" spans="1:12" x14ac:dyDescent="0.25">
      <c r="A132" s="26">
        <v>46030</v>
      </c>
      <c r="B132">
        <v>1</v>
      </c>
      <c r="C132" t="s">
        <v>45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2</v>
      </c>
      <c r="J132">
        <v>2</v>
      </c>
      <c r="K132">
        <v>0</v>
      </c>
      <c r="L132" s="27">
        <v>46078.634560185186</v>
      </c>
    </row>
    <row r="133" spans="1:12" x14ac:dyDescent="0.25">
      <c r="A133" s="26">
        <v>46031</v>
      </c>
      <c r="B133">
        <v>1</v>
      </c>
      <c r="C133" t="s">
        <v>45</v>
      </c>
      <c r="D133">
        <v>1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 s="27">
        <v>46078.634571759256</v>
      </c>
    </row>
    <row r="134" spans="1:12" x14ac:dyDescent="0.25">
      <c r="A134" s="26">
        <v>46032</v>
      </c>
      <c r="B134">
        <v>1</v>
      </c>
      <c r="C134" t="s">
        <v>45</v>
      </c>
      <c r="D134">
        <v>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4</v>
      </c>
      <c r="L134" s="27">
        <v>46078.634571759256</v>
      </c>
    </row>
    <row r="135" spans="1:12" x14ac:dyDescent="0.25">
      <c r="A135" s="26">
        <v>46033</v>
      </c>
      <c r="B135">
        <v>1</v>
      </c>
      <c r="C135" t="s">
        <v>45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4</v>
      </c>
      <c r="K135">
        <v>2</v>
      </c>
      <c r="L135" s="27">
        <v>46078.634583333333</v>
      </c>
    </row>
    <row r="136" spans="1:12" x14ac:dyDescent="0.25">
      <c r="A136" s="26">
        <v>46034</v>
      </c>
      <c r="B136">
        <v>1</v>
      </c>
      <c r="C136" t="s">
        <v>45</v>
      </c>
      <c r="D136">
        <v>0</v>
      </c>
      <c r="E136">
        <v>2</v>
      </c>
      <c r="F136">
        <v>0</v>
      </c>
      <c r="G136">
        <v>0</v>
      </c>
      <c r="H136">
        <v>0</v>
      </c>
      <c r="I136">
        <v>0</v>
      </c>
      <c r="J136">
        <v>2</v>
      </c>
      <c r="K136">
        <v>0</v>
      </c>
      <c r="L136" s="27">
        <v>46078.634594907409</v>
      </c>
    </row>
    <row r="137" spans="1:12" x14ac:dyDescent="0.25">
      <c r="A137" s="26">
        <v>46035</v>
      </c>
      <c r="B137">
        <v>1</v>
      </c>
      <c r="C137" t="s">
        <v>45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27">
        <v>46078.634594907409</v>
      </c>
    </row>
    <row r="138" spans="1:12" x14ac:dyDescent="0.25">
      <c r="A138" s="26">
        <v>46036</v>
      </c>
      <c r="B138">
        <v>1</v>
      </c>
      <c r="C138" t="s">
        <v>45</v>
      </c>
      <c r="D138">
        <v>4</v>
      </c>
      <c r="E138">
        <v>2</v>
      </c>
      <c r="F138">
        <v>0</v>
      </c>
      <c r="G138">
        <v>0</v>
      </c>
      <c r="H138">
        <v>0</v>
      </c>
      <c r="I138">
        <v>1</v>
      </c>
      <c r="J138">
        <v>1</v>
      </c>
      <c r="K138">
        <v>2</v>
      </c>
      <c r="L138" s="27">
        <v>46078.634606481479</v>
      </c>
    </row>
    <row r="139" spans="1:12" x14ac:dyDescent="0.25">
      <c r="A139" s="26">
        <v>46037</v>
      </c>
      <c r="B139">
        <v>1</v>
      </c>
      <c r="C139" t="s">
        <v>45</v>
      </c>
      <c r="D139">
        <v>3</v>
      </c>
      <c r="E139">
        <v>2</v>
      </c>
      <c r="F139">
        <v>0</v>
      </c>
      <c r="G139">
        <v>0</v>
      </c>
      <c r="H139">
        <v>0</v>
      </c>
      <c r="I139">
        <v>2</v>
      </c>
      <c r="J139">
        <v>2</v>
      </c>
      <c r="K139">
        <v>1</v>
      </c>
      <c r="L139" s="27">
        <v>46078.634618055556</v>
      </c>
    </row>
    <row r="140" spans="1:12" x14ac:dyDescent="0.25">
      <c r="A140" s="26">
        <v>46038</v>
      </c>
      <c r="B140">
        <v>1</v>
      </c>
      <c r="C140" t="s">
        <v>45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2</v>
      </c>
      <c r="J140">
        <v>1</v>
      </c>
      <c r="K140">
        <v>0</v>
      </c>
      <c r="L140" s="27">
        <v>46078.634618055556</v>
      </c>
    </row>
    <row r="141" spans="1:12" x14ac:dyDescent="0.25">
      <c r="A141" s="26">
        <v>46039</v>
      </c>
      <c r="B141">
        <v>1</v>
      </c>
      <c r="C141" t="s">
        <v>45</v>
      </c>
      <c r="D141">
        <v>3</v>
      </c>
      <c r="E141">
        <v>0</v>
      </c>
      <c r="F141">
        <v>0</v>
      </c>
      <c r="G141">
        <v>0</v>
      </c>
      <c r="H141">
        <v>0</v>
      </c>
      <c r="I141">
        <v>2</v>
      </c>
      <c r="J141">
        <v>0</v>
      </c>
      <c r="K141">
        <v>1</v>
      </c>
      <c r="L141" s="27">
        <v>46078.634629629632</v>
      </c>
    </row>
    <row r="142" spans="1:12" x14ac:dyDescent="0.25">
      <c r="A142" s="26">
        <v>46040</v>
      </c>
      <c r="B142">
        <v>1</v>
      </c>
      <c r="C142" t="s">
        <v>45</v>
      </c>
      <c r="D142">
        <v>4</v>
      </c>
      <c r="E142">
        <v>0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4</v>
      </c>
      <c r="L142" s="27">
        <v>46078.634641203702</v>
      </c>
    </row>
    <row r="143" spans="1:12" x14ac:dyDescent="0.25">
      <c r="A143" s="26">
        <v>46041</v>
      </c>
      <c r="B143">
        <v>1</v>
      </c>
      <c r="C143" t="s">
        <v>45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1</v>
      </c>
      <c r="J143">
        <v>4</v>
      </c>
      <c r="K143">
        <v>3</v>
      </c>
      <c r="L143" s="27">
        <v>46078.634641203702</v>
      </c>
    </row>
    <row r="144" spans="1:12" x14ac:dyDescent="0.25">
      <c r="A144" s="26">
        <v>46042</v>
      </c>
      <c r="B144">
        <v>1</v>
      </c>
      <c r="C144" t="s">
        <v>45</v>
      </c>
      <c r="D144">
        <v>1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3</v>
      </c>
      <c r="K144">
        <v>3</v>
      </c>
      <c r="L144" s="27">
        <v>46078.634652777779</v>
      </c>
    </row>
    <row r="145" spans="1:12" x14ac:dyDescent="0.25">
      <c r="A145" s="26">
        <v>46043</v>
      </c>
      <c r="B145">
        <v>1</v>
      </c>
      <c r="C145" t="s">
        <v>45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1</v>
      </c>
      <c r="J145">
        <v>3</v>
      </c>
      <c r="K145">
        <v>3</v>
      </c>
      <c r="L145" s="27">
        <v>46078.634652777779</v>
      </c>
    </row>
    <row r="146" spans="1:12" x14ac:dyDescent="0.25">
      <c r="A146" s="26">
        <v>46044</v>
      </c>
      <c r="B146">
        <v>1</v>
      </c>
      <c r="C146" t="s">
        <v>45</v>
      </c>
      <c r="D146">
        <v>2</v>
      </c>
      <c r="E146">
        <v>0</v>
      </c>
      <c r="F146">
        <v>0</v>
      </c>
      <c r="G146">
        <v>0</v>
      </c>
      <c r="H146">
        <v>0</v>
      </c>
      <c r="I146">
        <v>2</v>
      </c>
      <c r="J146">
        <v>3</v>
      </c>
      <c r="K146">
        <v>3</v>
      </c>
      <c r="L146" s="27">
        <v>46078.634664351855</v>
      </c>
    </row>
    <row r="147" spans="1:12" x14ac:dyDescent="0.25">
      <c r="A147" s="26">
        <v>46045</v>
      </c>
      <c r="B147">
        <v>1</v>
      </c>
      <c r="C147" t="s">
        <v>45</v>
      </c>
      <c r="D147">
        <v>1</v>
      </c>
      <c r="E147">
        <v>2</v>
      </c>
      <c r="F147">
        <v>0</v>
      </c>
      <c r="G147">
        <v>0</v>
      </c>
      <c r="H147">
        <v>0</v>
      </c>
      <c r="I147">
        <v>0</v>
      </c>
      <c r="J147">
        <v>3</v>
      </c>
      <c r="K147">
        <v>2</v>
      </c>
      <c r="L147" s="27">
        <v>46078.634675925925</v>
      </c>
    </row>
    <row r="148" spans="1:12" x14ac:dyDescent="0.25">
      <c r="A148" s="26">
        <v>46046</v>
      </c>
      <c r="B148">
        <v>1</v>
      </c>
      <c r="C148" t="s">
        <v>45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2</v>
      </c>
      <c r="K148">
        <v>0</v>
      </c>
      <c r="L148" s="27">
        <v>46078.634675925925</v>
      </c>
    </row>
    <row r="149" spans="1:12" x14ac:dyDescent="0.25">
      <c r="A149" s="26">
        <v>46047</v>
      </c>
      <c r="B149">
        <v>1</v>
      </c>
      <c r="C149" t="s">
        <v>45</v>
      </c>
      <c r="D149">
        <v>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2</v>
      </c>
      <c r="L149" s="27">
        <v>46078.634687500002</v>
      </c>
    </row>
    <row r="150" spans="1:12" x14ac:dyDescent="0.25">
      <c r="A150" s="26">
        <v>46048</v>
      </c>
      <c r="B150">
        <v>1</v>
      </c>
      <c r="C150" t="s">
        <v>45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1</v>
      </c>
      <c r="J150">
        <v>2</v>
      </c>
      <c r="K150">
        <v>1</v>
      </c>
      <c r="L150" s="27">
        <v>46078.634699074071</v>
      </c>
    </row>
    <row r="151" spans="1:12" x14ac:dyDescent="0.25">
      <c r="A151" s="26">
        <v>46049</v>
      </c>
      <c r="B151">
        <v>1</v>
      </c>
      <c r="C151" t="s">
        <v>45</v>
      </c>
      <c r="D151">
        <v>1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1</v>
      </c>
      <c r="K151">
        <v>0</v>
      </c>
      <c r="L151" s="27">
        <v>46078.634699074071</v>
      </c>
    </row>
    <row r="152" spans="1:12" x14ac:dyDescent="0.25">
      <c r="A152" s="26">
        <v>46050</v>
      </c>
      <c r="B152">
        <v>1</v>
      </c>
      <c r="C152" t="s">
        <v>45</v>
      </c>
      <c r="D152">
        <v>4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0</v>
      </c>
      <c r="K152">
        <v>3</v>
      </c>
      <c r="L152" s="27">
        <v>46078.634710648148</v>
      </c>
    </row>
    <row r="153" spans="1:12" x14ac:dyDescent="0.25">
      <c r="A153" s="26">
        <v>46051</v>
      </c>
      <c r="B153">
        <v>1</v>
      </c>
      <c r="C153" t="s">
        <v>45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2</v>
      </c>
      <c r="J153">
        <v>3</v>
      </c>
      <c r="K153">
        <v>3</v>
      </c>
      <c r="L153" s="27">
        <v>46078.634722222225</v>
      </c>
    </row>
    <row r="154" spans="1:12" x14ac:dyDescent="0.25">
      <c r="A154" s="26">
        <v>46052</v>
      </c>
      <c r="B154">
        <v>1</v>
      </c>
      <c r="C154" t="s">
        <v>45</v>
      </c>
      <c r="D154">
        <v>5</v>
      </c>
      <c r="E154">
        <v>0</v>
      </c>
      <c r="F154">
        <v>0</v>
      </c>
      <c r="G154">
        <v>0</v>
      </c>
      <c r="H154">
        <v>0</v>
      </c>
      <c r="I154">
        <v>2</v>
      </c>
      <c r="J154">
        <v>3</v>
      </c>
      <c r="K154">
        <v>6</v>
      </c>
      <c r="L154" s="27">
        <v>46078.634722222225</v>
      </c>
    </row>
    <row r="155" spans="1:12" x14ac:dyDescent="0.25">
      <c r="A155" s="26">
        <v>46053</v>
      </c>
      <c r="B155">
        <v>1</v>
      </c>
      <c r="C155" t="s">
        <v>45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2</v>
      </c>
      <c r="J155">
        <v>6</v>
      </c>
      <c r="K155">
        <v>4</v>
      </c>
      <c r="L155" s="27">
        <v>46078.634733796294</v>
      </c>
    </row>
    <row r="156" spans="1:12" x14ac:dyDescent="0.25">
      <c r="A156" s="26">
        <v>46023</v>
      </c>
      <c r="B156">
        <v>1</v>
      </c>
      <c r="C156" t="s">
        <v>31</v>
      </c>
      <c r="D156">
        <v>4</v>
      </c>
      <c r="E156">
        <v>2</v>
      </c>
      <c r="F156">
        <v>0</v>
      </c>
      <c r="G156">
        <v>0</v>
      </c>
      <c r="H156">
        <v>1</v>
      </c>
      <c r="I156">
        <v>0</v>
      </c>
      <c r="J156">
        <v>16</v>
      </c>
      <c r="K156">
        <v>19</v>
      </c>
      <c r="L156" s="27">
        <v>46078.634745370371</v>
      </c>
    </row>
    <row r="157" spans="1:12" x14ac:dyDescent="0.25">
      <c r="A157" s="26">
        <v>46024</v>
      </c>
      <c r="B157">
        <v>1</v>
      </c>
      <c r="C157" t="s">
        <v>31</v>
      </c>
      <c r="D157">
        <v>2</v>
      </c>
      <c r="E157">
        <v>4</v>
      </c>
      <c r="F157">
        <v>1</v>
      </c>
      <c r="G157">
        <v>0</v>
      </c>
      <c r="H157">
        <v>0</v>
      </c>
      <c r="I157">
        <v>0</v>
      </c>
      <c r="J157">
        <v>19</v>
      </c>
      <c r="K157">
        <v>16</v>
      </c>
      <c r="L157" s="27">
        <v>46078.634745370371</v>
      </c>
    </row>
    <row r="158" spans="1:12" x14ac:dyDescent="0.25">
      <c r="A158" s="26">
        <v>46025</v>
      </c>
      <c r="B158">
        <v>1</v>
      </c>
      <c r="C158" t="s">
        <v>31</v>
      </c>
      <c r="D158">
        <v>2</v>
      </c>
      <c r="E158">
        <v>1</v>
      </c>
      <c r="F158">
        <v>0</v>
      </c>
      <c r="G158">
        <v>0</v>
      </c>
      <c r="H158">
        <v>1</v>
      </c>
      <c r="I158">
        <v>0</v>
      </c>
      <c r="J158">
        <v>16</v>
      </c>
      <c r="K158">
        <v>18</v>
      </c>
      <c r="L158" s="27">
        <v>46078.634756944448</v>
      </c>
    </row>
    <row r="159" spans="1:12" x14ac:dyDescent="0.25">
      <c r="A159" s="26">
        <v>46026</v>
      </c>
      <c r="B159">
        <v>1</v>
      </c>
      <c r="C159" t="s">
        <v>31</v>
      </c>
      <c r="D159">
        <v>6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18</v>
      </c>
      <c r="K159">
        <v>23</v>
      </c>
      <c r="L159" s="27">
        <v>46078.634768518517</v>
      </c>
    </row>
    <row r="160" spans="1:12" x14ac:dyDescent="0.25">
      <c r="A160" s="26">
        <v>46027</v>
      </c>
      <c r="B160">
        <v>1</v>
      </c>
      <c r="C160" t="s">
        <v>31</v>
      </c>
      <c r="D160">
        <v>4</v>
      </c>
      <c r="E160">
        <v>5</v>
      </c>
      <c r="F160">
        <v>0</v>
      </c>
      <c r="G160">
        <v>0</v>
      </c>
      <c r="H160">
        <v>1</v>
      </c>
      <c r="I160">
        <v>0</v>
      </c>
      <c r="J160">
        <v>23</v>
      </c>
      <c r="K160">
        <v>23</v>
      </c>
      <c r="L160" s="27">
        <v>46078.634768518517</v>
      </c>
    </row>
    <row r="161" spans="1:12" x14ac:dyDescent="0.25">
      <c r="A161" s="26">
        <v>46028</v>
      </c>
      <c r="B161">
        <v>1</v>
      </c>
      <c r="C161" t="s">
        <v>31</v>
      </c>
      <c r="D161">
        <v>2</v>
      </c>
      <c r="E161">
        <v>5</v>
      </c>
      <c r="F161">
        <v>0</v>
      </c>
      <c r="G161">
        <v>0</v>
      </c>
      <c r="H161">
        <v>0</v>
      </c>
      <c r="I161">
        <v>0</v>
      </c>
      <c r="J161">
        <v>23</v>
      </c>
      <c r="K161">
        <v>20</v>
      </c>
      <c r="L161" s="27">
        <v>46078.634780092594</v>
      </c>
    </row>
    <row r="162" spans="1:12" x14ac:dyDescent="0.25">
      <c r="A162" s="26">
        <v>46029</v>
      </c>
      <c r="B162">
        <v>1</v>
      </c>
      <c r="C162" t="s">
        <v>31</v>
      </c>
      <c r="D162">
        <v>5</v>
      </c>
      <c r="E162">
        <v>2</v>
      </c>
      <c r="F162">
        <v>0</v>
      </c>
      <c r="G162">
        <v>0</v>
      </c>
      <c r="H162">
        <v>0</v>
      </c>
      <c r="I162">
        <v>0</v>
      </c>
      <c r="J162">
        <v>20</v>
      </c>
      <c r="K162">
        <v>23</v>
      </c>
      <c r="L162" s="27">
        <v>46078.634791666664</v>
      </c>
    </row>
    <row r="163" spans="1:12" x14ac:dyDescent="0.25">
      <c r="A163" s="26">
        <v>46030</v>
      </c>
      <c r="B163">
        <v>1</v>
      </c>
      <c r="C163" t="s">
        <v>31</v>
      </c>
      <c r="D163">
        <v>1</v>
      </c>
      <c r="E163">
        <v>7</v>
      </c>
      <c r="F163">
        <v>0</v>
      </c>
      <c r="G163">
        <v>0</v>
      </c>
      <c r="H163">
        <v>2</v>
      </c>
      <c r="I163">
        <v>0</v>
      </c>
      <c r="J163">
        <v>23</v>
      </c>
      <c r="K163">
        <v>19</v>
      </c>
      <c r="L163" s="27">
        <v>46078.634791666664</v>
      </c>
    </row>
    <row r="164" spans="1:12" x14ac:dyDescent="0.25">
      <c r="A164" s="26">
        <v>46031</v>
      </c>
      <c r="B164">
        <v>1</v>
      </c>
      <c r="C164" t="s">
        <v>31</v>
      </c>
      <c r="D164">
        <v>4</v>
      </c>
      <c r="E164">
        <v>3</v>
      </c>
      <c r="F164">
        <v>0</v>
      </c>
      <c r="G164">
        <v>0</v>
      </c>
      <c r="H164">
        <v>0</v>
      </c>
      <c r="I164">
        <v>0</v>
      </c>
      <c r="J164">
        <v>19</v>
      </c>
      <c r="K164">
        <v>20</v>
      </c>
      <c r="L164" s="27">
        <v>46078.63480324074</v>
      </c>
    </row>
    <row r="165" spans="1:12" x14ac:dyDescent="0.25">
      <c r="A165" s="26">
        <v>46032</v>
      </c>
      <c r="B165">
        <v>1</v>
      </c>
      <c r="C165" t="s">
        <v>31</v>
      </c>
      <c r="D165">
        <v>2</v>
      </c>
      <c r="E165">
        <v>6</v>
      </c>
      <c r="F165">
        <v>0</v>
      </c>
      <c r="G165">
        <v>0</v>
      </c>
      <c r="H165">
        <v>0</v>
      </c>
      <c r="I165">
        <v>0</v>
      </c>
      <c r="J165">
        <v>20</v>
      </c>
      <c r="K165">
        <v>16</v>
      </c>
      <c r="L165" s="27">
        <v>46078.634814814817</v>
      </c>
    </row>
    <row r="166" spans="1:12" x14ac:dyDescent="0.25">
      <c r="A166" s="26">
        <v>46033</v>
      </c>
      <c r="B166">
        <v>1</v>
      </c>
      <c r="C166" t="s">
        <v>31</v>
      </c>
      <c r="D166">
        <v>1</v>
      </c>
      <c r="E166">
        <v>2</v>
      </c>
      <c r="F166">
        <v>0</v>
      </c>
      <c r="G166">
        <v>0</v>
      </c>
      <c r="H166">
        <v>1</v>
      </c>
      <c r="I166">
        <v>0</v>
      </c>
      <c r="J166">
        <v>16</v>
      </c>
      <c r="K166">
        <v>16</v>
      </c>
      <c r="L166" s="27">
        <v>46078.634814814817</v>
      </c>
    </row>
    <row r="167" spans="1:12" x14ac:dyDescent="0.25">
      <c r="A167" s="26">
        <v>46034</v>
      </c>
      <c r="B167">
        <v>1</v>
      </c>
      <c r="C167" t="s">
        <v>31</v>
      </c>
      <c r="D167">
        <v>5</v>
      </c>
      <c r="E167">
        <v>4</v>
      </c>
      <c r="F167">
        <v>0</v>
      </c>
      <c r="G167">
        <v>0</v>
      </c>
      <c r="H167">
        <v>0</v>
      </c>
      <c r="I167">
        <v>0</v>
      </c>
      <c r="J167">
        <v>16</v>
      </c>
      <c r="K167">
        <v>17</v>
      </c>
      <c r="L167" s="27">
        <v>46078.634826388887</v>
      </c>
    </row>
    <row r="168" spans="1:12" x14ac:dyDescent="0.25">
      <c r="A168" s="26">
        <v>46035</v>
      </c>
      <c r="B168">
        <v>1</v>
      </c>
      <c r="C168" t="s">
        <v>31</v>
      </c>
      <c r="D168">
        <v>5</v>
      </c>
      <c r="E168">
        <v>5</v>
      </c>
      <c r="F168">
        <v>0</v>
      </c>
      <c r="G168">
        <v>0</v>
      </c>
      <c r="H168">
        <v>0</v>
      </c>
      <c r="I168">
        <v>0</v>
      </c>
      <c r="J168">
        <v>17</v>
      </c>
      <c r="K168">
        <v>17</v>
      </c>
      <c r="L168" s="27">
        <v>46078.634837962964</v>
      </c>
    </row>
    <row r="169" spans="1:12" x14ac:dyDescent="0.25">
      <c r="A169" s="26">
        <v>46036</v>
      </c>
      <c r="B169">
        <v>1</v>
      </c>
      <c r="C169" t="s">
        <v>31</v>
      </c>
      <c r="D169">
        <v>1</v>
      </c>
      <c r="E169">
        <v>3</v>
      </c>
      <c r="F169">
        <v>0</v>
      </c>
      <c r="G169">
        <v>0</v>
      </c>
      <c r="H169">
        <v>1</v>
      </c>
      <c r="I169">
        <v>0</v>
      </c>
      <c r="J169">
        <v>17</v>
      </c>
      <c r="K169">
        <v>16</v>
      </c>
      <c r="L169" s="27">
        <v>46078.634837962964</v>
      </c>
    </row>
    <row r="170" spans="1:12" x14ac:dyDescent="0.25">
      <c r="A170" s="26">
        <v>46037</v>
      </c>
      <c r="B170">
        <v>1</v>
      </c>
      <c r="C170" t="s">
        <v>31</v>
      </c>
      <c r="D170">
        <v>2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17</v>
      </c>
      <c r="L170" s="27">
        <v>46078.63484953704</v>
      </c>
    </row>
    <row r="171" spans="1:12" x14ac:dyDescent="0.25">
      <c r="A171" s="26">
        <v>46038</v>
      </c>
      <c r="B171">
        <v>1</v>
      </c>
      <c r="C171" t="s">
        <v>31</v>
      </c>
      <c r="D171">
        <v>0</v>
      </c>
      <c r="E171">
        <v>1</v>
      </c>
      <c r="F171">
        <v>2</v>
      </c>
      <c r="G171">
        <v>0</v>
      </c>
      <c r="H171">
        <v>2</v>
      </c>
      <c r="I171">
        <v>0</v>
      </c>
      <c r="J171">
        <v>17</v>
      </c>
      <c r="K171">
        <v>16</v>
      </c>
      <c r="L171" s="27">
        <v>46078.63486111111</v>
      </c>
    </row>
    <row r="172" spans="1:12" x14ac:dyDescent="0.25">
      <c r="A172" s="26">
        <v>46039</v>
      </c>
      <c r="B172">
        <v>1</v>
      </c>
      <c r="C172" t="s">
        <v>31</v>
      </c>
      <c r="D172">
        <v>3</v>
      </c>
      <c r="E172">
        <v>2</v>
      </c>
      <c r="F172">
        <v>1</v>
      </c>
      <c r="G172">
        <v>0</v>
      </c>
      <c r="H172">
        <v>2</v>
      </c>
      <c r="I172">
        <v>0</v>
      </c>
      <c r="J172">
        <v>16</v>
      </c>
      <c r="K172">
        <v>18</v>
      </c>
      <c r="L172" s="27">
        <v>46078.63486111111</v>
      </c>
    </row>
    <row r="173" spans="1:12" x14ac:dyDescent="0.25">
      <c r="A173" s="26">
        <v>46040</v>
      </c>
      <c r="B173">
        <v>1</v>
      </c>
      <c r="C173" t="s">
        <v>31</v>
      </c>
      <c r="D173">
        <v>4</v>
      </c>
      <c r="E173">
        <v>2</v>
      </c>
      <c r="F173">
        <v>1</v>
      </c>
      <c r="G173">
        <v>0</v>
      </c>
      <c r="H173">
        <v>1</v>
      </c>
      <c r="I173">
        <v>0</v>
      </c>
      <c r="J173">
        <v>18</v>
      </c>
      <c r="K173">
        <v>20</v>
      </c>
      <c r="L173" s="27">
        <v>46078.634872685187</v>
      </c>
    </row>
    <row r="174" spans="1:12" x14ac:dyDescent="0.25">
      <c r="A174" s="26">
        <v>46041</v>
      </c>
      <c r="B174">
        <v>1</v>
      </c>
      <c r="C174" t="s">
        <v>31</v>
      </c>
      <c r="D174">
        <v>3</v>
      </c>
      <c r="E174">
        <v>1</v>
      </c>
      <c r="F174">
        <v>0</v>
      </c>
      <c r="G174">
        <v>0</v>
      </c>
      <c r="H174">
        <v>1</v>
      </c>
      <c r="I174">
        <v>0</v>
      </c>
      <c r="J174">
        <v>20</v>
      </c>
      <c r="K174">
        <v>23</v>
      </c>
      <c r="L174" s="27">
        <v>46078.634872685187</v>
      </c>
    </row>
    <row r="175" spans="1:12" x14ac:dyDescent="0.25">
      <c r="A175" s="26">
        <v>46042</v>
      </c>
      <c r="B175">
        <v>1</v>
      </c>
      <c r="C175" t="s">
        <v>31</v>
      </c>
      <c r="D175">
        <v>4</v>
      </c>
      <c r="E175">
        <v>11</v>
      </c>
      <c r="F175">
        <v>0</v>
      </c>
      <c r="G175">
        <v>0</v>
      </c>
      <c r="H175">
        <v>0</v>
      </c>
      <c r="I175">
        <v>0</v>
      </c>
      <c r="J175">
        <v>23</v>
      </c>
      <c r="K175">
        <v>16</v>
      </c>
      <c r="L175" s="27">
        <v>46078.634884259256</v>
      </c>
    </row>
    <row r="176" spans="1:12" x14ac:dyDescent="0.25">
      <c r="A176" s="26">
        <v>46043</v>
      </c>
      <c r="B176">
        <v>1</v>
      </c>
      <c r="C176" t="s">
        <v>31</v>
      </c>
      <c r="D176">
        <v>1</v>
      </c>
      <c r="E176">
        <v>3</v>
      </c>
      <c r="F176">
        <v>1</v>
      </c>
      <c r="G176">
        <v>0</v>
      </c>
      <c r="H176">
        <v>1</v>
      </c>
      <c r="I176">
        <v>0</v>
      </c>
      <c r="J176">
        <v>16</v>
      </c>
      <c r="K176">
        <v>14</v>
      </c>
      <c r="L176" s="27">
        <v>46078.634895833333</v>
      </c>
    </row>
    <row r="177" spans="1:12" x14ac:dyDescent="0.25">
      <c r="A177" s="26">
        <v>46044</v>
      </c>
      <c r="B177">
        <v>1</v>
      </c>
      <c r="C177" t="s">
        <v>31</v>
      </c>
      <c r="D177">
        <v>2</v>
      </c>
      <c r="E177">
        <v>3</v>
      </c>
      <c r="F177">
        <v>0</v>
      </c>
      <c r="G177">
        <v>0</v>
      </c>
      <c r="H177">
        <v>2</v>
      </c>
      <c r="I177">
        <v>0</v>
      </c>
      <c r="J177">
        <v>14</v>
      </c>
      <c r="K177">
        <v>15</v>
      </c>
      <c r="L177" s="27">
        <v>46078.634895833333</v>
      </c>
    </row>
    <row r="178" spans="1:12" x14ac:dyDescent="0.25">
      <c r="A178" s="26">
        <v>46045</v>
      </c>
      <c r="B178">
        <v>1</v>
      </c>
      <c r="C178" t="s">
        <v>31</v>
      </c>
      <c r="D178">
        <v>4</v>
      </c>
      <c r="E178">
        <v>2</v>
      </c>
      <c r="F178">
        <v>2</v>
      </c>
      <c r="G178">
        <v>0</v>
      </c>
      <c r="H178">
        <v>0</v>
      </c>
      <c r="I178">
        <v>0</v>
      </c>
      <c r="J178">
        <v>15</v>
      </c>
      <c r="K178">
        <v>15</v>
      </c>
      <c r="L178" s="27">
        <v>46078.63490740741</v>
      </c>
    </row>
    <row r="179" spans="1:12" x14ac:dyDescent="0.25">
      <c r="A179" s="26">
        <v>46046</v>
      </c>
      <c r="B179">
        <v>1</v>
      </c>
      <c r="C179" t="s">
        <v>31</v>
      </c>
      <c r="D179">
        <v>2</v>
      </c>
      <c r="E179">
        <v>1</v>
      </c>
      <c r="F179">
        <v>0</v>
      </c>
      <c r="G179">
        <v>0</v>
      </c>
      <c r="H179">
        <v>1</v>
      </c>
      <c r="I179">
        <v>0</v>
      </c>
      <c r="J179">
        <v>15</v>
      </c>
      <c r="K179">
        <v>17</v>
      </c>
      <c r="L179" s="27">
        <v>46078.634918981479</v>
      </c>
    </row>
    <row r="180" spans="1:12" x14ac:dyDescent="0.25">
      <c r="A180" s="26">
        <v>46047</v>
      </c>
      <c r="B180">
        <v>1</v>
      </c>
      <c r="C180" t="s">
        <v>31</v>
      </c>
      <c r="D180">
        <v>0</v>
      </c>
      <c r="E180">
        <v>4</v>
      </c>
      <c r="F180">
        <v>0</v>
      </c>
      <c r="G180">
        <v>0</v>
      </c>
      <c r="H180">
        <v>0</v>
      </c>
      <c r="I180">
        <v>0</v>
      </c>
      <c r="J180">
        <v>17</v>
      </c>
      <c r="K180">
        <v>13</v>
      </c>
      <c r="L180" s="27">
        <v>46078.634918981479</v>
      </c>
    </row>
    <row r="181" spans="1:12" x14ac:dyDescent="0.25">
      <c r="A181" s="26">
        <v>46048</v>
      </c>
      <c r="B181">
        <v>1</v>
      </c>
      <c r="C181" t="s">
        <v>31</v>
      </c>
      <c r="D181">
        <v>2</v>
      </c>
      <c r="E181">
        <v>2</v>
      </c>
      <c r="F181">
        <v>0</v>
      </c>
      <c r="G181">
        <v>0</v>
      </c>
      <c r="H181">
        <v>1</v>
      </c>
      <c r="I181">
        <v>0</v>
      </c>
      <c r="J181">
        <v>13</v>
      </c>
      <c r="K181">
        <v>14</v>
      </c>
      <c r="L181" s="27">
        <v>46078.634930555556</v>
      </c>
    </row>
    <row r="182" spans="1:12" x14ac:dyDescent="0.25">
      <c r="A182" s="26">
        <v>46049</v>
      </c>
      <c r="B182">
        <v>1</v>
      </c>
      <c r="C182" t="s">
        <v>31</v>
      </c>
      <c r="D182">
        <v>3</v>
      </c>
      <c r="E182">
        <v>7</v>
      </c>
      <c r="F182">
        <v>1</v>
      </c>
      <c r="G182">
        <v>0</v>
      </c>
      <c r="H182">
        <v>1</v>
      </c>
      <c r="I182">
        <v>0</v>
      </c>
      <c r="J182">
        <v>14</v>
      </c>
      <c r="K182">
        <v>10</v>
      </c>
      <c r="L182" s="27">
        <v>46078.634942129633</v>
      </c>
    </row>
    <row r="183" spans="1:12" x14ac:dyDescent="0.25">
      <c r="A183" s="26">
        <v>46050</v>
      </c>
      <c r="B183">
        <v>1</v>
      </c>
      <c r="C183" t="s">
        <v>31</v>
      </c>
      <c r="D183">
        <v>1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10</v>
      </c>
      <c r="K183">
        <v>11</v>
      </c>
      <c r="L183" s="27">
        <v>46078.634942129633</v>
      </c>
    </row>
    <row r="184" spans="1:12" x14ac:dyDescent="0.25">
      <c r="A184" s="26">
        <v>46051</v>
      </c>
      <c r="B184">
        <v>1</v>
      </c>
      <c r="C184" t="s">
        <v>31</v>
      </c>
      <c r="D184">
        <v>2</v>
      </c>
      <c r="E184">
        <v>1</v>
      </c>
      <c r="F184">
        <v>0</v>
      </c>
      <c r="G184">
        <v>0</v>
      </c>
      <c r="H184">
        <v>2</v>
      </c>
      <c r="I184">
        <v>0</v>
      </c>
      <c r="J184">
        <v>11</v>
      </c>
      <c r="K184">
        <v>14</v>
      </c>
      <c r="L184" s="27">
        <v>46078.634953703702</v>
      </c>
    </row>
    <row r="185" spans="1:12" x14ac:dyDescent="0.25">
      <c r="A185" s="26">
        <v>46052</v>
      </c>
      <c r="B185">
        <v>1</v>
      </c>
      <c r="C185" t="s">
        <v>31</v>
      </c>
      <c r="D185">
        <v>2</v>
      </c>
      <c r="E185">
        <v>1</v>
      </c>
      <c r="F185">
        <v>0</v>
      </c>
      <c r="G185">
        <v>0</v>
      </c>
      <c r="H185">
        <v>2</v>
      </c>
      <c r="I185">
        <v>0</v>
      </c>
      <c r="J185">
        <v>14</v>
      </c>
      <c r="K185">
        <v>17</v>
      </c>
      <c r="L185" s="27">
        <v>46078.634965277779</v>
      </c>
    </row>
    <row r="186" spans="1:12" x14ac:dyDescent="0.25">
      <c r="A186" s="26">
        <v>46053</v>
      </c>
      <c r="B186">
        <v>1</v>
      </c>
      <c r="C186" t="s">
        <v>31</v>
      </c>
      <c r="D186">
        <v>0</v>
      </c>
      <c r="E186">
        <v>6</v>
      </c>
      <c r="F186">
        <v>1</v>
      </c>
      <c r="G186">
        <v>0</v>
      </c>
      <c r="H186">
        <v>2</v>
      </c>
      <c r="I186">
        <v>0</v>
      </c>
      <c r="J186">
        <v>17</v>
      </c>
      <c r="K186">
        <v>12</v>
      </c>
      <c r="L186" s="27">
        <v>46078.634965277779</v>
      </c>
    </row>
    <row r="187" spans="1:12" x14ac:dyDescent="0.25">
      <c r="A187" s="26">
        <v>46023</v>
      </c>
      <c r="B187">
        <v>1</v>
      </c>
      <c r="C187" t="s">
        <v>43</v>
      </c>
      <c r="D187">
        <v>3</v>
      </c>
      <c r="E187">
        <v>3</v>
      </c>
      <c r="F187">
        <v>0</v>
      </c>
      <c r="G187">
        <v>0</v>
      </c>
      <c r="H187">
        <v>0</v>
      </c>
      <c r="I187">
        <v>1</v>
      </c>
      <c r="J187">
        <v>9</v>
      </c>
      <c r="K187">
        <v>8</v>
      </c>
      <c r="L187" s="27">
        <v>46078.634976851848</v>
      </c>
    </row>
    <row r="188" spans="1:12" x14ac:dyDescent="0.25">
      <c r="A188" s="26">
        <v>46024</v>
      </c>
      <c r="B188">
        <v>1</v>
      </c>
      <c r="C188" t="s">
        <v>43</v>
      </c>
      <c r="D188">
        <v>4</v>
      </c>
      <c r="E188">
        <v>3</v>
      </c>
      <c r="F188">
        <v>0</v>
      </c>
      <c r="G188">
        <v>0</v>
      </c>
      <c r="H188">
        <v>0</v>
      </c>
      <c r="I188">
        <v>0</v>
      </c>
      <c r="J188">
        <v>8</v>
      </c>
      <c r="K188">
        <v>9</v>
      </c>
      <c r="L188" s="27">
        <v>46078.634988425925</v>
      </c>
    </row>
    <row r="189" spans="1:12" x14ac:dyDescent="0.25">
      <c r="A189" s="26">
        <v>46025</v>
      </c>
      <c r="B189">
        <v>1</v>
      </c>
      <c r="C189" t="s">
        <v>43</v>
      </c>
      <c r="D189">
        <v>5</v>
      </c>
      <c r="E189">
        <v>2</v>
      </c>
      <c r="F189">
        <v>0</v>
      </c>
      <c r="G189">
        <v>0</v>
      </c>
      <c r="H189">
        <v>0</v>
      </c>
      <c r="I189">
        <v>2</v>
      </c>
      <c r="J189">
        <v>9</v>
      </c>
      <c r="K189">
        <v>10</v>
      </c>
      <c r="L189" s="27">
        <v>46078.634988425925</v>
      </c>
    </row>
    <row r="190" spans="1:12" x14ac:dyDescent="0.25">
      <c r="A190" s="26">
        <v>46026</v>
      </c>
      <c r="B190">
        <v>1</v>
      </c>
      <c r="C190" t="s">
        <v>43</v>
      </c>
      <c r="D190">
        <v>4</v>
      </c>
      <c r="E190">
        <v>1</v>
      </c>
      <c r="F190">
        <v>0</v>
      </c>
      <c r="G190">
        <v>1</v>
      </c>
      <c r="H190">
        <v>0</v>
      </c>
      <c r="I190">
        <v>3</v>
      </c>
      <c r="J190">
        <v>10</v>
      </c>
      <c r="K190">
        <v>9</v>
      </c>
      <c r="L190" s="27">
        <v>46078.635000000002</v>
      </c>
    </row>
    <row r="191" spans="1:12" x14ac:dyDescent="0.25">
      <c r="A191" s="26">
        <v>46027</v>
      </c>
      <c r="B191">
        <v>1</v>
      </c>
      <c r="C191" t="s">
        <v>43</v>
      </c>
      <c r="D191">
        <v>1</v>
      </c>
      <c r="E191">
        <v>8</v>
      </c>
      <c r="F191">
        <v>0</v>
      </c>
      <c r="G191">
        <v>0</v>
      </c>
      <c r="H191">
        <v>0</v>
      </c>
      <c r="I191">
        <v>0</v>
      </c>
      <c r="J191">
        <v>9</v>
      </c>
      <c r="K191">
        <v>2</v>
      </c>
      <c r="L191" s="27">
        <v>46078.635000000002</v>
      </c>
    </row>
    <row r="192" spans="1:12" x14ac:dyDescent="0.25">
      <c r="A192" s="26">
        <v>46028</v>
      </c>
      <c r="B192">
        <v>1</v>
      </c>
      <c r="C192" t="s">
        <v>43</v>
      </c>
      <c r="D192">
        <v>2</v>
      </c>
      <c r="E192">
        <v>1</v>
      </c>
      <c r="F192">
        <v>0</v>
      </c>
      <c r="G192">
        <v>0</v>
      </c>
      <c r="H192">
        <v>0</v>
      </c>
      <c r="I192">
        <v>2</v>
      </c>
      <c r="J192">
        <v>2</v>
      </c>
      <c r="K192">
        <v>1</v>
      </c>
      <c r="L192" s="27">
        <v>46078.635011574072</v>
      </c>
    </row>
    <row r="193" spans="1:12" x14ac:dyDescent="0.25">
      <c r="A193" s="26">
        <v>46029</v>
      </c>
      <c r="B193">
        <v>1</v>
      </c>
      <c r="C193" t="s">
        <v>43</v>
      </c>
      <c r="D193">
        <v>3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1</v>
      </c>
      <c r="K193">
        <v>2</v>
      </c>
      <c r="L193" s="27">
        <v>46078.635023148148</v>
      </c>
    </row>
    <row r="194" spans="1:12" x14ac:dyDescent="0.25">
      <c r="A194" s="26">
        <v>46030</v>
      </c>
      <c r="B194">
        <v>1</v>
      </c>
      <c r="C194" t="s">
        <v>43</v>
      </c>
      <c r="D194">
        <v>5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2</v>
      </c>
      <c r="K194">
        <v>6</v>
      </c>
      <c r="L194" s="27">
        <v>46078.635023148148</v>
      </c>
    </row>
    <row r="195" spans="1:12" x14ac:dyDescent="0.25">
      <c r="A195" s="26">
        <v>46031</v>
      </c>
      <c r="B195">
        <v>1</v>
      </c>
      <c r="C195" t="s">
        <v>43</v>
      </c>
      <c r="D195">
        <v>0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6</v>
      </c>
      <c r="K195">
        <v>2</v>
      </c>
      <c r="L195" s="27">
        <v>46078.635034722225</v>
      </c>
    </row>
    <row r="196" spans="1:12" x14ac:dyDescent="0.25">
      <c r="A196" s="26">
        <v>46032</v>
      </c>
      <c r="B196">
        <v>1</v>
      </c>
      <c r="C196" t="s">
        <v>43</v>
      </c>
      <c r="D196">
        <v>2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2</v>
      </c>
      <c r="K196">
        <v>4</v>
      </c>
      <c r="L196" s="27">
        <v>46078.635046296295</v>
      </c>
    </row>
    <row r="197" spans="1:12" x14ac:dyDescent="0.25">
      <c r="A197" s="26">
        <v>46033</v>
      </c>
      <c r="B197">
        <v>1</v>
      </c>
      <c r="C197" t="s">
        <v>43</v>
      </c>
      <c r="D197">
        <v>4</v>
      </c>
      <c r="E197">
        <v>1</v>
      </c>
      <c r="F197">
        <v>0</v>
      </c>
      <c r="G197">
        <v>0</v>
      </c>
      <c r="H197">
        <v>0</v>
      </c>
      <c r="I197">
        <v>4</v>
      </c>
      <c r="J197">
        <v>4</v>
      </c>
      <c r="K197">
        <v>3</v>
      </c>
      <c r="L197" s="27">
        <v>46078.635046296295</v>
      </c>
    </row>
    <row r="198" spans="1:12" x14ac:dyDescent="0.25">
      <c r="A198" s="26">
        <v>46034</v>
      </c>
      <c r="B198">
        <v>1</v>
      </c>
      <c r="C198" t="s">
        <v>43</v>
      </c>
      <c r="D198">
        <v>1</v>
      </c>
      <c r="E198">
        <v>0</v>
      </c>
      <c r="F198">
        <v>0</v>
      </c>
      <c r="G198">
        <v>0</v>
      </c>
      <c r="H198">
        <v>0</v>
      </c>
      <c r="I198">
        <v>3</v>
      </c>
      <c r="J198">
        <v>3</v>
      </c>
      <c r="K198">
        <v>1</v>
      </c>
      <c r="L198" s="27">
        <v>46078.635057870371</v>
      </c>
    </row>
    <row r="199" spans="1:12" x14ac:dyDescent="0.25">
      <c r="A199" s="26">
        <v>46035</v>
      </c>
      <c r="B199">
        <v>1</v>
      </c>
      <c r="C199" t="s">
        <v>43</v>
      </c>
      <c r="D199">
        <v>4</v>
      </c>
      <c r="E199">
        <v>0</v>
      </c>
      <c r="F199">
        <v>0</v>
      </c>
      <c r="G199">
        <v>0</v>
      </c>
      <c r="H199">
        <v>0</v>
      </c>
      <c r="I199">
        <v>2</v>
      </c>
      <c r="J199">
        <v>1</v>
      </c>
      <c r="K199">
        <v>3</v>
      </c>
      <c r="L199" s="27">
        <v>46078.635069444441</v>
      </c>
    </row>
    <row r="200" spans="1:12" x14ac:dyDescent="0.25">
      <c r="A200" s="26">
        <v>46036</v>
      </c>
      <c r="B200">
        <v>1</v>
      </c>
      <c r="C200" t="s">
        <v>43</v>
      </c>
      <c r="D200">
        <v>4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3</v>
      </c>
      <c r="K200">
        <v>6</v>
      </c>
      <c r="L200" s="27">
        <v>46078.635069444441</v>
      </c>
    </row>
    <row r="201" spans="1:12" x14ac:dyDescent="0.25">
      <c r="A201" s="26">
        <v>46037</v>
      </c>
      <c r="B201">
        <v>1</v>
      </c>
      <c r="C201" t="s">
        <v>43</v>
      </c>
      <c r="D201">
        <v>1</v>
      </c>
      <c r="E201">
        <v>2</v>
      </c>
      <c r="F201">
        <v>0</v>
      </c>
      <c r="G201">
        <v>0</v>
      </c>
      <c r="H201">
        <v>0</v>
      </c>
      <c r="I201">
        <v>0</v>
      </c>
      <c r="J201">
        <v>6</v>
      </c>
      <c r="K201">
        <v>5</v>
      </c>
      <c r="L201" s="27">
        <v>46078.635081018518</v>
      </c>
    </row>
    <row r="202" spans="1:12" x14ac:dyDescent="0.25">
      <c r="A202" s="26">
        <v>46038</v>
      </c>
      <c r="B202">
        <v>1</v>
      </c>
      <c r="C202" t="s">
        <v>43</v>
      </c>
      <c r="D202">
        <v>6</v>
      </c>
      <c r="E202">
        <v>1</v>
      </c>
      <c r="F202">
        <v>0</v>
      </c>
      <c r="G202">
        <v>1</v>
      </c>
      <c r="H202">
        <v>0</v>
      </c>
      <c r="I202">
        <v>0</v>
      </c>
      <c r="J202">
        <v>5</v>
      </c>
      <c r="K202">
        <v>9</v>
      </c>
      <c r="L202" s="27">
        <v>46078.635092592594</v>
      </c>
    </row>
    <row r="203" spans="1:12" x14ac:dyDescent="0.25">
      <c r="A203" s="26">
        <v>46039</v>
      </c>
      <c r="B203">
        <v>1</v>
      </c>
      <c r="C203" t="s">
        <v>43</v>
      </c>
      <c r="D203">
        <v>3</v>
      </c>
      <c r="E203">
        <v>0</v>
      </c>
      <c r="F203">
        <v>0</v>
      </c>
      <c r="G203">
        <v>0</v>
      </c>
      <c r="H203">
        <v>0</v>
      </c>
      <c r="I203">
        <v>3</v>
      </c>
      <c r="J203">
        <v>9</v>
      </c>
      <c r="K203">
        <v>9</v>
      </c>
      <c r="L203" s="27">
        <v>46078.635092592594</v>
      </c>
    </row>
    <row r="204" spans="1:12" x14ac:dyDescent="0.25">
      <c r="A204" s="26">
        <v>46040</v>
      </c>
      <c r="B204">
        <v>1</v>
      </c>
      <c r="C204" t="s">
        <v>43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2</v>
      </c>
      <c r="J204">
        <v>9</v>
      </c>
      <c r="K204">
        <v>6</v>
      </c>
      <c r="L204" s="27">
        <v>46078.635104166664</v>
      </c>
    </row>
    <row r="205" spans="1:12" x14ac:dyDescent="0.25">
      <c r="A205" s="26">
        <v>46041</v>
      </c>
      <c r="B205">
        <v>1</v>
      </c>
      <c r="C205" t="s">
        <v>43</v>
      </c>
      <c r="D205">
        <v>2</v>
      </c>
      <c r="E205">
        <v>4</v>
      </c>
      <c r="F205">
        <v>0</v>
      </c>
      <c r="G205">
        <v>1</v>
      </c>
      <c r="H205">
        <v>0</v>
      </c>
      <c r="I205">
        <v>0</v>
      </c>
      <c r="J205">
        <v>6</v>
      </c>
      <c r="K205">
        <v>3</v>
      </c>
      <c r="L205" s="27">
        <v>46078.635115740741</v>
      </c>
    </row>
    <row r="206" spans="1:12" x14ac:dyDescent="0.25">
      <c r="A206" s="26">
        <v>46042</v>
      </c>
      <c r="B206">
        <v>1</v>
      </c>
      <c r="C206" t="s">
        <v>43</v>
      </c>
      <c r="D206">
        <v>7</v>
      </c>
      <c r="E206">
        <v>3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27">
        <v>46078.635115740741</v>
      </c>
    </row>
    <row r="207" spans="1:12" x14ac:dyDescent="0.25">
      <c r="A207" s="26">
        <v>46043</v>
      </c>
      <c r="B207">
        <v>1</v>
      </c>
      <c r="C207" t="s">
        <v>43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1</v>
      </c>
      <c r="J207">
        <v>6</v>
      </c>
      <c r="K207">
        <v>4</v>
      </c>
      <c r="L207" s="27">
        <v>46078.635127314818</v>
      </c>
    </row>
    <row r="208" spans="1:12" x14ac:dyDescent="0.25">
      <c r="A208" s="26">
        <v>46044</v>
      </c>
      <c r="B208">
        <v>1</v>
      </c>
      <c r="C208" t="s">
        <v>43</v>
      </c>
      <c r="D208">
        <v>5</v>
      </c>
      <c r="E208">
        <v>0</v>
      </c>
      <c r="F208">
        <v>0</v>
      </c>
      <c r="G208">
        <v>0</v>
      </c>
      <c r="H208">
        <v>0</v>
      </c>
      <c r="I208">
        <v>3</v>
      </c>
      <c r="J208">
        <v>4</v>
      </c>
      <c r="K208">
        <v>6</v>
      </c>
      <c r="L208" s="27">
        <v>46078.635138888887</v>
      </c>
    </row>
    <row r="209" spans="1:12" x14ac:dyDescent="0.25">
      <c r="A209" s="26">
        <v>46045</v>
      </c>
      <c r="B209">
        <v>1</v>
      </c>
      <c r="C209" t="s">
        <v>43</v>
      </c>
      <c r="D209">
        <v>4</v>
      </c>
      <c r="E209">
        <v>1</v>
      </c>
      <c r="F209">
        <v>1</v>
      </c>
      <c r="G209">
        <v>0</v>
      </c>
      <c r="H209">
        <v>0</v>
      </c>
      <c r="I209">
        <v>2</v>
      </c>
      <c r="J209">
        <v>6</v>
      </c>
      <c r="K209">
        <v>6</v>
      </c>
      <c r="L209" s="27">
        <v>46078.635138888887</v>
      </c>
    </row>
    <row r="210" spans="1:12" x14ac:dyDescent="0.25">
      <c r="A210" s="26">
        <v>46046</v>
      </c>
      <c r="B210">
        <v>1</v>
      </c>
      <c r="C210" t="s">
        <v>43</v>
      </c>
      <c r="D210">
        <v>3</v>
      </c>
      <c r="E210">
        <v>0</v>
      </c>
      <c r="F210">
        <v>1</v>
      </c>
      <c r="G210">
        <v>1</v>
      </c>
      <c r="H210">
        <v>0</v>
      </c>
      <c r="I210">
        <v>2</v>
      </c>
      <c r="J210">
        <v>6</v>
      </c>
      <c r="K210">
        <v>5</v>
      </c>
      <c r="L210" s="27">
        <v>46078.635150462964</v>
      </c>
    </row>
    <row r="211" spans="1:12" x14ac:dyDescent="0.25">
      <c r="A211" s="26">
        <v>46047</v>
      </c>
      <c r="B211">
        <v>1</v>
      </c>
      <c r="C211" t="s">
        <v>43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2</v>
      </c>
      <c r="J211">
        <v>5</v>
      </c>
      <c r="K211">
        <v>2</v>
      </c>
      <c r="L211" s="27">
        <v>46078.635150462964</v>
      </c>
    </row>
    <row r="212" spans="1:12" x14ac:dyDescent="0.25">
      <c r="A212" s="26">
        <v>46048</v>
      </c>
      <c r="B212">
        <v>1</v>
      </c>
      <c r="C212" t="s">
        <v>43</v>
      </c>
      <c r="D212">
        <v>5</v>
      </c>
      <c r="E212">
        <v>1</v>
      </c>
      <c r="F212">
        <v>0</v>
      </c>
      <c r="G212">
        <v>0</v>
      </c>
      <c r="H212">
        <v>0</v>
      </c>
      <c r="I212">
        <v>2</v>
      </c>
      <c r="J212">
        <v>2</v>
      </c>
      <c r="K212">
        <v>4</v>
      </c>
      <c r="L212" s="27">
        <v>46078.635162037041</v>
      </c>
    </row>
    <row r="213" spans="1:12" x14ac:dyDescent="0.25">
      <c r="A213" s="26">
        <v>46049</v>
      </c>
      <c r="B213">
        <v>1</v>
      </c>
      <c r="C213" t="s">
        <v>43</v>
      </c>
      <c r="D213">
        <v>5</v>
      </c>
      <c r="E213">
        <v>0</v>
      </c>
      <c r="F213">
        <v>0</v>
      </c>
      <c r="G213">
        <v>1</v>
      </c>
      <c r="H213">
        <v>0</v>
      </c>
      <c r="I213">
        <v>2</v>
      </c>
      <c r="J213">
        <v>4</v>
      </c>
      <c r="K213">
        <v>6</v>
      </c>
      <c r="L213" s="27">
        <v>46078.63517361111</v>
      </c>
    </row>
    <row r="214" spans="1:12" x14ac:dyDescent="0.25">
      <c r="A214" s="26">
        <v>46050</v>
      </c>
      <c r="B214">
        <v>1</v>
      </c>
      <c r="C214" t="s">
        <v>43</v>
      </c>
      <c r="D214">
        <v>2</v>
      </c>
      <c r="E214">
        <v>3</v>
      </c>
      <c r="F214">
        <v>0</v>
      </c>
      <c r="G214">
        <v>0</v>
      </c>
      <c r="H214">
        <v>0</v>
      </c>
      <c r="I214">
        <v>2</v>
      </c>
      <c r="J214">
        <v>6</v>
      </c>
      <c r="K214">
        <v>3</v>
      </c>
      <c r="L214" s="27">
        <v>46078.63517361111</v>
      </c>
    </row>
    <row r="215" spans="1:12" x14ac:dyDescent="0.25">
      <c r="A215" s="26">
        <v>46051</v>
      </c>
      <c r="B215">
        <v>1</v>
      </c>
      <c r="C215" t="s">
        <v>43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3</v>
      </c>
      <c r="K215">
        <v>4</v>
      </c>
      <c r="L215" s="27">
        <v>46078.635185185187</v>
      </c>
    </row>
    <row r="216" spans="1:12" x14ac:dyDescent="0.25">
      <c r="A216" s="26">
        <v>46052</v>
      </c>
      <c r="B216">
        <v>1</v>
      </c>
      <c r="C216" t="s">
        <v>43</v>
      </c>
      <c r="D216">
        <v>3</v>
      </c>
      <c r="E216">
        <v>1</v>
      </c>
      <c r="F216">
        <v>2</v>
      </c>
      <c r="G216">
        <v>0</v>
      </c>
      <c r="H216">
        <v>0</v>
      </c>
      <c r="I216">
        <v>1</v>
      </c>
      <c r="J216">
        <v>4</v>
      </c>
      <c r="K216">
        <v>3</v>
      </c>
      <c r="L216" s="27">
        <v>46078.635196759256</v>
      </c>
    </row>
    <row r="217" spans="1:12" x14ac:dyDescent="0.25">
      <c r="A217" s="26">
        <v>46053</v>
      </c>
      <c r="B217">
        <v>1</v>
      </c>
      <c r="C217" t="s">
        <v>43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3</v>
      </c>
      <c r="J217">
        <v>3</v>
      </c>
      <c r="K217">
        <v>1</v>
      </c>
      <c r="L217" s="27">
        <v>46078.635196759256</v>
      </c>
    </row>
    <row r="218" spans="1:12" x14ac:dyDescent="0.25">
      <c r="A218" s="26">
        <v>46023</v>
      </c>
      <c r="B218">
        <v>1</v>
      </c>
      <c r="C218" t="s">
        <v>29</v>
      </c>
      <c r="D218">
        <v>0</v>
      </c>
      <c r="E218">
        <v>0</v>
      </c>
      <c r="F218">
        <v>1</v>
      </c>
      <c r="G218">
        <v>0</v>
      </c>
      <c r="H218">
        <v>1</v>
      </c>
      <c r="I218">
        <v>0</v>
      </c>
      <c r="J218">
        <v>25</v>
      </c>
      <c r="K218">
        <v>25</v>
      </c>
      <c r="L218" s="27">
        <v>46078.635208333333</v>
      </c>
    </row>
    <row r="219" spans="1:12" x14ac:dyDescent="0.25">
      <c r="A219" s="26">
        <v>46024</v>
      </c>
      <c r="B219">
        <v>1</v>
      </c>
      <c r="C219" t="s">
        <v>29</v>
      </c>
      <c r="D219">
        <v>0</v>
      </c>
      <c r="E219">
        <v>2</v>
      </c>
      <c r="F219">
        <v>0</v>
      </c>
      <c r="G219">
        <v>0</v>
      </c>
      <c r="H219">
        <v>0</v>
      </c>
      <c r="I219">
        <v>0</v>
      </c>
      <c r="J219">
        <v>25</v>
      </c>
      <c r="K219">
        <v>23</v>
      </c>
      <c r="L219" s="27">
        <v>46078.63521990741</v>
      </c>
    </row>
    <row r="220" spans="1:12" x14ac:dyDescent="0.25">
      <c r="A220" s="26">
        <v>46025</v>
      </c>
      <c r="B220">
        <v>1</v>
      </c>
      <c r="C220" t="s">
        <v>29</v>
      </c>
      <c r="D220">
        <v>0</v>
      </c>
      <c r="E220">
        <v>2</v>
      </c>
      <c r="F220">
        <v>0</v>
      </c>
      <c r="G220">
        <v>0</v>
      </c>
      <c r="H220">
        <v>2</v>
      </c>
      <c r="I220">
        <v>0</v>
      </c>
      <c r="J220">
        <v>23</v>
      </c>
      <c r="K220">
        <v>23</v>
      </c>
      <c r="L220" s="27">
        <v>46078.63521990741</v>
      </c>
    </row>
    <row r="221" spans="1:12" x14ac:dyDescent="0.25">
      <c r="A221" s="26">
        <v>46026</v>
      </c>
      <c r="B221">
        <v>1</v>
      </c>
      <c r="C221" t="s">
        <v>29</v>
      </c>
      <c r="D221">
        <v>3</v>
      </c>
      <c r="E221">
        <v>5</v>
      </c>
      <c r="F221">
        <v>0</v>
      </c>
      <c r="G221">
        <v>0</v>
      </c>
      <c r="H221">
        <v>3</v>
      </c>
      <c r="I221">
        <v>0</v>
      </c>
      <c r="J221">
        <v>23</v>
      </c>
      <c r="K221">
        <v>24</v>
      </c>
      <c r="L221" s="27">
        <v>46078.635231481479</v>
      </c>
    </row>
    <row r="222" spans="1:12" x14ac:dyDescent="0.25">
      <c r="A222" s="26">
        <v>46027</v>
      </c>
      <c r="B222">
        <v>1</v>
      </c>
      <c r="C222" t="s">
        <v>29</v>
      </c>
      <c r="D222">
        <v>3</v>
      </c>
      <c r="E222">
        <v>4</v>
      </c>
      <c r="F222">
        <v>1</v>
      </c>
      <c r="G222">
        <v>0</v>
      </c>
      <c r="H222">
        <v>0</v>
      </c>
      <c r="I222">
        <v>0</v>
      </c>
      <c r="J222">
        <v>24</v>
      </c>
      <c r="K222">
        <v>22</v>
      </c>
      <c r="L222" s="27">
        <v>46078.635231481479</v>
      </c>
    </row>
    <row r="223" spans="1:12" x14ac:dyDescent="0.25">
      <c r="A223" s="26">
        <v>46028</v>
      </c>
      <c r="B223">
        <v>1</v>
      </c>
      <c r="C223" t="s">
        <v>29</v>
      </c>
      <c r="D223">
        <v>0</v>
      </c>
      <c r="E223">
        <v>8</v>
      </c>
      <c r="F223">
        <v>1</v>
      </c>
      <c r="G223">
        <v>0</v>
      </c>
      <c r="H223">
        <v>2</v>
      </c>
      <c r="I223">
        <v>0</v>
      </c>
      <c r="J223">
        <v>22</v>
      </c>
      <c r="K223">
        <v>15</v>
      </c>
      <c r="L223" s="27">
        <v>46078.635243055556</v>
      </c>
    </row>
    <row r="224" spans="1:12" x14ac:dyDescent="0.25">
      <c r="A224" s="26">
        <v>46029</v>
      </c>
      <c r="B224">
        <v>1</v>
      </c>
      <c r="C224" t="s">
        <v>29</v>
      </c>
      <c r="D224">
        <v>3</v>
      </c>
      <c r="E224">
        <v>3</v>
      </c>
      <c r="F224">
        <v>2</v>
      </c>
      <c r="G224">
        <v>0</v>
      </c>
      <c r="H224">
        <v>1</v>
      </c>
      <c r="I224">
        <v>0</v>
      </c>
      <c r="J224">
        <v>15</v>
      </c>
      <c r="K224">
        <v>14</v>
      </c>
      <c r="L224" s="27">
        <v>46078.635254629633</v>
      </c>
    </row>
    <row r="225" spans="1:12" x14ac:dyDescent="0.25">
      <c r="A225" s="26">
        <v>46030</v>
      </c>
      <c r="B225">
        <v>1</v>
      </c>
      <c r="C225" t="s">
        <v>29</v>
      </c>
      <c r="D225">
        <v>4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14</v>
      </c>
      <c r="K225">
        <v>17</v>
      </c>
      <c r="L225" s="27">
        <v>46078.635254629633</v>
      </c>
    </row>
    <row r="226" spans="1:12" x14ac:dyDescent="0.25">
      <c r="A226" s="26">
        <v>46031</v>
      </c>
      <c r="B226">
        <v>1</v>
      </c>
      <c r="C226" t="s">
        <v>29</v>
      </c>
      <c r="D226">
        <v>1</v>
      </c>
      <c r="E226">
        <v>3</v>
      </c>
      <c r="F226">
        <v>0</v>
      </c>
      <c r="G226">
        <v>0</v>
      </c>
      <c r="H226">
        <v>2</v>
      </c>
      <c r="I226">
        <v>0</v>
      </c>
      <c r="J226">
        <v>17</v>
      </c>
      <c r="K226">
        <v>17</v>
      </c>
      <c r="L226" s="27">
        <v>46078.635266203702</v>
      </c>
    </row>
    <row r="227" spans="1:12" x14ac:dyDescent="0.25">
      <c r="A227" s="26">
        <v>46032</v>
      </c>
      <c r="B227">
        <v>1</v>
      </c>
      <c r="C227" t="s">
        <v>29</v>
      </c>
      <c r="D227">
        <v>1</v>
      </c>
      <c r="E227">
        <v>3</v>
      </c>
      <c r="F227">
        <v>0</v>
      </c>
      <c r="G227">
        <v>0</v>
      </c>
      <c r="H227">
        <v>0</v>
      </c>
      <c r="I227">
        <v>0</v>
      </c>
      <c r="J227">
        <v>17</v>
      </c>
      <c r="K227">
        <v>15</v>
      </c>
      <c r="L227" s="27">
        <v>46078.635277777779</v>
      </c>
    </row>
    <row r="228" spans="1:12" x14ac:dyDescent="0.25">
      <c r="A228" s="26">
        <v>46033</v>
      </c>
      <c r="B228">
        <v>1</v>
      </c>
      <c r="C228" t="s">
        <v>29</v>
      </c>
      <c r="D228">
        <v>1</v>
      </c>
      <c r="E228">
        <v>3</v>
      </c>
      <c r="F228">
        <v>0</v>
      </c>
      <c r="G228">
        <v>0</v>
      </c>
      <c r="H228">
        <v>4</v>
      </c>
      <c r="I228">
        <v>0</v>
      </c>
      <c r="J228">
        <v>15</v>
      </c>
      <c r="K228">
        <v>17</v>
      </c>
      <c r="L228" s="27">
        <v>46078.635277777779</v>
      </c>
    </row>
    <row r="229" spans="1:12" x14ac:dyDescent="0.25">
      <c r="A229" s="26">
        <v>46034</v>
      </c>
      <c r="B229">
        <v>1</v>
      </c>
      <c r="C229" t="s">
        <v>29</v>
      </c>
      <c r="D229">
        <v>6</v>
      </c>
      <c r="E229">
        <v>3</v>
      </c>
      <c r="F229">
        <v>1</v>
      </c>
      <c r="G229">
        <v>0</v>
      </c>
      <c r="H229">
        <v>2</v>
      </c>
      <c r="I229">
        <v>0</v>
      </c>
      <c r="J229">
        <v>17</v>
      </c>
      <c r="K229">
        <v>21</v>
      </c>
      <c r="L229" s="27">
        <v>46078.635289351849</v>
      </c>
    </row>
    <row r="230" spans="1:12" x14ac:dyDescent="0.25">
      <c r="A230" s="26">
        <v>46035</v>
      </c>
      <c r="B230">
        <v>1</v>
      </c>
      <c r="C230" t="s">
        <v>29</v>
      </c>
      <c r="D230">
        <v>4</v>
      </c>
      <c r="E230">
        <v>3</v>
      </c>
      <c r="F230">
        <v>1</v>
      </c>
      <c r="G230">
        <v>0</v>
      </c>
      <c r="H230">
        <v>2</v>
      </c>
      <c r="I230">
        <v>0</v>
      </c>
      <c r="J230">
        <v>21</v>
      </c>
      <c r="K230">
        <v>23</v>
      </c>
      <c r="L230" s="27">
        <v>46078.635300925926</v>
      </c>
    </row>
    <row r="231" spans="1:12" x14ac:dyDescent="0.25">
      <c r="A231" s="26">
        <v>46036</v>
      </c>
      <c r="B231">
        <v>1</v>
      </c>
      <c r="C231" t="s">
        <v>29</v>
      </c>
      <c r="D231">
        <v>1</v>
      </c>
      <c r="E231">
        <v>1</v>
      </c>
      <c r="F231">
        <v>0</v>
      </c>
      <c r="G231">
        <v>0</v>
      </c>
      <c r="H231">
        <v>1</v>
      </c>
      <c r="I231">
        <v>0</v>
      </c>
      <c r="J231">
        <v>23</v>
      </c>
      <c r="K231">
        <v>24</v>
      </c>
      <c r="L231" s="27">
        <v>46078.635300925926</v>
      </c>
    </row>
    <row r="232" spans="1:12" x14ac:dyDescent="0.25">
      <c r="A232" s="26">
        <v>46037</v>
      </c>
      <c r="B232">
        <v>1</v>
      </c>
      <c r="C232" t="s">
        <v>29</v>
      </c>
      <c r="D232">
        <v>4</v>
      </c>
      <c r="E232">
        <v>4</v>
      </c>
      <c r="F232">
        <v>0</v>
      </c>
      <c r="G232">
        <v>0</v>
      </c>
      <c r="H232">
        <v>0</v>
      </c>
      <c r="I232">
        <v>0</v>
      </c>
      <c r="J232">
        <v>24</v>
      </c>
      <c r="K232">
        <v>24</v>
      </c>
      <c r="L232" s="27">
        <v>46078.635312500002</v>
      </c>
    </row>
    <row r="233" spans="1:12" x14ac:dyDescent="0.25">
      <c r="A233" s="26">
        <v>46038</v>
      </c>
      <c r="B233">
        <v>1</v>
      </c>
      <c r="C233" t="s">
        <v>29</v>
      </c>
      <c r="D233">
        <v>4</v>
      </c>
      <c r="E233">
        <v>2</v>
      </c>
      <c r="F233">
        <v>2</v>
      </c>
      <c r="G233">
        <v>0</v>
      </c>
      <c r="H233">
        <v>0</v>
      </c>
      <c r="I233">
        <v>0</v>
      </c>
      <c r="J233">
        <v>24</v>
      </c>
      <c r="K233">
        <v>24</v>
      </c>
      <c r="L233" s="27">
        <v>46078.635324074072</v>
      </c>
    </row>
    <row r="234" spans="1:12" x14ac:dyDescent="0.25">
      <c r="A234" s="26">
        <v>46039</v>
      </c>
      <c r="B234">
        <v>1</v>
      </c>
      <c r="C234" t="s">
        <v>29</v>
      </c>
      <c r="D234">
        <v>0</v>
      </c>
      <c r="E234">
        <v>2</v>
      </c>
      <c r="F234">
        <v>1</v>
      </c>
      <c r="G234">
        <v>0</v>
      </c>
      <c r="H234">
        <v>3</v>
      </c>
      <c r="I234">
        <v>0</v>
      </c>
      <c r="J234">
        <v>24</v>
      </c>
      <c r="K234">
        <v>24</v>
      </c>
      <c r="L234" s="27">
        <v>46078.635324074072</v>
      </c>
    </row>
    <row r="235" spans="1:12" x14ac:dyDescent="0.25">
      <c r="A235" s="26">
        <v>46040</v>
      </c>
      <c r="B235">
        <v>1</v>
      </c>
      <c r="C235" t="s">
        <v>29</v>
      </c>
      <c r="D235">
        <v>1</v>
      </c>
      <c r="E235">
        <v>3</v>
      </c>
      <c r="F235">
        <v>0</v>
      </c>
      <c r="G235">
        <v>0</v>
      </c>
      <c r="H235">
        <v>1</v>
      </c>
      <c r="I235">
        <v>0</v>
      </c>
      <c r="J235">
        <v>24</v>
      </c>
      <c r="K235">
        <v>23</v>
      </c>
      <c r="L235" s="27">
        <v>46078.635335648149</v>
      </c>
    </row>
    <row r="236" spans="1:12" x14ac:dyDescent="0.25">
      <c r="A236" s="26">
        <v>46041</v>
      </c>
      <c r="B236">
        <v>1</v>
      </c>
      <c r="C236" t="s">
        <v>29</v>
      </c>
      <c r="D236">
        <v>1</v>
      </c>
      <c r="E236">
        <v>5</v>
      </c>
      <c r="F236">
        <v>0</v>
      </c>
      <c r="G236">
        <v>0</v>
      </c>
      <c r="H236">
        <v>0</v>
      </c>
      <c r="I236">
        <v>0</v>
      </c>
      <c r="J236">
        <v>23</v>
      </c>
      <c r="K236">
        <v>19</v>
      </c>
      <c r="L236" s="27">
        <v>46078.635335648149</v>
      </c>
    </row>
    <row r="237" spans="1:12" x14ac:dyDescent="0.25">
      <c r="A237" s="26">
        <v>46042</v>
      </c>
      <c r="B237">
        <v>1</v>
      </c>
      <c r="C237" t="s">
        <v>29</v>
      </c>
      <c r="D237">
        <v>7</v>
      </c>
      <c r="E237">
        <v>7</v>
      </c>
      <c r="F237">
        <v>0</v>
      </c>
      <c r="G237">
        <v>0</v>
      </c>
      <c r="H237">
        <v>1</v>
      </c>
      <c r="I237">
        <v>0</v>
      </c>
      <c r="J237">
        <v>19</v>
      </c>
      <c r="K237">
        <v>20</v>
      </c>
      <c r="L237" s="27">
        <v>46078.635347222225</v>
      </c>
    </row>
    <row r="238" spans="1:12" x14ac:dyDescent="0.25">
      <c r="A238" s="26">
        <v>46043</v>
      </c>
      <c r="B238">
        <v>1</v>
      </c>
      <c r="C238" t="s">
        <v>29</v>
      </c>
      <c r="D238">
        <v>1</v>
      </c>
      <c r="E238">
        <v>0</v>
      </c>
      <c r="F238">
        <v>0</v>
      </c>
      <c r="G238">
        <v>0</v>
      </c>
      <c r="H238">
        <v>1</v>
      </c>
      <c r="I238">
        <v>0</v>
      </c>
      <c r="J238">
        <v>20</v>
      </c>
      <c r="K238">
        <v>22</v>
      </c>
      <c r="L238" s="27">
        <v>46078.635358796295</v>
      </c>
    </row>
    <row r="239" spans="1:12" x14ac:dyDescent="0.25">
      <c r="A239" s="26">
        <v>46044</v>
      </c>
      <c r="B239">
        <v>1</v>
      </c>
      <c r="C239" t="s">
        <v>29</v>
      </c>
      <c r="D239">
        <v>3</v>
      </c>
      <c r="E239">
        <v>5</v>
      </c>
      <c r="F239">
        <v>0</v>
      </c>
      <c r="G239">
        <v>0</v>
      </c>
      <c r="H239">
        <v>3</v>
      </c>
      <c r="I239">
        <v>0</v>
      </c>
      <c r="J239">
        <v>22</v>
      </c>
      <c r="K239">
        <v>23</v>
      </c>
      <c r="L239" s="27">
        <v>46078.635358796295</v>
      </c>
    </row>
    <row r="240" spans="1:12" x14ac:dyDescent="0.25">
      <c r="A240" s="26">
        <v>46045</v>
      </c>
      <c r="B240">
        <v>1</v>
      </c>
      <c r="C240" t="s">
        <v>29</v>
      </c>
      <c r="D240">
        <v>4</v>
      </c>
      <c r="E240">
        <v>6</v>
      </c>
      <c r="F240">
        <v>0</v>
      </c>
      <c r="G240">
        <v>0</v>
      </c>
      <c r="H240">
        <v>2</v>
      </c>
      <c r="I240">
        <v>0</v>
      </c>
      <c r="J240">
        <v>23</v>
      </c>
      <c r="K240">
        <v>23</v>
      </c>
      <c r="L240" s="27">
        <v>46078.635370370372</v>
      </c>
    </row>
    <row r="241" spans="1:12" x14ac:dyDescent="0.25">
      <c r="A241" s="26">
        <v>46046</v>
      </c>
      <c r="B241">
        <v>1</v>
      </c>
      <c r="C241" t="s">
        <v>29</v>
      </c>
      <c r="D241">
        <v>3</v>
      </c>
      <c r="E241">
        <v>2</v>
      </c>
      <c r="F241">
        <v>0</v>
      </c>
      <c r="G241">
        <v>0</v>
      </c>
      <c r="H241">
        <v>2</v>
      </c>
      <c r="I241">
        <v>0</v>
      </c>
      <c r="J241">
        <v>23</v>
      </c>
      <c r="K241">
        <v>26</v>
      </c>
      <c r="L241" s="27">
        <v>46078.635381944441</v>
      </c>
    </row>
    <row r="242" spans="1:12" x14ac:dyDescent="0.25">
      <c r="A242" s="26">
        <v>46047</v>
      </c>
      <c r="B242">
        <v>1</v>
      </c>
      <c r="C242" t="s">
        <v>29</v>
      </c>
      <c r="D242">
        <v>1</v>
      </c>
      <c r="E242">
        <v>4</v>
      </c>
      <c r="F242">
        <v>0</v>
      </c>
      <c r="G242">
        <v>0</v>
      </c>
      <c r="H242">
        <v>2</v>
      </c>
      <c r="I242">
        <v>0</v>
      </c>
      <c r="J242">
        <v>26</v>
      </c>
      <c r="K242">
        <v>25</v>
      </c>
      <c r="L242" s="27">
        <v>46078.635381944441</v>
      </c>
    </row>
    <row r="243" spans="1:12" x14ac:dyDescent="0.25">
      <c r="A243" s="26">
        <v>46048</v>
      </c>
      <c r="B243">
        <v>1</v>
      </c>
      <c r="C243" t="s">
        <v>29</v>
      </c>
      <c r="D243">
        <v>0</v>
      </c>
      <c r="E243">
        <v>4</v>
      </c>
      <c r="F243">
        <v>0</v>
      </c>
      <c r="G243">
        <v>0</v>
      </c>
      <c r="H243">
        <v>1</v>
      </c>
      <c r="I243">
        <v>0</v>
      </c>
      <c r="J243">
        <v>25</v>
      </c>
      <c r="K243">
        <v>22</v>
      </c>
      <c r="L243" s="27">
        <v>46078.635393518518</v>
      </c>
    </row>
    <row r="244" spans="1:12" x14ac:dyDescent="0.25">
      <c r="A244" s="26">
        <v>46049</v>
      </c>
      <c r="B244">
        <v>1</v>
      </c>
      <c r="C244" t="s">
        <v>29</v>
      </c>
      <c r="D244">
        <v>2</v>
      </c>
      <c r="E244">
        <v>5</v>
      </c>
      <c r="F244">
        <v>1</v>
      </c>
      <c r="G244">
        <v>0</v>
      </c>
      <c r="H244">
        <v>2</v>
      </c>
      <c r="I244">
        <v>0</v>
      </c>
      <c r="J244">
        <v>22</v>
      </c>
      <c r="K244">
        <v>20</v>
      </c>
      <c r="L244" s="27">
        <v>46078.635405092595</v>
      </c>
    </row>
    <row r="245" spans="1:12" x14ac:dyDescent="0.25">
      <c r="A245" s="26">
        <v>46050</v>
      </c>
      <c r="B245">
        <v>1</v>
      </c>
      <c r="C245" t="s">
        <v>29</v>
      </c>
      <c r="D245">
        <v>3</v>
      </c>
      <c r="E245">
        <v>0</v>
      </c>
      <c r="F245">
        <v>0</v>
      </c>
      <c r="G245">
        <v>0</v>
      </c>
      <c r="H245">
        <v>2</v>
      </c>
      <c r="I245">
        <v>0</v>
      </c>
      <c r="J245">
        <v>20</v>
      </c>
      <c r="K245">
        <v>25</v>
      </c>
      <c r="L245" s="27">
        <v>46078.635405092595</v>
      </c>
    </row>
    <row r="246" spans="1:12" x14ac:dyDescent="0.25">
      <c r="A246" s="26">
        <v>46051</v>
      </c>
      <c r="B246">
        <v>1</v>
      </c>
      <c r="C246" t="s">
        <v>29</v>
      </c>
      <c r="D246">
        <v>1</v>
      </c>
      <c r="E246">
        <v>6</v>
      </c>
      <c r="F246">
        <v>0</v>
      </c>
      <c r="G246">
        <v>0</v>
      </c>
      <c r="H246">
        <v>0</v>
      </c>
      <c r="I246">
        <v>0</v>
      </c>
      <c r="J246">
        <v>25</v>
      </c>
      <c r="K246">
        <v>20</v>
      </c>
      <c r="L246" s="27">
        <v>46078.635416666664</v>
      </c>
    </row>
    <row r="247" spans="1:12" x14ac:dyDescent="0.25">
      <c r="A247" s="26">
        <v>46052</v>
      </c>
      <c r="B247">
        <v>1</v>
      </c>
      <c r="C247" t="s">
        <v>29</v>
      </c>
      <c r="D247">
        <v>0</v>
      </c>
      <c r="E247">
        <v>6</v>
      </c>
      <c r="F247">
        <v>0</v>
      </c>
      <c r="G247">
        <v>0</v>
      </c>
      <c r="H247">
        <v>0</v>
      </c>
      <c r="I247">
        <v>0</v>
      </c>
      <c r="J247">
        <v>20</v>
      </c>
      <c r="K247">
        <v>14</v>
      </c>
      <c r="L247" s="27">
        <v>46078.635428240741</v>
      </c>
    </row>
    <row r="248" spans="1:12" x14ac:dyDescent="0.25">
      <c r="A248" s="26">
        <v>46053</v>
      </c>
      <c r="B248">
        <v>1</v>
      </c>
      <c r="C248" t="s">
        <v>29</v>
      </c>
      <c r="D248">
        <v>3</v>
      </c>
      <c r="E248">
        <v>1</v>
      </c>
      <c r="F248">
        <v>0</v>
      </c>
      <c r="G248">
        <v>0</v>
      </c>
      <c r="H248">
        <v>3</v>
      </c>
      <c r="I248">
        <v>0</v>
      </c>
      <c r="J248">
        <v>14</v>
      </c>
      <c r="K248">
        <v>19</v>
      </c>
      <c r="L248" s="27">
        <v>46078.635428240741</v>
      </c>
    </row>
    <row r="249" spans="1:12" x14ac:dyDescent="0.25">
      <c r="A249" s="26">
        <v>46023</v>
      </c>
      <c r="B249">
        <v>1</v>
      </c>
      <c r="C249" t="s">
        <v>41</v>
      </c>
      <c r="D249">
        <v>0</v>
      </c>
      <c r="E249">
        <v>2</v>
      </c>
      <c r="F249">
        <v>0</v>
      </c>
      <c r="G249">
        <v>0</v>
      </c>
      <c r="H249">
        <v>0</v>
      </c>
      <c r="I249">
        <v>0</v>
      </c>
      <c r="J249">
        <v>14</v>
      </c>
      <c r="K249">
        <v>12</v>
      </c>
      <c r="L249" s="27">
        <v>46078.635439814818</v>
      </c>
    </row>
    <row r="250" spans="1:12" x14ac:dyDescent="0.25">
      <c r="A250" s="26">
        <v>46024</v>
      </c>
      <c r="B250">
        <v>1</v>
      </c>
      <c r="C250" t="s">
        <v>41</v>
      </c>
      <c r="D250">
        <v>0</v>
      </c>
      <c r="E250">
        <v>2</v>
      </c>
      <c r="F250">
        <v>0</v>
      </c>
      <c r="G250">
        <v>0</v>
      </c>
      <c r="H250">
        <v>0</v>
      </c>
      <c r="I250">
        <v>0</v>
      </c>
      <c r="J250">
        <v>12</v>
      </c>
      <c r="K250">
        <v>10</v>
      </c>
      <c r="L250" s="27">
        <v>46078.635439814818</v>
      </c>
    </row>
    <row r="251" spans="1:12" x14ac:dyDescent="0.25">
      <c r="A251" s="26">
        <v>46025</v>
      </c>
      <c r="B251">
        <v>1</v>
      </c>
      <c r="C251" t="s">
        <v>41</v>
      </c>
      <c r="D251">
        <v>1</v>
      </c>
      <c r="E251">
        <v>1</v>
      </c>
      <c r="F251">
        <v>1</v>
      </c>
      <c r="G251">
        <v>0</v>
      </c>
      <c r="H251">
        <v>0</v>
      </c>
      <c r="I251">
        <v>0</v>
      </c>
      <c r="J251">
        <v>10</v>
      </c>
      <c r="K251">
        <v>9</v>
      </c>
      <c r="L251" s="27">
        <v>46078.635451388887</v>
      </c>
    </row>
    <row r="252" spans="1:12" x14ac:dyDescent="0.25">
      <c r="A252" s="26">
        <v>46026</v>
      </c>
      <c r="B252">
        <v>1</v>
      </c>
      <c r="C252" t="s">
        <v>41</v>
      </c>
      <c r="D252">
        <v>0</v>
      </c>
      <c r="E252">
        <v>0</v>
      </c>
      <c r="F252">
        <v>1</v>
      </c>
      <c r="G252">
        <v>0</v>
      </c>
      <c r="H252">
        <v>0</v>
      </c>
      <c r="I252">
        <v>0</v>
      </c>
      <c r="J252">
        <v>9</v>
      </c>
      <c r="K252">
        <v>8</v>
      </c>
      <c r="L252" s="27">
        <v>46078.635462962964</v>
      </c>
    </row>
    <row r="253" spans="1:12" x14ac:dyDescent="0.25">
      <c r="A253" s="26">
        <v>46027</v>
      </c>
      <c r="B253">
        <v>1</v>
      </c>
      <c r="C253" t="s">
        <v>41</v>
      </c>
      <c r="D253">
        <v>2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8</v>
      </c>
      <c r="K253">
        <v>9</v>
      </c>
      <c r="L253" s="27">
        <v>46078.635462962964</v>
      </c>
    </row>
    <row r="254" spans="1:12" x14ac:dyDescent="0.25">
      <c r="A254" s="26">
        <v>46028</v>
      </c>
      <c r="B254">
        <v>1</v>
      </c>
      <c r="C254" t="s">
        <v>41</v>
      </c>
      <c r="D254">
        <v>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9</v>
      </c>
      <c r="K254">
        <v>13</v>
      </c>
      <c r="L254" s="27">
        <v>46078.635474537034</v>
      </c>
    </row>
    <row r="255" spans="1:12" x14ac:dyDescent="0.25">
      <c r="A255" s="26">
        <v>46029</v>
      </c>
      <c r="B255">
        <v>1</v>
      </c>
      <c r="C255" t="s">
        <v>41</v>
      </c>
      <c r="D255">
        <v>4</v>
      </c>
      <c r="E255">
        <v>2</v>
      </c>
      <c r="F255">
        <v>0</v>
      </c>
      <c r="G255">
        <v>0</v>
      </c>
      <c r="H255">
        <v>0</v>
      </c>
      <c r="I255">
        <v>0</v>
      </c>
      <c r="J255">
        <v>13</v>
      </c>
      <c r="K255">
        <v>15</v>
      </c>
      <c r="L255" s="27">
        <v>46078.63548611111</v>
      </c>
    </row>
    <row r="256" spans="1:12" x14ac:dyDescent="0.25">
      <c r="A256" s="26">
        <v>46030</v>
      </c>
      <c r="B256">
        <v>1</v>
      </c>
      <c r="C256" t="s">
        <v>41</v>
      </c>
      <c r="D256">
        <v>2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15</v>
      </c>
      <c r="K256">
        <v>16</v>
      </c>
      <c r="L256" s="27">
        <v>46078.63548611111</v>
      </c>
    </row>
    <row r="257" spans="1:12" x14ac:dyDescent="0.25">
      <c r="A257" s="26">
        <v>46031</v>
      </c>
      <c r="B257">
        <v>1</v>
      </c>
      <c r="C257" t="s">
        <v>41</v>
      </c>
      <c r="D257">
        <v>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16</v>
      </c>
      <c r="K257">
        <v>18</v>
      </c>
      <c r="L257" s="27">
        <v>46078.635497685187</v>
      </c>
    </row>
    <row r="258" spans="1:12" x14ac:dyDescent="0.25">
      <c r="A258" s="26">
        <v>46032</v>
      </c>
      <c r="B258">
        <v>1</v>
      </c>
      <c r="C258" t="s">
        <v>41</v>
      </c>
      <c r="D258">
        <v>1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18</v>
      </c>
      <c r="K258">
        <v>18</v>
      </c>
      <c r="L258" s="27">
        <v>46078.635509259257</v>
      </c>
    </row>
    <row r="259" spans="1:12" x14ac:dyDescent="0.25">
      <c r="A259" s="26">
        <v>46033</v>
      </c>
      <c r="B259">
        <v>1</v>
      </c>
      <c r="C259" t="s">
        <v>41</v>
      </c>
      <c r="D259">
        <v>1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18</v>
      </c>
      <c r="K259">
        <v>18</v>
      </c>
      <c r="L259" s="27">
        <v>46078.635509259257</v>
      </c>
    </row>
    <row r="260" spans="1:12" x14ac:dyDescent="0.25">
      <c r="A260" s="26">
        <v>46034</v>
      </c>
      <c r="B260">
        <v>1</v>
      </c>
      <c r="C260" t="s">
        <v>41</v>
      </c>
      <c r="D260">
        <v>4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18</v>
      </c>
      <c r="K260">
        <v>22</v>
      </c>
      <c r="L260" s="27">
        <v>46078.635520833333</v>
      </c>
    </row>
    <row r="261" spans="1:12" x14ac:dyDescent="0.25">
      <c r="A261" s="26">
        <v>46035</v>
      </c>
      <c r="B261">
        <v>1</v>
      </c>
      <c r="C261" t="s">
        <v>41</v>
      </c>
      <c r="D261">
        <v>4</v>
      </c>
      <c r="E261">
        <v>4</v>
      </c>
      <c r="F261">
        <v>0</v>
      </c>
      <c r="G261">
        <v>0</v>
      </c>
      <c r="H261">
        <v>0</v>
      </c>
      <c r="I261">
        <v>0</v>
      </c>
      <c r="J261">
        <v>22</v>
      </c>
      <c r="K261">
        <v>22</v>
      </c>
      <c r="L261" s="27">
        <v>46078.63553240741</v>
      </c>
    </row>
    <row r="262" spans="1:12" x14ac:dyDescent="0.25">
      <c r="A262" s="26">
        <v>46036</v>
      </c>
      <c r="B262">
        <v>1</v>
      </c>
      <c r="C262" t="s">
        <v>41</v>
      </c>
      <c r="D262">
        <v>3</v>
      </c>
      <c r="E262">
        <v>4</v>
      </c>
      <c r="F262">
        <v>1</v>
      </c>
      <c r="G262">
        <v>0</v>
      </c>
      <c r="H262">
        <v>0</v>
      </c>
      <c r="I262">
        <v>0</v>
      </c>
      <c r="J262">
        <v>22</v>
      </c>
      <c r="K262">
        <v>20</v>
      </c>
      <c r="L262" s="27">
        <v>46078.63553240741</v>
      </c>
    </row>
    <row r="263" spans="1:12" x14ac:dyDescent="0.25">
      <c r="A263" s="26">
        <v>46037</v>
      </c>
      <c r="B263">
        <v>1</v>
      </c>
      <c r="C263" t="s">
        <v>41</v>
      </c>
      <c r="D263">
        <v>0</v>
      </c>
      <c r="E263">
        <v>3</v>
      </c>
      <c r="F263">
        <v>0</v>
      </c>
      <c r="G263">
        <v>0</v>
      </c>
      <c r="H263">
        <v>0</v>
      </c>
      <c r="I263">
        <v>0</v>
      </c>
      <c r="J263">
        <v>20</v>
      </c>
      <c r="K263">
        <v>17</v>
      </c>
      <c r="L263" s="27">
        <v>46078.63554398148</v>
      </c>
    </row>
    <row r="264" spans="1:12" x14ac:dyDescent="0.25">
      <c r="A264" s="26">
        <v>46038</v>
      </c>
      <c r="B264">
        <v>1</v>
      </c>
      <c r="C264" t="s">
        <v>41</v>
      </c>
      <c r="D264">
        <v>0</v>
      </c>
      <c r="E264">
        <v>4</v>
      </c>
      <c r="F264">
        <v>0</v>
      </c>
      <c r="G264">
        <v>0</v>
      </c>
      <c r="H264">
        <v>0</v>
      </c>
      <c r="I264">
        <v>0</v>
      </c>
      <c r="J264">
        <v>17</v>
      </c>
      <c r="K264">
        <v>13</v>
      </c>
      <c r="L264" s="27">
        <v>46078.635555555556</v>
      </c>
    </row>
    <row r="265" spans="1:12" x14ac:dyDescent="0.25">
      <c r="A265" s="26">
        <v>46039</v>
      </c>
      <c r="B265">
        <v>1</v>
      </c>
      <c r="C265" t="s">
        <v>41</v>
      </c>
      <c r="D265">
        <v>1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13</v>
      </c>
      <c r="K265">
        <v>14</v>
      </c>
      <c r="L265" s="27">
        <v>46078.635555555556</v>
      </c>
    </row>
    <row r="266" spans="1:12" x14ac:dyDescent="0.25">
      <c r="A266" s="26">
        <v>46040</v>
      </c>
      <c r="B266">
        <v>1</v>
      </c>
      <c r="C266" t="s">
        <v>41</v>
      </c>
      <c r="D266">
        <v>2</v>
      </c>
      <c r="E266">
        <v>0</v>
      </c>
      <c r="F266">
        <v>1</v>
      </c>
      <c r="G266">
        <v>0</v>
      </c>
      <c r="H266">
        <v>0</v>
      </c>
      <c r="I266">
        <v>0</v>
      </c>
      <c r="J266">
        <v>14</v>
      </c>
      <c r="K266">
        <v>15</v>
      </c>
      <c r="L266" s="27">
        <v>46078.635567129626</v>
      </c>
    </row>
    <row r="267" spans="1:12" x14ac:dyDescent="0.25">
      <c r="A267" s="26">
        <v>46041</v>
      </c>
      <c r="B267">
        <v>1</v>
      </c>
      <c r="C267" t="s">
        <v>41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15</v>
      </c>
      <c r="K267">
        <v>16</v>
      </c>
      <c r="L267" s="27">
        <v>46078.635578703703</v>
      </c>
    </row>
    <row r="268" spans="1:12" x14ac:dyDescent="0.25">
      <c r="A268" s="26">
        <v>46042</v>
      </c>
      <c r="B268">
        <v>1</v>
      </c>
      <c r="C268" t="s">
        <v>41</v>
      </c>
      <c r="D268">
        <v>1</v>
      </c>
      <c r="E268">
        <v>3</v>
      </c>
      <c r="F268">
        <v>0</v>
      </c>
      <c r="G268">
        <v>0</v>
      </c>
      <c r="H268">
        <v>0</v>
      </c>
      <c r="I268">
        <v>0</v>
      </c>
      <c r="J268">
        <v>16</v>
      </c>
      <c r="K268">
        <v>14</v>
      </c>
      <c r="L268" s="27">
        <v>46078.635578703703</v>
      </c>
    </row>
    <row r="269" spans="1:12" x14ac:dyDescent="0.25">
      <c r="A269" s="26">
        <v>46043</v>
      </c>
      <c r="B269">
        <v>1</v>
      </c>
      <c r="C269" t="s">
        <v>41</v>
      </c>
      <c r="D269">
        <v>1</v>
      </c>
      <c r="E269">
        <v>3</v>
      </c>
      <c r="F269">
        <v>0</v>
      </c>
      <c r="G269">
        <v>0</v>
      </c>
      <c r="H269">
        <v>0</v>
      </c>
      <c r="I269">
        <v>0</v>
      </c>
      <c r="J269">
        <v>14</v>
      </c>
      <c r="K269">
        <v>12</v>
      </c>
      <c r="L269" s="27">
        <v>46078.63559027778</v>
      </c>
    </row>
    <row r="270" spans="1:12" x14ac:dyDescent="0.25">
      <c r="A270" s="26">
        <v>46044</v>
      </c>
      <c r="B270">
        <v>1</v>
      </c>
      <c r="C270" t="s">
        <v>41</v>
      </c>
      <c r="D270">
        <v>4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12</v>
      </c>
      <c r="K270">
        <v>15</v>
      </c>
      <c r="L270" s="27">
        <v>46078.635601851849</v>
      </c>
    </row>
    <row r="271" spans="1:12" x14ac:dyDescent="0.25">
      <c r="A271" s="26">
        <v>46045</v>
      </c>
      <c r="B271">
        <v>1</v>
      </c>
      <c r="C271" t="s">
        <v>41</v>
      </c>
      <c r="D271">
        <v>2</v>
      </c>
      <c r="E271">
        <v>3</v>
      </c>
      <c r="F271">
        <v>0</v>
      </c>
      <c r="G271">
        <v>0</v>
      </c>
      <c r="H271">
        <v>0</v>
      </c>
      <c r="I271">
        <v>0</v>
      </c>
      <c r="J271">
        <v>15</v>
      </c>
      <c r="K271">
        <v>14</v>
      </c>
      <c r="L271" s="27">
        <v>46078.635601851849</v>
      </c>
    </row>
    <row r="272" spans="1:12" x14ac:dyDescent="0.25">
      <c r="A272" s="26">
        <v>46046</v>
      </c>
      <c r="B272">
        <v>1</v>
      </c>
      <c r="C272" t="s">
        <v>41</v>
      </c>
      <c r="D272">
        <v>0</v>
      </c>
      <c r="E272">
        <v>3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11</v>
      </c>
      <c r="L272" s="27">
        <v>46078.635613425926</v>
      </c>
    </row>
    <row r="273" spans="1:12" x14ac:dyDescent="0.25">
      <c r="A273" s="26">
        <v>46047</v>
      </c>
      <c r="B273">
        <v>1</v>
      </c>
      <c r="C273" t="s">
        <v>41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0</v>
      </c>
      <c r="J273">
        <v>11</v>
      </c>
      <c r="K273">
        <v>10</v>
      </c>
      <c r="L273" s="27">
        <v>46078.635613425926</v>
      </c>
    </row>
    <row r="274" spans="1:12" x14ac:dyDescent="0.25">
      <c r="A274" s="26">
        <v>46048</v>
      </c>
      <c r="B274">
        <v>1</v>
      </c>
      <c r="C274" t="s">
        <v>41</v>
      </c>
      <c r="D274">
        <v>2</v>
      </c>
      <c r="E274">
        <v>2</v>
      </c>
      <c r="F274">
        <v>0</v>
      </c>
      <c r="G274">
        <v>0</v>
      </c>
      <c r="H274">
        <v>0</v>
      </c>
      <c r="I274">
        <v>0</v>
      </c>
      <c r="J274">
        <v>10</v>
      </c>
      <c r="K274">
        <v>10</v>
      </c>
      <c r="L274" s="27">
        <v>46078.635625000003</v>
      </c>
    </row>
    <row r="275" spans="1:12" x14ac:dyDescent="0.25">
      <c r="A275" s="26">
        <v>46049</v>
      </c>
      <c r="B275">
        <v>1</v>
      </c>
      <c r="C275" t="s">
        <v>41</v>
      </c>
      <c r="D275">
        <v>3</v>
      </c>
      <c r="E275">
        <v>3</v>
      </c>
      <c r="F275">
        <v>0</v>
      </c>
      <c r="G275">
        <v>0</v>
      </c>
      <c r="H275">
        <v>0</v>
      </c>
      <c r="I275">
        <v>0</v>
      </c>
      <c r="J275">
        <v>10</v>
      </c>
      <c r="K275">
        <v>10</v>
      </c>
      <c r="L275" s="27">
        <v>46078.635636574072</v>
      </c>
    </row>
    <row r="276" spans="1:12" x14ac:dyDescent="0.25">
      <c r="A276" s="26">
        <v>46050</v>
      </c>
      <c r="B276">
        <v>1</v>
      </c>
      <c r="C276" t="s">
        <v>41</v>
      </c>
      <c r="D276">
        <v>1</v>
      </c>
      <c r="E276">
        <v>2</v>
      </c>
      <c r="F276">
        <v>0</v>
      </c>
      <c r="G276">
        <v>0</v>
      </c>
      <c r="H276">
        <v>0</v>
      </c>
      <c r="I276">
        <v>0</v>
      </c>
      <c r="J276">
        <v>10</v>
      </c>
      <c r="K276">
        <v>9</v>
      </c>
      <c r="L276" s="27">
        <v>46078.635636574072</v>
      </c>
    </row>
    <row r="277" spans="1:12" x14ac:dyDescent="0.25">
      <c r="A277" s="26">
        <v>46051</v>
      </c>
      <c r="B277">
        <v>1</v>
      </c>
      <c r="C277" t="s">
        <v>41</v>
      </c>
      <c r="D277">
        <v>0</v>
      </c>
      <c r="E277">
        <v>0</v>
      </c>
      <c r="F277">
        <v>3</v>
      </c>
      <c r="G277">
        <v>0</v>
      </c>
      <c r="H277">
        <v>0</v>
      </c>
      <c r="I277">
        <v>0</v>
      </c>
      <c r="J277">
        <v>9</v>
      </c>
      <c r="K277">
        <v>6</v>
      </c>
      <c r="L277" s="27">
        <v>46078.635648148149</v>
      </c>
    </row>
    <row r="278" spans="1:12" x14ac:dyDescent="0.25">
      <c r="A278" s="26">
        <v>46052</v>
      </c>
      <c r="B278">
        <v>1</v>
      </c>
      <c r="C278" t="s">
        <v>41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6</v>
      </c>
      <c r="K278">
        <v>7</v>
      </c>
      <c r="L278" s="27">
        <v>46078.635659722226</v>
      </c>
    </row>
    <row r="279" spans="1:12" x14ac:dyDescent="0.25">
      <c r="A279" s="26">
        <v>46053</v>
      </c>
      <c r="B279">
        <v>1</v>
      </c>
      <c r="C279" t="s">
        <v>41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7</v>
      </c>
      <c r="K279">
        <v>7</v>
      </c>
      <c r="L279" s="27">
        <v>46078.635659722226</v>
      </c>
    </row>
  </sheetData>
  <sortState xmlns:xlrd2="http://schemas.microsoft.com/office/spreadsheetml/2017/richdata2" ref="A2:L279">
    <sortCondition ref="C2:C279"/>
    <sortCondition ref="A2:A279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669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82</v>
      </c>
      <c r="B1" t="s">
        <v>83</v>
      </c>
      <c r="C1" t="s">
        <v>72</v>
      </c>
      <c r="D1" t="s">
        <v>23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81</v>
      </c>
    </row>
    <row r="2" spans="1:11" x14ac:dyDescent="0.25">
      <c r="A2" t="s">
        <v>316</v>
      </c>
      <c r="B2" s="26">
        <v>46023</v>
      </c>
      <c r="C2">
        <v>1</v>
      </c>
      <c r="D2" t="s">
        <v>37</v>
      </c>
      <c r="E2" t="s">
        <v>317</v>
      </c>
      <c r="G2">
        <v>16</v>
      </c>
      <c r="H2" t="s">
        <v>204</v>
      </c>
      <c r="I2" t="s">
        <v>205</v>
      </c>
      <c r="J2" t="s">
        <v>228</v>
      </c>
      <c r="K2" s="27">
        <v>46070.431875000002</v>
      </c>
    </row>
    <row r="3" spans="1:11" x14ac:dyDescent="0.25">
      <c r="A3" t="s">
        <v>318</v>
      </c>
      <c r="B3" s="26">
        <v>46023</v>
      </c>
      <c r="C3">
        <v>1</v>
      </c>
      <c r="D3" t="s">
        <v>37</v>
      </c>
      <c r="E3" t="s">
        <v>317</v>
      </c>
      <c r="G3">
        <v>41</v>
      </c>
      <c r="H3" t="s">
        <v>204</v>
      </c>
      <c r="I3" t="s">
        <v>205</v>
      </c>
      <c r="J3" t="s">
        <v>228</v>
      </c>
      <c r="K3" s="27">
        <v>46070.431967592594</v>
      </c>
    </row>
    <row r="4" spans="1:11" x14ac:dyDescent="0.25">
      <c r="A4" t="s">
        <v>319</v>
      </c>
      <c r="B4" s="26">
        <v>46023</v>
      </c>
      <c r="C4">
        <v>1</v>
      </c>
      <c r="D4" t="s">
        <v>37</v>
      </c>
      <c r="E4" t="s">
        <v>317</v>
      </c>
      <c r="G4">
        <v>31</v>
      </c>
      <c r="H4" t="s">
        <v>204</v>
      </c>
      <c r="I4" t="s">
        <v>205</v>
      </c>
      <c r="J4" t="s">
        <v>228</v>
      </c>
      <c r="K4" s="27">
        <v>46070.431979166664</v>
      </c>
    </row>
    <row r="5" spans="1:11" x14ac:dyDescent="0.25">
      <c r="A5" t="s">
        <v>320</v>
      </c>
      <c r="B5" s="26">
        <v>46023</v>
      </c>
      <c r="C5">
        <v>1</v>
      </c>
      <c r="D5" t="s">
        <v>37</v>
      </c>
      <c r="E5" t="s">
        <v>317</v>
      </c>
      <c r="G5">
        <v>27</v>
      </c>
      <c r="H5" t="s">
        <v>204</v>
      </c>
      <c r="I5" t="s">
        <v>205</v>
      </c>
      <c r="J5" t="s">
        <v>228</v>
      </c>
      <c r="K5" s="27">
        <v>46070.432025462964</v>
      </c>
    </row>
    <row r="6" spans="1:11" x14ac:dyDescent="0.25">
      <c r="A6" t="s">
        <v>321</v>
      </c>
      <c r="B6" s="26">
        <v>46024</v>
      </c>
      <c r="C6">
        <v>1</v>
      </c>
      <c r="D6" t="s">
        <v>37</v>
      </c>
      <c r="E6" t="s">
        <v>317</v>
      </c>
      <c r="G6">
        <v>37</v>
      </c>
      <c r="H6" t="s">
        <v>204</v>
      </c>
      <c r="I6" t="s">
        <v>205</v>
      </c>
      <c r="J6" t="s">
        <v>228</v>
      </c>
      <c r="K6" s="27">
        <v>46070.432534722226</v>
      </c>
    </row>
    <row r="7" spans="1:11" x14ac:dyDescent="0.25">
      <c r="A7" t="s">
        <v>322</v>
      </c>
      <c r="B7" s="26">
        <v>46024</v>
      </c>
      <c r="C7">
        <v>1</v>
      </c>
      <c r="D7" t="s">
        <v>37</v>
      </c>
      <c r="E7" t="s">
        <v>317</v>
      </c>
      <c r="G7">
        <v>14</v>
      </c>
      <c r="H7" t="s">
        <v>204</v>
      </c>
      <c r="I7" t="s">
        <v>205</v>
      </c>
      <c r="J7" t="s">
        <v>228</v>
      </c>
      <c r="K7" s="27">
        <v>46070.432569444441</v>
      </c>
    </row>
    <row r="8" spans="1:11" x14ac:dyDescent="0.25">
      <c r="A8" t="s">
        <v>323</v>
      </c>
      <c r="B8" s="26">
        <v>46024</v>
      </c>
      <c r="C8">
        <v>1</v>
      </c>
      <c r="D8" t="s">
        <v>37</v>
      </c>
      <c r="E8" t="s">
        <v>317</v>
      </c>
      <c r="G8">
        <v>22</v>
      </c>
      <c r="H8" t="s">
        <v>204</v>
      </c>
      <c r="I8" t="s">
        <v>205</v>
      </c>
      <c r="J8" t="s">
        <v>228</v>
      </c>
      <c r="K8" s="27">
        <v>46070.432581018518</v>
      </c>
    </row>
    <row r="9" spans="1:11" x14ac:dyDescent="0.25">
      <c r="A9" t="s">
        <v>324</v>
      </c>
      <c r="B9" s="26">
        <v>46024</v>
      </c>
      <c r="C9">
        <v>1</v>
      </c>
      <c r="D9" t="s">
        <v>37</v>
      </c>
      <c r="E9" t="s">
        <v>317</v>
      </c>
      <c r="G9">
        <v>33</v>
      </c>
      <c r="H9" t="s">
        <v>204</v>
      </c>
      <c r="I9" t="s">
        <v>205</v>
      </c>
      <c r="J9" t="s">
        <v>228</v>
      </c>
      <c r="K9" s="27">
        <v>46070.432592592595</v>
      </c>
    </row>
    <row r="10" spans="1:11" x14ac:dyDescent="0.25">
      <c r="A10" t="s">
        <v>325</v>
      </c>
      <c r="B10" s="26">
        <v>46025</v>
      </c>
      <c r="C10">
        <v>1</v>
      </c>
      <c r="D10" t="s">
        <v>37</v>
      </c>
      <c r="E10" t="s">
        <v>317</v>
      </c>
      <c r="G10">
        <v>15</v>
      </c>
      <c r="H10" t="s">
        <v>204</v>
      </c>
      <c r="I10" t="s">
        <v>205</v>
      </c>
      <c r="J10" t="s">
        <v>228</v>
      </c>
      <c r="K10" s="27">
        <v>46070.492245370369</v>
      </c>
    </row>
    <row r="11" spans="1:11" x14ac:dyDescent="0.25">
      <c r="A11" t="s">
        <v>326</v>
      </c>
      <c r="B11" s="26">
        <v>46025</v>
      </c>
      <c r="C11">
        <v>1</v>
      </c>
      <c r="D11" t="s">
        <v>37</v>
      </c>
      <c r="E11" t="s">
        <v>317</v>
      </c>
      <c r="G11">
        <v>29</v>
      </c>
      <c r="H11" t="s">
        <v>204</v>
      </c>
      <c r="I11" t="s">
        <v>205</v>
      </c>
      <c r="J11" t="s">
        <v>228</v>
      </c>
      <c r="K11" s="27">
        <v>46070.445023148146</v>
      </c>
    </row>
    <row r="12" spans="1:11" x14ac:dyDescent="0.25">
      <c r="A12" t="s">
        <v>327</v>
      </c>
      <c r="B12" s="26">
        <v>46025</v>
      </c>
      <c r="C12">
        <v>1</v>
      </c>
      <c r="D12" t="s">
        <v>37</v>
      </c>
      <c r="E12" t="s">
        <v>317</v>
      </c>
      <c r="G12">
        <v>22</v>
      </c>
      <c r="H12" t="s">
        <v>204</v>
      </c>
      <c r="I12" t="s">
        <v>205</v>
      </c>
      <c r="J12" t="s">
        <v>228</v>
      </c>
      <c r="K12" s="27">
        <v>46070.445081018515</v>
      </c>
    </row>
    <row r="13" spans="1:11" x14ac:dyDescent="0.25">
      <c r="A13" t="s">
        <v>328</v>
      </c>
      <c r="B13" s="26">
        <v>46026</v>
      </c>
      <c r="C13">
        <v>1</v>
      </c>
      <c r="D13" t="s">
        <v>37</v>
      </c>
      <c r="E13" t="s">
        <v>317</v>
      </c>
      <c r="G13">
        <v>27</v>
      </c>
      <c r="H13" t="s">
        <v>204</v>
      </c>
      <c r="I13" t="s">
        <v>205</v>
      </c>
      <c r="J13" t="s">
        <v>228</v>
      </c>
      <c r="K13" s="27">
        <v>46070.445636574077</v>
      </c>
    </row>
    <row r="14" spans="1:11" x14ac:dyDescent="0.25">
      <c r="A14" t="s">
        <v>329</v>
      </c>
      <c r="B14" s="26">
        <v>46026</v>
      </c>
      <c r="C14">
        <v>1</v>
      </c>
      <c r="D14" t="s">
        <v>37</v>
      </c>
      <c r="E14" t="s">
        <v>317</v>
      </c>
      <c r="G14">
        <v>36</v>
      </c>
      <c r="H14" t="s">
        <v>204</v>
      </c>
      <c r="I14" t="s">
        <v>205</v>
      </c>
      <c r="J14" t="s">
        <v>228</v>
      </c>
      <c r="K14" s="27">
        <v>46070.445659722223</v>
      </c>
    </row>
    <row r="15" spans="1:11" x14ac:dyDescent="0.25">
      <c r="A15" t="s">
        <v>330</v>
      </c>
      <c r="B15" s="26">
        <v>46026</v>
      </c>
      <c r="C15">
        <v>1</v>
      </c>
      <c r="D15" t="s">
        <v>37</v>
      </c>
      <c r="E15" t="s">
        <v>317</v>
      </c>
      <c r="G15">
        <v>31</v>
      </c>
      <c r="H15" t="s">
        <v>204</v>
      </c>
      <c r="I15" t="s">
        <v>205</v>
      </c>
      <c r="J15" t="s">
        <v>228</v>
      </c>
      <c r="K15" s="27">
        <v>46070.445671296293</v>
      </c>
    </row>
    <row r="16" spans="1:11" x14ac:dyDescent="0.25">
      <c r="A16" t="s">
        <v>331</v>
      </c>
      <c r="B16" s="26">
        <v>46026</v>
      </c>
      <c r="C16">
        <v>1</v>
      </c>
      <c r="D16" t="s">
        <v>37</v>
      </c>
      <c r="E16" t="s">
        <v>317</v>
      </c>
      <c r="G16">
        <v>36</v>
      </c>
      <c r="H16" t="s">
        <v>204</v>
      </c>
      <c r="I16" t="s">
        <v>205</v>
      </c>
      <c r="J16" t="s">
        <v>228</v>
      </c>
      <c r="K16" s="27">
        <v>46070.445694444446</v>
      </c>
    </row>
    <row r="17" spans="1:11" x14ac:dyDescent="0.25">
      <c r="A17" t="s">
        <v>332</v>
      </c>
      <c r="B17" s="26">
        <v>46026</v>
      </c>
      <c r="C17">
        <v>1</v>
      </c>
      <c r="D17" t="s">
        <v>37</v>
      </c>
      <c r="E17" t="s">
        <v>317</v>
      </c>
      <c r="G17">
        <v>16</v>
      </c>
      <c r="H17" t="s">
        <v>204</v>
      </c>
      <c r="I17" t="s">
        <v>205</v>
      </c>
      <c r="J17" t="s">
        <v>228</v>
      </c>
      <c r="K17" s="27">
        <v>46070.445856481485</v>
      </c>
    </row>
    <row r="18" spans="1:11" x14ac:dyDescent="0.25">
      <c r="A18" t="s">
        <v>333</v>
      </c>
      <c r="B18" s="26">
        <v>46026</v>
      </c>
      <c r="C18">
        <v>1</v>
      </c>
      <c r="D18" t="s">
        <v>37</v>
      </c>
      <c r="E18" t="s">
        <v>317</v>
      </c>
      <c r="G18">
        <v>27</v>
      </c>
      <c r="H18" t="s">
        <v>204</v>
      </c>
      <c r="I18" t="s">
        <v>205</v>
      </c>
      <c r="J18" t="s">
        <v>228</v>
      </c>
      <c r="K18" s="27">
        <v>46070.445868055554</v>
      </c>
    </row>
    <row r="19" spans="1:11" x14ac:dyDescent="0.25">
      <c r="A19" t="s">
        <v>334</v>
      </c>
      <c r="B19" s="26">
        <v>46026</v>
      </c>
      <c r="C19">
        <v>1</v>
      </c>
      <c r="D19" t="s">
        <v>37</v>
      </c>
      <c r="E19" t="s">
        <v>317</v>
      </c>
      <c r="G19">
        <v>26</v>
      </c>
      <c r="H19" t="s">
        <v>204</v>
      </c>
      <c r="I19" t="s">
        <v>205</v>
      </c>
      <c r="J19" t="s">
        <v>228</v>
      </c>
      <c r="K19" s="27">
        <v>46070.445879629631</v>
      </c>
    </row>
    <row r="20" spans="1:11" x14ac:dyDescent="0.25">
      <c r="A20" t="s">
        <v>335</v>
      </c>
      <c r="B20" s="26">
        <v>46027</v>
      </c>
      <c r="C20">
        <v>1</v>
      </c>
      <c r="D20" t="s">
        <v>37</v>
      </c>
      <c r="E20" t="s">
        <v>317</v>
      </c>
      <c r="G20">
        <v>14</v>
      </c>
      <c r="H20" t="s">
        <v>204</v>
      </c>
      <c r="I20" t="s">
        <v>205</v>
      </c>
      <c r="J20" t="s">
        <v>228</v>
      </c>
      <c r="K20" s="27">
        <v>46070.446018518516</v>
      </c>
    </row>
    <row r="21" spans="1:11" x14ac:dyDescent="0.25">
      <c r="A21" t="s">
        <v>336</v>
      </c>
      <c r="B21" s="26">
        <v>46027</v>
      </c>
      <c r="C21">
        <v>1</v>
      </c>
      <c r="D21" t="s">
        <v>37</v>
      </c>
      <c r="E21" t="s">
        <v>317</v>
      </c>
      <c r="G21">
        <v>21</v>
      </c>
      <c r="H21" t="s">
        <v>204</v>
      </c>
      <c r="I21" t="s">
        <v>205</v>
      </c>
      <c r="J21" t="s">
        <v>228</v>
      </c>
      <c r="K21" s="27">
        <v>46070.446030092593</v>
      </c>
    </row>
    <row r="22" spans="1:11" x14ac:dyDescent="0.25">
      <c r="A22" t="s">
        <v>337</v>
      </c>
      <c r="B22" s="26">
        <v>46027</v>
      </c>
      <c r="C22">
        <v>1</v>
      </c>
      <c r="D22" t="s">
        <v>37</v>
      </c>
      <c r="E22" t="s">
        <v>317</v>
      </c>
      <c r="G22">
        <v>45</v>
      </c>
      <c r="H22" t="s">
        <v>204</v>
      </c>
      <c r="I22" t="s">
        <v>205</v>
      </c>
      <c r="J22" t="s">
        <v>228</v>
      </c>
      <c r="K22" s="27">
        <v>46070.446273148147</v>
      </c>
    </row>
    <row r="23" spans="1:11" x14ac:dyDescent="0.25">
      <c r="A23" t="s">
        <v>338</v>
      </c>
      <c r="B23" s="26">
        <v>46027</v>
      </c>
      <c r="C23">
        <v>1</v>
      </c>
      <c r="D23" t="s">
        <v>37</v>
      </c>
      <c r="E23" t="s">
        <v>317</v>
      </c>
      <c r="G23">
        <v>37</v>
      </c>
      <c r="H23" t="s">
        <v>204</v>
      </c>
      <c r="I23" t="s">
        <v>205</v>
      </c>
      <c r="J23" t="s">
        <v>228</v>
      </c>
      <c r="K23" s="27">
        <v>46070.44630787037</v>
      </c>
    </row>
    <row r="24" spans="1:11" x14ac:dyDescent="0.25">
      <c r="A24" t="s">
        <v>339</v>
      </c>
      <c r="B24" s="26">
        <v>46027</v>
      </c>
      <c r="C24">
        <v>1</v>
      </c>
      <c r="D24" t="s">
        <v>37</v>
      </c>
      <c r="E24" t="s">
        <v>317</v>
      </c>
      <c r="G24">
        <v>19</v>
      </c>
      <c r="H24" t="s">
        <v>204</v>
      </c>
      <c r="I24" t="s">
        <v>205</v>
      </c>
      <c r="J24" t="s">
        <v>228</v>
      </c>
      <c r="K24" s="27">
        <v>46070.446331018517</v>
      </c>
    </row>
    <row r="25" spans="1:11" x14ac:dyDescent="0.25">
      <c r="A25" t="s">
        <v>340</v>
      </c>
      <c r="B25" s="26">
        <v>46028</v>
      </c>
      <c r="C25">
        <v>1</v>
      </c>
      <c r="D25" t="s">
        <v>37</v>
      </c>
      <c r="E25" t="s">
        <v>317</v>
      </c>
      <c r="G25">
        <v>20</v>
      </c>
      <c r="H25" t="s">
        <v>204</v>
      </c>
      <c r="I25" t="s">
        <v>205</v>
      </c>
      <c r="J25" t="s">
        <v>228</v>
      </c>
      <c r="K25" s="27">
        <v>46070.446458333332</v>
      </c>
    </row>
    <row r="26" spans="1:11" x14ac:dyDescent="0.25">
      <c r="A26" t="s">
        <v>341</v>
      </c>
      <c r="B26" s="26">
        <v>46028</v>
      </c>
      <c r="C26">
        <v>1</v>
      </c>
      <c r="D26" t="s">
        <v>37</v>
      </c>
      <c r="E26" t="s">
        <v>317</v>
      </c>
      <c r="G26">
        <v>33</v>
      </c>
      <c r="H26" t="s">
        <v>204</v>
      </c>
      <c r="I26" t="s">
        <v>205</v>
      </c>
      <c r="J26" t="s">
        <v>228</v>
      </c>
      <c r="K26" s="27">
        <v>46070.446469907409</v>
      </c>
    </row>
    <row r="27" spans="1:11" x14ac:dyDescent="0.25">
      <c r="A27" t="s">
        <v>342</v>
      </c>
      <c r="B27" s="26">
        <v>46028</v>
      </c>
      <c r="C27">
        <v>1</v>
      </c>
      <c r="D27" t="s">
        <v>37</v>
      </c>
      <c r="E27" t="s">
        <v>317</v>
      </c>
      <c r="G27">
        <v>21</v>
      </c>
      <c r="H27" t="s">
        <v>204</v>
      </c>
      <c r="I27" t="s">
        <v>205</v>
      </c>
      <c r="J27" t="s">
        <v>228</v>
      </c>
      <c r="K27" s="27">
        <v>46070.446481481478</v>
      </c>
    </row>
    <row r="28" spans="1:11" x14ac:dyDescent="0.25">
      <c r="A28" t="s">
        <v>343</v>
      </c>
      <c r="B28" s="26">
        <v>46028</v>
      </c>
      <c r="C28">
        <v>1</v>
      </c>
      <c r="D28" t="s">
        <v>37</v>
      </c>
      <c r="E28" t="s">
        <v>317</v>
      </c>
      <c r="G28">
        <v>37</v>
      </c>
      <c r="H28" t="s">
        <v>204</v>
      </c>
      <c r="I28" t="s">
        <v>205</v>
      </c>
      <c r="J28" t="s">
        <v>228</v>
      </c>
      <c r="K28" s="27">
        <v>46070.446504629632</v>
      </c>
    </row>
    <row r="29" spans="1:11" x14ac:dyDescent="0.25">
      <c r="A29" t="s">
        <v>344</v>
      </c>
      <c r="B29" s="26">
        <v>46028</v>
      </c>
      <c r="C29">
        <v>1</v>
      </c>
      <c r="D29" t="s">
        <v>37</v>
      </c>
      <c r="E29" t="s">
        <v>317</v>
      </c>
      <c r="G29">
        <v>31</v>
      </c>
      <c r="H29" t="s">
        <v>204</v>
      </c>
      <c r="I29" t="s">
        <v>205</v>
      </c>
      <c r="J29" t="s">
        <v>228</v>
      </c>
      <c r="K29" s="27">
        <v>46070.446562500001</v>
      </c>
    </row>
    <row r="30" spans="1:11" x14ac:dyDescent="0.25">
      <c r="A30" t="s">
        <v>345</v>
      </c>
      <c r="B30" s="26">
        <v>46028</v>
      </c>
      <c r="C30">
        <v>1</v>
      </c>
      <c r="D30" t="s">
        <v>37</v>
      </c>
      <c r="E30" t="s">
        <v>317</v>
      </c>
      <c r="G30">
        <v>37</v>
      </c>
      <c r="H30" t="s">
        <v>204</v>
      </c>
      <c r="I30" t="s">
        <v>205</v>
      </c>
      <c r="J30" t="s">
        <v>228</v>
      </c>
      <c r="K30" s="27">
        <v>46070.446631944447</v>
      </c>
    </row>
    <row r="31" spans="1:11" x14ac:dyDescent="0.25">
      <c r="A31" t="s">
        <v>346</v>
      </c>
      <c r="B31" s="26">
        <v>46029</v>
      </c>
      <c r="C31">
        <v>1</v>
      </c>
      <c r="D31" t="s">
        <v>37</v>
      </c>
      <c r="E31" t="s">
        <v>317</v>
      </c>
      <c r="G31">
        <v>33</v>
      </c>
      <c r="H31" t="s">
        <v>204</v>
      </c>
      <c r="I31" t="s">
        <v>205</v>
      </c>
      <c r="J31" t="s">
        <v>228</v>
      </c>
      <c r="K31" s="27">
        <v>46070.446770833332</v>
      </c>
    </row>
    <row r="32" spans="1:11" x14ac:dyDescent="0.25">
      <c r="A32" t="s">
        <v>347</v>
      </c>
      <c r="B32" s="26">
        <v>46029</v>
      </c>
      <c r="C32">
        <v>1</v>
      </c>
      <c r="D32" t="s">
        <v>37</v>
      </c>
      <c r="E32" t="s">
        <v>317</v>
      </c>
      <c r="G32">
        <v>24</v>
      </c>
      <c r="H32" t="s">
        <v>204</v>
      </c>
      <c r="I32" t="s">
        <v>205</v>
      </c>
      <c r="J32" t="s">
        <v>228</v>
      </c>
      <c r="K32" s="27">
        <v>46070.446805555555</v>
      </c>
    </row>
    <row r="33" spans="1:11" x14ac:dyDescent="0.25">
      <c r="A33" t="s">
        <v>348</v>
      </c>
      <c r="B33" s="26">
        <v>46029</v>
      </c>
      <c r="C33">
        <v>1</v>
      </c>
      <c r="D33" t="s">
        <v>37</v>
      </c>
      <c r="E33" t="s">
        <v>317</v>
      </c>
      <c r="G33">
        <v>34</v>
      </c>
      <c r="H33" t="s">
        <v>204</v>
      </c>
      <c r="I33" t="s">
        <v>205</v>
      </c>
      <c r="J33" t="s">
        <v>228</v>
      </c>
      <c r="K33" s="27">
        <v>46070.446828703702</v>
      </c>
    </row>
    <row r="34" spans="1:11" x14ac:dyDescent="0.25">
      <c r="A34" t="s">
        <v>349</v>
      </c>
      <c r="B34" s="26">
        <v>46030</v>
      </c>
      <c r="C34">
        <v>1</v>
      </c>
      <c r="D34" t="s">
        <v>37</v>
      </c>
      <c r="E34" t="s">
        <v>317</v>
      </c>
      <c r="G34">
        <v>32</v>
      </c>
      <c r="H34" t="s">
        <v>204</v>
      </c>
      <c r="I34" t="s">
        <v>205</v>
      </c>
      <c r="J34" t="s">
        <v>228</v>
      </c>
      <c r="K34" s="27">
        <v>46070.446944444448</v>
      </c>
    </row>
    <row r="35" spans="1:11" x14ac:dyDescent="0.25">
      <c r="A35" t="s">
        <v>350</v>
      </c>
      <c r="B35" s="26">
        <v>46030</v>
      </c>
      <c r="C35">
        <v>1</v>
      </c>
      <c r="D35" t="s">
        <v>37</v>
      </c>
      <c r="E35" t="s">
        <v>317</v>
      </c>
      <c r="G35">
        <v>22</v>
      </c>
      <c r="H35" t="s">
        <v>204</v>
      </c>
      <c r="I35" t="s">
        <v>205</v>
      </c>
      <c r="J35" t="s">
        <v>228</v>
      </c>
      <c r="K35" s="27">
        <v>46070.446979166663</v>
      </c>
    </row>
    <row r="36" spans="1:11" x14ac:dyDescent="0.25">
      <c r="A36" t="s">
        <v>351</v>
      </c>
      <c r="B36" s="26">
        <v>46030</v>
      </c>
      <c r="C36">
        <v>1</v>
      </c>
      <c r="D36" t="s">
        <v>37</v>
      </c>
      <c r="E36" t="s">
        <v>317</v>
      </c>
      <c r="G36">
        <v>25</v>
      </c>
      <c r="H36" t="s">
        <v>204</v>
      </c>
      <c r="I36" t="s">
        <v>205</v>
      </c>
      <c r="J36" t="s">
        <v>228</v>
      </c>
      <c r="K36" s="27">
        <v>46070.447002314817</v>
      </c>
    </row>
    <row r="37" spans="1:11" x14ac:dyDescent="0.25">
      <c r="A37" t="s">
        <v>352</v>
      </c>
      <c r="B37" s="26">
        <v>46030</v>
      </c>
      <c r="C37">
        <v>1</v>
      </c>
      <c r="D37" t="s">
        <v>37</v>
      </c>
      <c r="E37" t="s">
        <v>317</v>
      </c>
      <c r="G37">
        <v>24</v>
      </c>
      <c r="H37" t="s">
        <v>204</v>
      </c>
      <c r="I37" t="s">
        <v>205</v>
      </c>
      <c r="J37" t="s">
        <v>228</v>
      </c>
      <c r="K37" s="27">
        <v>46070.447013888886</v>
      </c>
    </row>
    <row r="38" spans="1:11" x14ac:dyDescent="0.25">
      <c r="A38" t="s">
        <v>353</v>
      </c>
      <c r="B38" s="26">
        <v>46030</v>
      </c>
      <c r="C38">
        <v>1</v>
      </c>
      <c r="D38" t="s">
        <v>37</v>
      </c>
      <c r="E38" t="s">
        <v>317</v>
      </c>
      <c r="G38">
        <v>19</v>
      </c>
      <c r="H38" t="s">
        <v>204</v>
      </c>
      <c r="I38" t="s">
        <v>205</v>
      </c>
      <c r="J38" t="s">
        <v>228</v>
      </c>
      <c r="K38" s="27">
        <v>46070.44703703704</v>
      </c>
    </row>
    <row r="39" spans="1:11" x14ac:dyDescent="0.25">
      <c r="A39" t="s">
        <v>354</v>
      </c>
      <c r="B39" s="26">
        <v>46030</v>
      </c>
      <c r="C39">
        <v>1</v>
      </c>
      <c r="D39" t="s">
        <v>37</v>
      </c>
      <c r="E39" t="s">
        <v>317</v>
      </c>
      <c r="G39">
        <v>32</v>
      </c>
      <c r="H39" t="s">
        <v>204</v>
      </c>
      <c r="I39" t="s">
        <v>205</v>
      </c>
      <c r="J39" t="s">
        <v>228</v>
      </c>
      <c r="K39" s="27">
        <v>46070.447071759256</v>
      </c>
    </row>
    <row r="40" spans="1:11" x14ac:dyDescent="0.25">
      <c r="A40" t="s">
        <v>355</v>
      </c>
      <c r="B40" s="26">
        <v>46030</v>
      </c>
      <c r="C40">
        <v>1</v>
      </c>
      <c r="D40" t="s">
        <v>37</v>
      </c>
      <c r="E40" t="s">
        <v>317</v>
      </c>
      <c r="G40">
        <v>30</v>
      </c>
      <c r="H40" t="s">
        <v>204</v>
      </c>
      <c r="I40" t="s">
        <v>205</v>
      </c>
      <c r="J40" t="s">
        <v>228</v>
      </c>
      <c r="K40" s="27">
        <v>46070.447094907409</v>
      </c>
    </row>
    <row r="41" spans="1:11" x14ac:dyDescent="0.25">
      <c r="A41" t="s">
        <v>356</v>
      </c>
      <c r="B41" s="26">
        <v>46031</v>
      </c>
      <c r="C41">
        <v>1</v>
      </c>
      <c r="D41" t="s">
        <v>37</v>
      </c>
      <c r="E41" t="s">
        <v>317</v>
      </c>
      <c r="G41">
        <v>17</v>
      </c>
      <c r="H41" t="s">
        <v>204</v>
      </c>
      <c r="I41" t="s">
        <v>205</v>
      </c>
      <c r="J41" t="s">
        <v>228</v>
      </c>
      <c r="K41" s="27">
        <v>46070.447384259256</v>
      </c>
    </row>
    <row r="42" spans="1:11" x14ac:dyDescent="0.25">
      <c r="A42" t="s">
        <v>357</v>
      </c>
      <c r="B42" s="26">
        <v>46031</v>
      </c>
      <c r="C42">
        <v>1</v>
      </c>
      <c r="D42" t="s">
        <v>37</v>
      </c>
      <c r="E42" t="s">
        <v>317</v>
      </c>
      <c r="G42">
        <v>23</v>
      </c>
      <c r="H42" t="s">
        <v>204</v>
      </c>
      <c r="I42" t="s">
        <v>205</v>
      </c>
      <c r="J42" t="s">
        <v>228</v>
      </c>
      <c r="K42" s="27">
        <v>46070.44740740741</v>
      </c>
    </row>
    <row r="43" spans="1:11" x14ac:dyDescent="0.25">
      <c r="A43" t="s">
        <v>358</v>
      </c>
      <c r="B43" s="26">
        <v>46031</v>
      </c>
      <c r="C43">
        <v>1</v>
      </c>
      <c r="D43" t="s">
        <v>37</v>
      </c>
      <c r="E43" t="s">
        <v>317</v>
      </c>
      <c r="G43">
        <v>28</v>
      </c>
      <c r="H43" t="s">
        <v>204</v>
      </c>
      <c r="I43" t="s">
        <v>205</v>
      </c>
      <c r="J43" t="s">
        <v>228</v>
      </c>
      <c r="K43" s="27">
        <v>46070.447430555556</v>
      </c>
    </row>
    <row r="44" spans="1:11" x14ac:dyDescent="0.25">
      <c r="A44" t="s">
        <v>359</v>
      </c>
      <c r="B44" s="26">
        <v>46032</v>
      </c>
      <c r="C44">
        <v>1</v>
      </c>
      <c r="D44" t="s">
        <v>37</v>
      </c>
      <c r="E44" t="s">
        <v>317</v>
      </c>
      <c r="G44">
        <v>23</v>
      </c>
      <c r="H44" t="s">
        <v>204</v>
      </c>
      <c r="I44" t="s">
        <v>205</v>
      </c>
      <c r="J44" t="s">
        <v>228</v>
      </c>
      <c r="K44" s="27">
        <v>46070.447511574072</v>
      </c>
    </row>
    <row r="45" spans="1:11" x14ac:dyDescent="0.25">
      <c r="A45" t="s">
        <v>360</v>
      </c>
      <c r="B45" s="26">
        <v>46032</v>
      </c>
      <c r="C45">
        <v>1</v>
      </c>
      <c r="D45" t="s">
        <v>37</v>
      </c>
      <c r="E45" t="s">
        <v>317</v>
      </c>
      <c r="G45">
        <v>16</v>
      </c>
      <c r="H45" t="s">
        <v>204</v>
      </c>
      <c r="I45" t="s">
        <v>205</v>
      </c>
      <c r="J45" t="s">
        <v>228</v>
      </c>
      <c r="K45" s="27">
        <v>46070.447523148148</v>
      </c>
    </row>
    <row r="46" spans="1:11" x14ac:dyDescent="0.25">
      <c r="A46" t="s">
        <v>361</v>
      </c>
      <c r="B46" s="26">
        <v>46032</v>
      </c>
      <c r="C46">
        <v>1</v>
      </c>
      <c r="D46" t="s">
        <v>37</v>
      </c>
      <c r="E46" t="s">
        <v>317</v>
      </c>
      <c r="G46">
        <v>37</v>
      </c>
      <c r="H46" t="s">
        <v>204</v>
      </c>
      <c r="I46" t="s">
        <v>205</v>
      </c>
      <c r="J46" t="s">
        <v>228</v>
      </c>
      <c r="K46" s="27">
        <v>46070.447546296295</v>
      </c>
    </row>
    <row r="47" spans="1:11" x14ac:dyDescent="0.25">
      <c r="A47" t="s">
        <v>362</v>
      </c>
      <c r="B47" s="26">
        <v>46032</v>
      </c>
      <c r="C47">
        <v>1</v>
      </c>
      <c r="D47" t="s">
        <v>37</v>
      </c>
      <c r="E47" t="s">
        <v>317</v>
      </c>
      <c r="G47">
        <v>31</v>
      </c>
      <c r="H47" t="s">
        <v>204</v>
      </c>
      <c r="I47" t="s">
        <v>205</v>
      </c>
      <c r="J47" t="s">
        <v>228</v>
      </c>
      <c r="K47" s="27">
        <v>46070.447592592594</v>
      </c>
    </row>
    <row r="48" spans="1:11" x14ac:dyDescent="0.25">
      <c r="A48" t="s">
        <v>363</v>
      </c>
      <c r="B48" s="26">
        <v>46033</v>
      </c>
      <c r="C48">
        <v>1</v>
      </c>
      <c r="D48" t="s">
        <v>37</v>
      </c>
      <c r="E48" t="s">
        <v>317</v>
      </c>
      <c r="G48">
        <v>25</v>
      </c>
      <c r="H48" t="s">
        <v>204</v>
      </c>
      <c r="I48" t="s">
        <v>205</v>
      </c>
      <c r="J48" t="s">
        <v>228</v>
      </c>
      <c r="K48" s="27">
        <v>46070.451261574075</v>
      </c>
    </row>
    <row r="49" spans="1:11" x14ac:dyDescent="0.25">
      <c r="A49" t="s">
        <v>364</v>
      </c>
      <c r="B49" s="26">
        <v>46033</v>
      </c>
      <c r="C49">
        <v>1</v>
      </c>
      <c r="D49" t="s">
        <v>37</v>
      </c>
      <c r="E49" t="s">
        <v>317</v>
      </c>
      <c r="G49">
        <v>26</v>
      </c>
      <c r="H49" t="s">
        <v>204</v>
      </c>
      <c r="I49" t="s">
        <v>205</v>
      </c>
      <c r="J49" t="s">
        <v>228</v>
      </c>
      <c r="K49" s="27">
        <v>46070.451296296298</v>
      </c>
    </row>
    <row r="50" spans="1:11" x14ac:dyDescent="0.25">
      <c r="A50" t="s">
        <v>365</v>
      </c>
      <c r="B50" s="26">
        <v>46033</v>
      </c>
      <c r="C50">
        <v>1</v>
      </c>
      <c r="D50" t="s">
        <v>37</v>
      </c>
      <c r="E50" t="s">
        <v>317</v>
      </c>
      <c r="G50">
        <v>32</v>
      </c>
      <c r="H50" t="s">
        <v>204</v>
      </c>
      <c r="I50" t="s">
        <v>205</v>
      </c>
      <c r="J50" t="s">
        <v>228</v>
      </c>
      <c r="K50" s="27">
        <v>46070.451307870368</v>
      </c>
    </row>
    <row r="51" spans="1:11" x14ac:dyDescent="0.25">
      <c r="A51" t="s">
        <v>366</v>
      </c>
      <c r="B51" s="26">
        <v>46033</v>
      </c>
      <c r="C51">
        <v>1</v>
      </c>
      <c r="D51" t="s">
        <v>37</v>
      </c>
      <c r="E51" t="s">
        <v>317</v>
      </c>
      <c r="G51">
        <v>26</v>
      </c>
      <c r="H51" t="s">
        <v>204</v>
      </c>
      <c r="I51" t="s">
        <v>205</v>
      </c>
      <c r="J51" t="s">
        <v>228</v>
      </c>
      <c r="K51" s="27">
        <v>46070.451319444444</v>
      </c>
    </row>
    <row r="52" spans="1:11" x14ac:dyDescent="0.25">
      <c r="A52" t="s">
        <v>367</v>
      </c>
      <c r="B52" s="26">
        <v>46033</v>
      </c>
      <c r="C52">
        <v>1</v>
      </c>
      <c r="D52" t="s">
        <v>37</v>
      </c>
      <c r="E52" t="s">
        <v>317</v>
      </c>
      <c r="G52">
        <v>31</v>
      </c>
      <c r="H52" t="s">
        <v>204</v>
      </c>
      <c r="I52" t="s">
        <v>205</v>
      </c>
      <c r="J52" t="s">
        <v>228</v>
      </c>
      <c r="K52" s="27">
        <v>46070.451342592591</v>
      </c>
    </row>
    <row r="53" spans="1:11" x14ac:dyDescent="0.25">
      <c r="A53" t="s">
        <v>368</v>
      </c>
      <c r="B53" s="26">
        <v>46033</v>
      </c>
      <c r="C53">
        <v>1</v>
      </c>
      <c r="D53" t="s">
        <v>37</v>
      </c>
      <c r="E53" t="s">
        <v>317</v>
      </c>
      <c r="G53">
        <v>23</v>
      </c>
      <c r="H53" t="s">
        <v>204</v>
      </c>
      <c r="I53" t="s">
        <v>205</v>
      </c>
      <c r="J53" t="s">
        <v>228</v>
      </c>
      <c r="K53" s="27">
        <v>46070.451354166667</v>
      </c>
    </row>
    <row r="54" spans="1:11" x14ac:dyDescent="0.25">
      <c r="A54" t="s">
        <v>369</v>
      </c>
      <c r="B54" s="26">
        <v>46034</v>
      </c>
      <c r="C54">
        <v>1</v>
      </c>
      <c r="D54" t="s">
        <v>37</v>
      </c>
      <c r="E54" t="s">
        <v>317</v>
      </c>
      <c r="G54">
        <v>31</v>
      </c>
      <c r="H54" t="s">
        <v>204</v>
      </c>
      <c r="I54" t="s">
        <v>205</v>
      </c>
      <c r="J54" t="s">
        <v>228</v>
      </c>
      <c r="K54" s="27">
        <v>46070.451527777775</v>
      </c>
    </row>
    <row r="55" spans="1:11" x14ac:dyDescent="0.25">
      <c r="A55" t="s">
        <v>370</v>
      </c>
      <c r="B55" s="26">
        <v>46034</v>
      </c>
      <c r="C55">
        <v>1</v>
      </c>
      <c r="D55" t="s">
        <v>37</v>
      </c>
      <c r="E55" t="s">
        <v>317</v>
      </c>
      <c r="G55">
        <v>20</v>
      </c>
      <c r="H55" t="s">
        <v>204</v>
      </c>
      <c r="I55" t="s">
        <v>205</v>
      </c>
      <c r="J55" t="s">
        <v>228</v>
      </c>
      <c r="K55" s="27">
        <v>46070.451539351852</v>
      </c>
    </row>
    <row r="56" spans="1:11" x14ac:dyDescent="0.25">
      <c r="A56" t="s">
        <v>371</v>
      </c>
      <c r="B56" s="26">
        <v>46034</v>
      </c>
      <c r="C56">
        <v>1</v>
      </c>
      <c r="D56" t="s">
        <v>37</v>
      </c>
      <c r="E56" t="s">
        <v>317</v>
      </c>
      <c r="G56">
        <v>36</v>
      </c>
      <c r="H56" t="s">
        <v>204</v>
      </c>
      <c r="I56" t="s">
        <v>205</v>
      </c>
      <c r="J56" t="s">
        <v>228</v>
      </c>
      <c r="K56" s="27">
        <v>46070.451562499999</v>
      </c>
    </row>
    <row r="57" spans="1:11" x14ac:dyDescent="0.25">
      <c r="A57" t="s">
        <v>372</v>
      </c>
      <c r="B57" s="26">
        <v>46034</v>
      </c>
      <c r="C57">
        <v>1</v>
      </c>
      <c r="D57" t="s">
        <v>37</v>
      </c>
      <c r="E57" t="s">
        <v>317</v>
      </c>
      <c r="G57">
        <v>29</v>
      </c>
      <c r="H57" t="s">
        <v>204</v>
      </c>
      <c r="I57" t="s">
        <v>205</v>
      </c>
      <c r="J57" t="s">
        <v>228</v>
      </c>
      <c r="K57" s="27">
        <v>46070.451585648145</v>
      </c>
    </row>
    <row r="58" spans="1:11" x14ac:dyDescent="0.25">
      <c r="A58" t="s">
        <v>373</v>
      </c>
      <c r="B58" s="26">
        <v>46034</v>
      </c>
      <c r="C58">
        <v>1</v>
      </c>
      <c r="D58" t="s">
        <v>37</v>
      </c>
      <c r="E58" t="s">
        <v>317</v>
      </c>
      <c r="G58">
        <v>32</v>
      </c>
      <c r="H58" t="s">
        <v>204</v>
      </c>
      <c r="I58" t="s">
        <v>205</v>
      </c>
      <c r="J58" t="s">
        <v>228</v>
      </c>
      <c r="K58" s="27">
        <v>46070.451597222222</v>
      </c>
    </row>
    <row r="59" spans="1:11" x14ac:dyDescent="0.25">
      <c r="A59" t="s">
        <v>374</v>
      </c>
      <c r="B59" s="26">
        <v>46034</v>
      </c>
      <c r="C59">
        <v>1</v>
      </c>
      <c r="D59" t="s">
        <v>37</v>
      </c>
      <c r="E59" t="s">
        <v>317</v>
      </c>
      <c r="G59">
        <v>40</v>
      </c>
      <c r="H59" t="s">
        <v>204</v>
      </c>
      <c r="I59" t="s">
        <v>205</v>
      </c>
      <c r="J59" t="s">
        <v>228</v>
      </c>
      <c r="K59" s="27">
        <v>46070.451608796298</v>
      </c>
    </row>
    <row r="60" spans="1:11" x14ac:dyDescent="0.25">
      <c r="A60" t="s">
        <v>375</v>
      </c>
      <c r="B60" s="26">
        <v>46034</v>
      </c>
      <c r="C60">
        <v>1</v>
      </c>
      <c r="D60" t="s">
        <v>37</v>
      </c>
      <c r="E60" t="s">
        <v>317</v>
      </c>
      <c r="G60">
        <v>34</v>
      </c>
      <c r="H60" t="s">
        <v>204</v>
      </c>
      <c r="I60" t="s">
        <v>205</v>
      </c>
      <c r="J60" t="s">
        <v>228</v>
      </c>
      <c r="K60" s="27">
        <v>46070.451631944445</v>
      </c>
    </row>
    <row r="61" spans="1:11" x14ac:dyDescent="0.25">
      <c r="A61" t="s">
        <v>376</v>
      </c>
      <c r="B61" s="26">
        <v>46034</v>
      </c>
      <c r="C61">
        <v>1</v>
      </c>
      <c r="D61" t="s">
        <v>37</v>
      </c>
      <c r="E61" t="s">
        <v>317</v>
      </c>
      <c r="G61">
        <v>30</v>
      </c>
      <c r="H61" t="s">
        <v>204</v>
      </c>
      <c r="I61" t="s">
        <v>205</v>
      </c>
      <c r="J61" t="s">
        <v>228</v>
      </c>
      <c r="K61" s="27">
        <v>46070.451643518521</v>
      </c>
    </row>
    <row r="62" spans="1:11" x14ac:dyDescent="0.25">
      <c r="A62" t="s">
        <v>377</v>
      </c>
      <c r="B62" s="26">
        <v>46035</v>
      </c>
      <c r="C62">
        <v>1</v>
      </c>
      <c r="D62" t="s">
        <v>37</v>
      </c>
      <c r="E62" t="s">
        <v>317</v>
      </c>
      <c r="G62">
        <v>29</v>
      </c>
      <c r="H62" t="s">
        <v>204</v>
      </c>
      <c r="I62" t="s">
        <v>205</v>
      </c>
      <c r="J62" t="s">
        <v>228</v>
      </c>
      <c r="K62" s="27">
        <v>46070.451863425929</v>
      </c>
    </row>
    <row r="63" spans="1:11" x14ac:dyDescent="0.25">
      <c r="A63" t="s">
        <v>378</v>
      </c>
      <c r="B63" s="26">
        <v>46035</v>
      </c>
      <c r="C63">
        <v>1</v>
      </c>
      <c r="D63" t="s">
        <v>37</v>
      </c>
      <c r="E63" t="s">
        <v>317</v>
      </c>
      <c r="G63">
        <v>23</v>
      </c>
      <c r="H63" t="s">
        <v>204</v>
      </c>
      <c r="I63" t="s">
        <v>205</v>
      </c>
      <c r="J63" t="s">
        <v>228</v>
      </c>
      <c r="K63" s="27">
        <v>46070.451886574076</v>
      </c>
    </row>
    <row r="64" spans="1:11" x14ac:dyDescent="0.25">
      <c r="A64" t="s">
        <v>379</v>
      </c>
      <c r="B64" s="26">
        <v>46035</v>
      </c>
      <c r="C64">
        <v>1</v>
      </c>
      <c r="D64" t="s">
        <v>37</v>
      </c>
      <c r="E64" t="s">
        <v>317</v>
      </c>
      <c r="G64">
        <v>24</v>
      </c>
      <c r="H64" t="s">
        <v>204</v>
      </c>
      <c r="I64" t="s">
        <v>205</v>
      </c>
      <c r="J64" t="s">
        <v>228</v>
      </c>
      <c r="K64" s="27">
        <v>46070.451909722222</v>
      </c>
    </row>
    <row r="65" spans="1:11" x14ac:dyDescent="0.25">
      <c r="A65" t="s">
        <v>380</v>
      </c>
      <c r="B65" s="26">
        <v>46035</v>
      </c>
      <c r="C65">
        <v>1</v>
      </c>
      <c r="D65" t="s">
        <v>37</v>
      </c>
      <c r="E65" t="s">
        <v>317</v>
      </c>
      <c r="G65">
        <v>3</v>
      </c>
      <c r="H65" t="s">
        <v>204</v>
      </c>
      <c r="I65" t="s">
        <v>205</v>
      </c>
      <c r="J65" t="s">
        <v>228</v>
      </c>
      <c r="K65" s="27">
        <v>46070.451932870368</v>
      </c>
    </row>
    <row r="66" spans="1:11" x14ac:dyDescent="0.25">
      <c r="A66" t="s">
        <v>381</v>
      </c>
      <c r="B66" s="26">
        <v>46035</v>
      </c>
      <c r="C66">
        <v>1</v>
      </c>
      <c r="D66" t="s">
        <v>37</v>
      </c>
      <c r="E66" t="s">
        <v>317</v>
      </c>
      <c r="G66">
        <v>26</v>
      </c>
      <c r="H66" t="s">
        <v>204</v>
      </c>
      <c r="I66" t="s">
        <v>205</v>
      </c>
      <c r="J66" t="s">
        <v>228</v>
      </c>
      <c r="K66" s="27">
        <v>46070.451944444445</v>
      </c>
    </row>
    <row r="67" spans="1:11" x14ac:dyDescent="0.25">
      <c r="A67" t="s">
        <v>382</v>
      </c>
      <c r="B67" s="26">
        <v>46036</v>
      </c>
      <c r="C67">
        <v>1</v>
      </c>
      <c r="D67" t="s">
        <v>37</v>
      </c>
      <c r="E67" t="s">
        <v>317</v>
      </c>
      <c r="G67">
        <v>39</v>
      </c>
      <c r="H67" t="s">
        <v>204</v>
      </c>
      <c r="I67" t="s">
        <v>205</v>
      </c>
      <c r="J67" t="s">
        <v>228</v>
      </c>
      <c r="K67" s="27">
        <v>46070.452557870369</v>
      </c>
    </row>
    <row r="68" spans="1:11" x14ac:dyDescent="0.25">
      <c r="A68" t="s">
        <v>383</v>
      </c>
      <c r="B68" s="26">
        <v>46036</v>
      </c>
      <c r="C68">
        <v>1</v>
      </c>
      <c r="D68" t="s">
        <v>37</v>
      </c>
      <c r="E68" t="s">
        <v>317</v>
      </c>
      <c r="G68">
        <v>35</v>
      </c>
      <c r="H68" t="s">
        <v>204</v>
      </c>
      <c r="I68" t="s">
        <v>205</v>
      </c>
      <c r="J68" t="s">
        <v>228</v>
      </c>
      <c r="K68" s="27">
        <v>46070.452581018515</v>
      </c>
    </row>
    <row r="69" spans="1:11" x14ac:dyDescent="0.25">
      <c r="A69" t="s">
        <v>384</v>
      </c>
      <c r="B69" s="26">
        <v>46036</v>
      </c>
      <c r="C69">
        <v>1</v>
      </c>
      <c r="D69" t="s">
        <v>37</v>
      </c>
      <c r="E69" t="s">
        <v>317</v>
      </c>
      <c r="G69">
        <v>37</v>
      </c>
      <c r="H69" t="s">
        <v>204</v>
      </c>
      <c r="I69" t="s">
        <v>205</v>
      </c>
      <c r="J69" t="s">
        <v>228</v>
      </c>
      <c r="K69" s="27">
        <v>46070.452627314815</v>
      </c>
    </row>
    <row r="70" spans="1:11" x14ac:dyDescent="0.25">
      <c r="A70" t="s">
        <v>385</v>
      </c>
      <c r="B70" s="26">
        <v>46036</v>
      </c>
      <c r="C70">
        <v>1</v>
      </c>
      <c r="D70" t="s">
        <v>37</v>
      </c>
      <c r="E70" t="s">
        <v>317</v>
      </c>
      <c r="G70">
        <v>29</v>
      </c>
      <c r="H70" t="s">
        <v>204</v>
      </c>
      <c r="I70" t="s">
        <v>205</v>
      </c>
      <c r="J70" t="s">
        <v>228</v>
      </c>
      <c r="K70" s="27">
        <v>46070.452638888892</v>
      </c>
    </row>
    <row r="71" spans="1:11" x14ac:dyDescent="0.25">
      <c r="A71" t="s">
        <v>386</v>
      </c>
      <c r="B71" s="26">
        <v>46036</v>
      </c>
      <c r="C71">
        <v>1</v>
      </c>
      <c r="D71" t="s">
        <v>37</v>
      </c>
      <c r="E71" t="s">
        <v>317</v>
      </c>
      <c r="G71">
        <v>24</v>
      </c>
      <c r="H71" t="s">
        <v>204</v>
      </c>
      <c r="I71" t="s">
        <v>205</v>
      </c>
      <c r="J71" t="s">
        <v>228</v>
      </c>
      <c r="K71" s="27">
        <v>46070.452650462961</v>
      </c>
    </row>
    <row r="72" spans="1:11" x14ac:dyDescent="0.25">
      <c r="A72" t="s">
        <v>387</v>
      </c>
      <c r="B72" s="26">
        <v>46037</v>
      </c>
      <c r="C72">
        <v>1</v>
      </c>
      <c r="D72" t="s">
        <v>37</v>
      </c>
      <c r="E72" t="s">
        <v>317</v>
      </c>
      <c r="G72">
        <v>41</v>
      </c>
      <c r="H72" t="s">
        <v>204</v>
      </c>
      <c r="I72" t="s">
        <v>205</v>
      </c>
      <c r="J72" t="s">
        <v>228</v>
      </c>
      <c r="K72" s="27">
        <v>46070.452777777777</v>
      </c>
    </row>
    <row r="73" spans="1:11" x14ac:dyDescent="0.25">
      <c r="A73" t="s">
        <v>388</v>
      </c>
      <c r="B73" s="26">
        <v>46037</v>
      </c>
      <c r="C73">
        <v>1</v>
      </c>
      <c r="D73" t="s">
        <v>37</v>
      </c>
      <c r="E73" t="s">
        <v>317</v>
      </c>
      <c r="G73">
        <v>37</v>
      </c>
      <c r="H73" t="s">
        <v>204</v>
      </c>
      <c r="I73" t="s">
        <v>205</v>
      </c>
      <c r="J73" t="s">
        <v>228</v>
      </c>
      <c r="K73" s="27">
        <v>46070.452789351853</v>
      </c>
    </row>
    <row r="74" spans="1:11" x14ac:dyDescent="0.25">
      <c r="A74" t="s">
        <v>389</v>
      </c>
      <c r="B74" s="26">
        <v>46037</v>
      </c>
      <c r="C74">
        <v>1</v>
      </c>
      <c r="D74" t="s">
        <v>37</v>
      </c>
      <c r="E74" t="s">
        <v>317</v>
      </c>
      <c r="G74">
        <v>29</v>
      </c>
      <c r="H74" t="s">
        <v>204</v>
      </c>
      <c r="I74" t="s">
        <v>205</v>
      </c>
      <c r="J74" t="s">
        <v>228</v>
      </c>
      <c r="K74" s="27">
        <v>46070.452800925923</v>
      </c>
    </row>
    <row r="75" spans="1:11" x14ac:dyDescent="0.25">
      <c r="A75" t="s">
        <v>390</v>
      </c>
      <c r="B75" s="26">
        <v>46037</v>
      </c>
      <c r="C75">
        <v>1</v>
      </c>
      <c r="D75" t="s">
        <v>37</v>
      </c>
      <c r="E75" t="s">
        <v>317</v>
      </c>
      <c r="G75">
        <v>29</v>
      </c>
      <c r="H75" t="s">
        <v>204</v>
      </c>
      <c r="I75" t="s">
        <v>205</v>
      </c>
      <c r="J75" t="s">
        <v>228</v>
      </c>
      <c r="K75" s="27">
        <v>46070.452824074076</v>
      </c>
    </row>
    <row r="76" spans="1:11" x14ac:dyDescent="0.25">
      <c r="A76" t="s">
        <v>391</v>
      </c>
      <c r="B76" s="26">
        <v>46038</v>
      </c>
      <c r="C76">
        <v>1</v>
      </c>
      <c r="D76" t="s">
        <v>37</v>
      </c>
      <c r="E76" t="s">
        <v>317</v>
      </c>
      <c r="G76">
        <v>35</v>
      </c>
      <c r="H76" t="s">
        <v>204</v>
      </c>
      <c r="I76" t="s">
        <v>205</v>
      </c>
      <c r="J76" t="s">
        <v>228</v>
      </c>
      <c r="K76" s="27">
        <v>46070.452951388892</v>
      </c>
    </row>
    <row r="77" spans="1:11" x14ac:dyDescent="0.25">
      <c r="A77" t="s">
        <v>392</v>
      </c>
      <c r="B77" s="26">
        <v>46038</v>
      </c>
      <c r="C77">
        <v>1</v>
      </c>
      <c r="D77" t="s">
        <v>37</v>
      </c>
      <c r="E77" t="s">
        <v>317</v>
      </c>
      <c r="G77">
        <v>19</v>
      </c>
      <c r="H77" t="s">
        <v>204</v>
      </c>
      <c r="I77" t="s">
        <v>205</v>
      </c>
      <c r="J77" t="s">
        <v>228</v>
      </c>
      <c r="K77" s="27">
        <v>46070.452962962961</v>
      </c>
    </row>
    <row r="78" spans="1:11" x14ac:dyDescent="0.25">
      <c r="A78" t="s">
        <v>393</v>
      </c>
      <c r="B78" s="26">
        <v>46039</v>
      </c>
      <c r="C78">
        <v>1</v>
      </c>
      <c r="D78" t="s">
        <v>37</v>
      </c>
      <c r="E78" t="s">
        <v>317</v>
      </c>
      <c r="G78">
        <v>20</v>
      </c>
      <c r="H78" t="s">
        <v>204</v>
      </c>
      <c r="I78" t="s">
        <v>205</v>
      </c>
      <c r="J78" t="s">
        <v>228</v>
      </c>
      <c r="K78" s="27">
        <v>46070.453090277777</v>
      </c>
    </row>
    <row r="79" spans="1:11" x14ac:dyDescent="0.25">
      <c r="A79" t="s">
        <v>394</v>
      </c>
      <c r="B79" s="26">
        <v>46039</v>
      </c>
      <c r="C79">
        <v>1</v>
      </c>
      <c r="D79" t="s">
        <v>37</v>
      </c>
      <c r="E79" t="s">
        <v>317</v>
      </c>
      <c r="G79">
        <v>39</v>
      </c>
      <c r="H79" t="s">
        <v>204</v>
      </c>
      <c r="I79" t="s">
        <v>205</v>
      </c>
      <c r="J79" t="s">
        <v>228</v>
      </c>
      <c r="K79" s="27">
        <v>46070.453101851854</v>
      </c>
    </row>
    <row r="80" spans="1:11" x14ac:dyDescent="0.25">
      <c r="A80" t="s">
        <v>395</v>
      </c>
      <c r="B80" s="26">
        <v>46039</v>
      </c>
      <c r="C80">
        <v>1</v>
      </c>
      <c r="D80" t="s">
        <v>37</v>
      </c>
      <c r="E80" t="s">
        <v>317</v>
      </c>
      <c r="G80">
        <v>19</v>
      </c>
      <c r="H80" t="s">
        <v>204</v>
      </c>
      <c r="I80" t="s">
        <v>205</v>
      </c>
      <c r="J80" t="s">
        <v>228</v>
      </c>
      <c r="K80" s="27">
        <v>46070.453125</v>
      </c>
    </row>
    <row r="81" spans="1:11" x14ac:dyDescent="0.25">
      <c r="A81" t="s">
        <v>396</v>
      </c>
      <c r="B81" s="26">
        <v>46039</v>
      </c>
      <c r="C81">
        <v>1</v>
      </c>
      <c r="D81" t="s">
        <v>37</v>
      </c>
      <c r="E81" t="s">
        <v>317</v>
      </c>
      <c r="G81">
        <v>17</v>
      </c>
      <c r="H81" t="s">
        <v>204</v>
      </c>
      <c r="I81" t="s">
        <v>205</v>
      </c>
      <c r="J81" t="s">
        <v>228</v>
      </c>
      <c r="K81" s="27">
        <v>46070.453136574077</v>
      </c>
    </row>
    <row r="82" spans="1:11" x14ac:dyDescent="0.25">
      <c r="A82" t="s">
        <v>397</v>
      </c>
      <c r="B82" s="26">
        <v>46040</v>
      </c>
      <c r="C82">
        <v>1</v>
      </c>
      <c r="D82" t="s">
        <v>37</v>
      </c>
      <c r="E82" t="s">
        <v>317</v>
      </c>
      <c r="G82">
        <v>39</v>
      </c>
      <c r="H82" t="s">
        <v>204</v>
      </c>
      <c r="I82" t="s">
        <v>205</v>
      </c>
      <c r="J82" t="s">
        <v>228</v>
      </c>
      <c r="K82" s="27">
        <v>46070.453252314815</v>
      </c>
    </row>
    <row r="83" spans="1:11" x14ac:dyDescent="0.25">
      <c r="A83" t="s">
        <v>398</v>
      </c>
      <c r="B83" s="26">
        <v>46041</v>
      </c>
      <c r="C83">
        <v>1</v>
      </c>
      <c r="D83" t="s">
        <v>37</v>
      </c>
      <c r="E83" t="s">
        <v>317</v>
      </c>
      <c r="G83">
        <v>37</v>
      </c>
      <c r="H83" t="s">
        <v>204</v>
      </c>
      <c r="I83" t="s">
        <v>205</v>
      </c>
      <c r="J83" t="s">
        <v>228</v>
      </c>
      <c r="K83" s="27">
        <v>46070.453449074077</v>
      </c>
    </row>
    <row r="84" spans="1:11" x14ac:dyDescent="0.25">
      <c r="A84" t="s">
        <v>399</v>
      </c>
      <c r="B84" s="26">
        <v>46041</v>
      </c>
      <c r="C84">
        <v>1</v>
      </c>
      <c r="D84" t="s">
        <v>37</v>
      </c>
      <c r="E84" t="s">
        <v>317</v>
      </c>
      <c r="G84">
        <v>25</v>
      </c>
      <c r="H84" t="s">
        <v>204</v>
      </c>
      <c r="I84" t="s">
        <v>205</v>
      </c>
      <c r="J84" t="s">
        <v>228</v>
      </c>
      <c r="K84" s="27">
        <v>46070.453460648147</v>
      </c>
    </row>
    <row r="85" spans="1:11" x14ac:dyDescent="0.25">
      <c r="A85" t="s">
        <v>400</v>
      </c>
      <c r="B85" s="26">
        <v>46041</v>
      </c>
      <c r="C85">
        <v>1</v>
      </c>
      <c r="D85" t="s">
        <v>37</v>
      </c>
      <c r="E85" t="s">
        <v>317</v>
      </c>
      <c r="G85">
        <v>39</v>
      </c>
      <c r="H85" t="s">
        <v>204</v>
      </c>
      <c r="I85" t="s">
        <v>205</v>
      </c>
      <c r="J85" t="s">
        <v>228</v>
      </c>
      <c r="K85" s="27">
        <v>46070.453472222223</v>
      </c>
    </row>
    <row r="86" spans="1:11" x14ac:dyDescent="0.25">
      <c r="A86" t="s">
        <v>401</v>
      </c>
      <c r="B86" s="26">
        <v>46041</v>
      </c>
      <c r="C86">
        <v>1</v>
      </c>
      <c r="D86" t="s">
        <v>37</v>
      </c>
      <c r="E86" t="s">
        <v>317</v>
      </c>
      <c r="G86">
        <v>21</v>
      </c>
      <c r="H86" t="s">
        <v>204</v>
      </c>
      <c r="I86" t="s">
        <v>205</v>
      </c>
      <c r="J86" t="s">
        <v>228</v>
      </c>
      <c r="K86" s="27">
        <v>46070.453483796293</v>
      </c>
    </row>
    <row r="87" spans="1:11" x14ac:dyDescent="0.25">
      <c r="A87" t="s">
        <v>402</v>
      </c>
      <c r="B87" s="26">
        <v>46042</v>
      </c>
      <c r="C87">
        <v>1</v>
      </c>
      <c r="D87" t="s">
        <v>37</v>
      </c>
      <c r="E87" t="s">
        <v>317</v>
      </c>
      <c r="G87">
        <v>27</v>
      </c>
      <c r="H87" t="s">
        <v>204</v>
      </c>
      <c r="I87" t="s">
        <v>205</v>
      </c>
      <c r="J87" t="s">
        <v>228</v>
      </c>
      <c r="K87" s="27">
        <v>46070.453703703701</v>
      </c>
    </row>
    <row r="88" spans="1:11" x14ac:dyDescent="0.25">
      <c r="A88" t="s">
        <v>403</v>
      </c>
      <c r="B88" s="26">
        <v>46042</v>
      </c>
      <c r="C88">
        <v>1</v>
      </c>
      <c r="D88" t="s">
        <v>37</v>
      </c>
      <c r="E88" t="s">
        <v>317</v>
      </c>
      <c r="G88">
        <v>22</v>
      </c>
      <c r="H88" t="s">
        <v>204</v>
      </c>
      <c r="I88" t="s">
        <v>205</v>
      </c>
      <c r="J88" t="s">
        <v>228</v>
      </c>
      <c r="K88" s="27">
        <v>46070.453715277778</v>
      </c>
    </row>
    <row r="89" spans="1:11" x14ac:dyDescent="0.25">
      <c r="A89" t="s">
        <v>404</v>
      </c>
      <c r="B89" s="26">
        <v>46042</v>
      </c>
      <c r="C89">
        <v>1</v>
      </c>
      <c r="D89" t="s">
        <v>37</v>
      </c>
      <c r="E89" t="s">
        <v>317</v>
      </c>
      <c r="G89">
        <v>25</v>
      </c>
      <c r="H89" t="s">
        <v>204</v>
      </c>
      <c r="I89" t="s">
        <v>205</v>
      </c>
      <c r="J89" t="s">
        <v>228</v>
      </c>
      <c r="K89" s="27">
        <v>46070.453726851854</v>
      </c>
    </row>
    <row r="90" spans="1:11" x14ac:dyDescent="0.25">
      <c r="A90" t="s">
        <v>405</v>
      </c>
      <c r="B90" s="26">
        <v>46042</v>
      </c>
      <c r="C90">
        <v>1</v>
      </c>
      <c r="D90" t="s">
        <v>37</v>
      </c>
      <c r="E90" t="s">
        <v>317</v>
      </c>
      <c r="G90">
        <v>38</v>
      </c>
      <c r="H90" t="s">
        <v>204</v>
      </c>
      <c r="I90" t="s">
        <v>205</v>
      </c>
      <c r="J90" t="s">
        <v>228</v>
      </c>
      <c r="K90" s="27">
        <v>46070.453773148147</v>
      </c>
    </row>
    <row r="91" spans="1:11" x14ac:dyDescent="0.25">
      <c r="A91" t="s">
        <v>406</v>
      </c>
      <c r="B91" s="26">
        <v>46043</v>
      </c>
      <c r="C91">
        <v>1</v>
      </c>
      <c r="D91" t="s">
        <v>37</v>
      </c>
      <c r="E91" t="s">
        <v>317</v>
      </c>
      <c r="G91">
        <v>35</v>
      </c>
      <c r="H91" t="s">
        <v>204</v>
      </c>
      <c r="I91" t="s">
        <v>205</v>
      </c>
      <c r="J91" t="s">
        <v>228</v>
      </c>
      <c r="K91" s="27">
        <v>46070.453969907408</v>
      </c>
    </row>
    <row r="92" spans="1:11" x14ac:dyDescent="0.25">
      <c r="A92" t="s">
        <v>407</v>
      </c>
      <c r="B92" s="26">
        <v>46043</v>
      </c>
      <c r="C92">
        <v>1</v>
      </c>
      <c r="D92" t="s">
        <v>37</v>
      </c>
      <c r="E92" t="s">
        <v>317</v>
      </c>
      <c r="G92">
        <v>26</v>
      </c>
      <c r="H92" t="s">
        <v>204</v>
      </c>
      <c r="I92" t="s">
        <v>205</v>
      </c>
      <c r="J92" t="s">
        <v>228</v>
      </c>
      <c r="K92" s="27">
        <v>46070.454004629632</v>
      </c>
    </row>
    <row r="93" spans="1:11" x14ac:dyDescent="0.25">
      <c r="A93" t="s">
        <v>408</v>
      </c>
      <c r="B93" s="26">
        <v>46044</v>
      </c>
      <c r="C93">
        <v>1</v>
      </c>
      <c r="D93" t="s">
        <v>37</v>
      </c>
      <c r="E93" t="s">
        <v>317</v>
      </c>
      <c r="G93">
        <v>36</v>
      </c>
      <c r="H93" t="s">
        <v>204</v>
      </c>
      <c r="I93" t="s">
        <v>205</v>
      </c>
      <c r="J93" t="s">
        <v>228</v>
      </c>
      <c r="K93" s="27">
        <v>46070.454108796293</v>
      </c>
    </row>
    <row r="94" spans="1:11" x14ac:dyDescent="0.25">
      <c r="A94" t="s">
        <v>409</v>
      </c>
      <c r="B94" s="26">
        <v>46044</v>
      </c>
      <c r="C94">
        <v>1</v>
      </c>
      <c r="D94" t="s">
        <v>37</v>
      </c>
      <c r="E94" t="s">
        <v>317</v>
      </c>
      <c r="G94">
        <v>31</v>
      </c>
      <c r="H94" t="s">
        <v>204</v>
      </c>
      <c r="I94" t="s">
        <v>205</v>
      </c>
      <c r="J94" t="s">
        <v>228</v>
      </c>
      <c r="K94" s="27">
        <v>46070.45412037037</v>
      </c>
    </row>
    <row r="95" spans="1:11" x14ac:dyDescent="0.25">
      <c r="A95" t="s">
        <v>410</v>
      </c>
      <c r="B95" s="26">
        <v>46044</v>
      </c>
      <c r="C95">
        <v>1</v>
      </c>
      <c r="D95" t="s">
        <v>37</v>
      </c>
      <c r="E95" t="s">
        <v>317</v>
      </c>
      <c r="G95">
        <v>23</v>
      </c>
      <c r="H95" t="s">
        <v>204</v>
      </c>
      <c r="I95" t="s">
        <v>205</v>
      </c>
      <c r="J95" t="s">
        <v>228</v>
      </c>
      <c r="K95" s="27">
        <v>46070.454363425924</v>
      </c>
    </row>
    <row r="96" spans="1:11" x14ac:dyDescent="0.25">
      <c r="A96" t="s">
        <v>411</v>
      </c>
      <c r="B96" s="26">
        <v>46044</v>
      </c>
      <c r="C96">
        <v>1</v>
      </c>
      <c r="D96" t="s">
        <v>37</v>
      </c>
      <c r="E96" t="s">
        <v>317</v>
      </c>
      <c r="G96">
        <v>36</v>
      </c>
      <c r="H96" t="s">
        <v>204</v>
      </c>
      <c r="I96" t="s">
        <v>205</v>
      </c>
      <c r="J96" t="s">
        <v>228</v>
      </c>
      <c r="K96" s="27">
        <v>46070.454421296294</v>
      </c>
    </row>
    <row r="97" spans="1:11" x14ac:dyDescent="0.25">
      <c r="A97" t="s">
        <v>412</v>
      </c>
      <c r="B97" s="26">
        <v>46044</v>
      </c>
      <c r="C97">
        <v>1</v>
      </c>
      <c r="D97" t="s">
        <v>37</v>
      </c>
      <c r="E97" t="s">
        <v>317</v>
      </c>
      <c r="G97">
        <v>22</v>
      </c>
      <c r="H97" t="s">
        <v>204</v>
      </c>
      <c r="I97" t="s">
        <v>205</v>
      </c>
      <c r="J97" t="s">
        <v>228</v>
      </c>
      <c r="K97" s="27">
        <v>46070.454432870371</v>
      </c>
    </row>
    <row r="98" spans="1:11" x14ac:dyDescent="0.25">
      <c r="A98" t="s">
        <v>413</v>
      </c>
      <c r="B98" s="26">
        <v>46044</v>
      </c>
      <c r="C98">
        <v>1</v>
      </c>
      <c r="D98" t="s">
        <v>37</v>
      </c>
      <c r="E98" t="s">
        <v>317</v>
      </c>
      <c r="G98">
        <v>24</v>
      </c>
      <c r="H98" t="s">
        <v>204</v>
      </c>
      <c r="I98" t="s">
        <v>205</v>
      </c>
      <c r="J98" t="s">
        <v>228</v>
      </c>
      <c r="K98" s="27">
        <v>46070.454444444447</v>
      </c>
    </row>
    <row r="99" spans="1:11" x14ac:dyDescent="0.25">
      <c r="A99" t="s">
        <v>414</v>
      </c>
      <c r="B99" s="26">
        <v>46045</v>
      </c>
      <c r="C99">
        <v>1</v>
      </c>
      <c r="D99" t="s">
        <v>37</v>
      </c>
      <c r="E99" t="s">
        <v>317</v>
      </c>
      <c r="G99">
        <v>34</v>
      </c>
      <c r="H99" t="s">
        <v>204</v>
      </c>
      <c r="I99" t="s">
        <v>205</v>
      </c>
      <c r="J99" t="s">
        <v>228</v>
      </c>
      <c r="K99" s="27">
        <v>46070.454560185186</v>
      </c>
    </row>
    <row r="100" spans="1:11" x14ac:dyDescent="0.25">
      <c r="A100" t="s">
        <v>415</v>
      </c>
      <c r="B100" s="26">
        <v>46045</v>
      </c>
      <c r="C100">
        <v>1</v>
      </c>
      <c r="D100" t="s">
        <v>37</v>
      </c>
      <c r="E100" t="s">
        <v>317</v>
      </c>
      <c r="G100">
        <v>23</v>
      </c>
      <c r="H100" t="s">
        <v>204</v>
      </c>
      <c r="I100" t="s">
        <v>205</v>
      </c>
      <c r="J100" t="s">
        <v>228</v>
      </c>
      <c r="K100" s="27">
        <v>46070.454618055555</v>
      </c>
    </row>
    <row r="101" spans="1:11" x14ac:dyDescent="0.25">
      <c r="A101" t="s">
        <v>416</v>
      </c>
      <c r="B101" s="26">
        <v>46045</v>
      </c>
      <c r="C101">
        <v>1</v>
      </c>
      <c r="D101" t="s">
        <v>37</v>
      </c>
      <c r="E101" t="s">
        <v>317</v>
      </c>
      <c r="G101">
        <v>40</v>
      </c>
      <c r="H101" t="s">
        <v>204</v>
      </c>
      <c r="I101" t="s">
        <v>205</v>
      </c>
      <c r="J101" t="s">
        <v>228</v>
      </c>
      <c r="K101" s="27">
        <v>46070.454641203702</v>
      </c>
    </row>
    <row r="102" spans="1:11" x14ac:dyDescent="0.25">
      <c r="A102" t="s">
        <v>417</v>
      </c>
      <c r="B102" s="26">
        <v>46045</v>
      </c>
      <c r="C102">
        <v>1</v>
      </c>
      <c r="D102" t="s">
        <v>37</v>
      </c>
      <c r="E102" t="s">
        <v>317</v>
      </c>
      <c r="G102">
        <v>23</v>
      </c>
      <c r="H102" t="s">
        <v>204</v>
      </c>
      <c r="I102" t="s">
        <v>205</v>
      </c>
      <c r="J102" t="s">
        <v>228</v>
      </c>
      <c r="K102" s="27">
        <v>46070.454652777778</v>
      </c>
    </row>
    <row r="103" spans="1:11" x14ac:dyDescent="0.25">
      <c r="A103" t="s">
        <v>418</v>
      </c>
      <c r="B103" s="26">
        <v>46047</v>
      </c>
      <c r="C103">
        <v>1</v>
      </c>
      <c r="D103" t="s">
        <v>37</v>
      </c>
      <c r="E103" t="s">
        <v>317</v>
      </c>
      <c r="G103">
        <v>28</v>
      </c>
      <c r="H103" t="s">
        <v>204</v>
      </c>
      <c r="I103" t="s">
        <v>205</v>
      </c>
      <c r="J103" t="s">
        <v>228</v>
      </c>
      <c r="K103" s="27">
        <v>46070.454826388886</v>
      </c>
    </row>
    <row r="104" spans="1:11" x14ac:dyDescent="0.25">
      <c r="A104" t="s">
        <v>419</v>
      </c>
      <c r="B104" s="26">
        <v>46047</v>
      </c>
      <c r="C104">
        <v>1</v>
      </c>
      <c r="D104" t="s">
        <v>37</v>
      </c>
      <c r="E104" t="s">
        <v>317</v>
      </c>
      <c r="G104">
        <v>32</v>
      </c>
      <c r="H104" t="s">
        <v>204</v>
      </c>
      <c r="I104" t="s">
        <v>205</v>
      </c>
      <c r="J104" t="s">
        <v>228</v>
      </c>
      <c r="K104" s="27">
        <v>46070.45484953704</v>
      </c>
    </row>
    <row r="105" spans="1:11" x14ac:dyDescent="0.25">
      <c r="A105" t="s">
        <v>420</v>
      </c>
      <c r="B105" s="26">
        <v>46048</v>
      </c>
      <c r="C105">
        <v>1</v>
      </c>
      <c r="D105" t="s">
        <v>37</v>
      </c>
      <c r="E105" t="s">
        <v>317</v>
      </c>
      <c r="G105">
        <v>28</v>
      </c>
      <c r="H105" t="s">
        <v>204</v>
      </c>
      <c r="I105" t="s">
        <v>205</v>
      </c>
      <c r="J105" t="s">
        <v>228</v>
      </c>
      <c r="K105" s="27">
        <v>46070.455011574071</v>
      </c>
    </row>
    <row r="106" spans="1:11" x14ac:dyDescent="0.25">
      <c r="A106" t="s">
        <v>421</v>
      </c>
      <c r="B106" s="26">
        <v>46049</v>
      </c>
      <c r="C106">
        <v>1</v>
      </c>
      <c r="D106" t="s">
        <v>37</v>
      </c>
      <c r="E106" t="s">
        <v>317</v>
      </c>
      <c r="G106">
        <v>32</v>
      </c>
      <c r="H106" t="s">
        <v>204</v>
      </c>
      <c r="I106" t="s">
        <v>205</v>
      </c>
      <c r="J106" t="s">
        <v>228</v>
      </c>
      <c r="K106" s="27">
        <v>46070.455127314817</v>
      </c>
    </row>
    <row r="107" spans="1:11" x14ac:dyDescent="0.25">
      <c r="A107" t="s">
        <v>422</v>
      </c>
      <c r="B107" s="26">
        <v>46049</v>
      </c>
      <c r="C107">
        <v>1</v>
      </c>
      <c r="D107" t="s">
        <v>37</v>
      </c>
      <c r="E107" t="s">
        <v>317</v>
      </c>
      <c r="G107">
        <v>19</v>
      </c>
      <c r="H107" t="s">
        <v>204</v>
      </c>
      <c r="I107" t="s">
        <v>205</v>
      </c>
      <c r="J107" t="s">
        <v>228</v>
      </c>
      <c r="K107" s="27">
        <v>46070.455138888887</v>
      </c>
    </row>
    <row r="108" spans="1:11" x14ac:dyDescent="0.25">
      <c r="A108" t="s">
        <v>423</v>
      </c>
      <c r="B108" s="26">
        <v>46049</v>
      </c>
      <c r="C108">
        <v>1</v>
      </c>
      <c r="D108" t="s">
        <v>37</v>
      </c>
      <c r="E108" t="s">
        <v>317</v>
      </c>
      <c r="G108">
        <v>38</v>
      </c>
      <c r="H108" t="s">
        <v>204</v>
      </c>
      <c r="I108" t="s">
        <v>205</v>
      </c>
      <c r="J108" t="s">
        <v>228</v>
      </c>
      <c r="K108" s="27">
        <v>46070.45516203704</v>
      </c>
    </row>
    <row r="109" spans="1:11" x14ac:dyDescent="0.25">
      <c r="A109" t="s">
        <v>424</v>
      </c>
      <c r="B109" s="26">
        <v>46049</v>
      </c>
      <c r="C109">
        <v>1</v>
      </c>
      <c r="D109" t="s">
        <v>37</v>
      </c>
      <c r="E109" t="s">
        <v>317</v>
      </c>
      <c r="G109">
        <v>19</v>
      </c>
      <c r="H109" t="s">
        <v>204</v>
      </c>
      <c r="I109" t="s">
        <v>205</v>
      </c>
      <c r="J109" t="s">
        <v>228</v>
      </c>
      <c r="K109" s="27">
        <v>46070.45517361111</v>
      </c>
    </row>
    <row r="110" spans="1:11" x14ac:dyDescent="0.25">
      <c r="A110" t="s">
        <v>425</v>
      </c>
      <c r="B110" s="26">
        <v>46049</v>
      </c>
      <c r="C110">
        <v>1</v>
      </c>
      <c r="D110" t="s">
        <v>37</v>
      </c>
      <c r="E110" t="s">
        <v>317</v>
      </c>
      <c r="G110">
        <v>24</v>
      </c>
      <c r="H110" t="s">
        <v>204</v>
      </c>
      <c r="I110" t="s">
        <v>205</v>
      </c>
      <c r="J110" t="s">
        <v>228</v>
      </c>
      <c r="K110" s="27">
        <v>46070.455185185187</v>
      </c>
    </row>
    <row r="111" spans="1:11" x14ac:dyDescent="0.25">
      <c r="A111" t="s">
        <v>426</v>
      </c>
      <c r="B111" s="26">
        <v>46050</v>
      </c>
      <c r="C111">
        <v>1</v>
      </c>
      <c r="D111" t="s">
        <v>37</v>
      </c>
      <c r="E111" t="s">
        <v>317</v>
      </c>
      <c r="G111">
        <v>33</v>
      </c>
      <c r="H111" t="s">
        <v>204</v>
      </c>
      <c r="I111" t="s">
        <v>205</v>
      </c>
      <c r="J111" t="s">
        <v>228</v>
      </c>
      <c r="K111" s="27">
        <v>46070.455300925925</v>
      </c>
    </row>
    <row r="112" spans="1:11" x14ac:dyDescent="0.25">
      <c r="A112" t="s">
        <v>427</v>
      </c>
      <c r="B112" s="26">
        <v>46050</v>
      </c>
      <c r="C112">
        <v>1</v>
      </c>
      <c r="D112" t="s">
        <v>37</v>
      </c>
      <c r="E112" t="s">
        <v>317</v>
      </c>
      <c r="G112">
        <v>39</v>
      </c>
      <c r="H112" t="s">
        <v>204</v>
      </c>
      <c r="I112" t="s">
        <v>205</v>
      </c>
      <c r="J112" t="s">
        <v>228</v>
      </c>
      <c r="K112" s="27">
        <v>46070.455312500002</v>
      </c>
    </row>
    <row r="113" spans="1:11" x14ac:dyDescent="0.25">
      <c r="A113" t="s">
        <v>428</v>
      </c>
      <c r="B113" s="26">
        <v>46050</v>
      </c>
      <c r="C113">
        <v>1</v>
      </c>
      <c r="D113" t="s">
        <v>37</v>
      </c>
      <c r="E113" t="s">
        <v>317</v>
      </c>
      <c r="G113">
        <v>37</v>
      </c>
      <c r="H113" t="s">
        <v>204</v>
      </c>
      <c r="I113" t="s">
        <v>205</v>
      </c>
      <c r="J113" t="s">
        <v>228</v>
      </c>
      <c r="K113" s="27">
        <v>46070.455335648148</v>
      </c>
    </row>
    <row r="114" spans="1:11" x14ac:dyDescent="0.25">
      <c r="A114" t="s">
        <v>429</v>
      </c>
      <c r="B114" s="26">
        <v>46050</v>
      </c>
      <c r="C114">
        <v>1</v>
      </c>
      <c r="D114" t="s">
        <v>37</v>
      </c>
      <c r="E114" t="s">
        <v>317</v>
      </c>
      <c r="G114">
        <v>31</v>
      </c>
      <c r="H114" t="s">
        <v>204</v>
      </c>
      <c r="I114" t="s">
        <v>205</v>
      </c>
      <c r="J114" t="s">
        <v>228</v>
      </c>
      <c r="K114" s="27">
        <v>46070.455347222225</v>
      </c>
    </row>
    <row r="115" spans="1:11" x14ac:dyDescent="0.25">
      <c r="A115" t="s">
        <v>430</v>
      </c>
      <c r="B115" s="26">
        <v>46050</v>
      </c>
      <c r="C115">
        <v>1</v>
      </c>
      <c r="D115" t="s">
        <v>37</v>
      </c>
      <c r="E115" t="s">
        <v>317</v>
      </c>
      <c r="G115">
        <v>41</v>
      </c>
      <c r="H115" t="s">
        <v>204</v>
      </c>
      <c r="I115" t="s">
        <v>205</v>
      </c>
      <c r="J115" t="s">
        <v>228</v>
      </c>
      <c r="K115" s="27">
        <v>46070.455358796295</v>
      </c>
    </row>
    <row r="116" spans="1:11" x14ac:dyDescent="0.25">
      <c r="A116" t="s">
        <v>431</v>
      </c>
      <c r="B116" s="26">
        <v>46051</v>
      </c>
      <c r="C116">
        <v>1</v>
      </c>
      <c r="D116" t="s">
        <v>37</v>
      </c>
      <c r="E116" t="s">
        <v>317</v>
      </c>
      <c r="G116">
        <v>35</v>
      </c>
      <c r="H116" t="s">
        <v>204</v>
      </c>
      <c r="I116" t="s">
        <v>205</v>
      </c>
      <c r="J116" t="s">
        <v>228</v>
      </c>
      <c r="K116" s="27">
        <v>46070.455613425926</v>
      </c>
    </row>
    <row r="117" spans="1:11" x14ac:dyDescent="0.25">
      <c r="A117" t="s">
        <v>432</v>
      </c>
      <c r="B117" s="26">
        <v>46051</v>
      </c>
      <c r="C117">
        <v>1</v>
      </c>
      <c r="D117" t="s">
        <v>37</v>
      </c>
      <c r="E117" t="s">
        <v>317</v>
      </c>
      <c r="G117">
        <v>34</v>
      </c>
      <c r="H117" t="s">
        <v>204</v>
      </c>
      <c r="I117" t="s">
        <v>205</v>
      </c>
      <c r="J117" t="s">
        <v>228</v>
      </c>
      <c r="K117" s="27">
        <v>46070.455636574072</v>
      </c>
    </row>
    <row r="118" spans="1:11" x14ac:dyDescent="0.25">
      <c r="A118" t="s">
        <v>433</v>
      </c>
      <c r="B118" s="26">
        <v>46051</v>
      </c>
      <c r="C118">
        <v>1</v>
      </c>
      <c r="D118" t="s">
        <v>37</v>
      </c>
      <c r="E118" t="s">
        <v>317</v>
      </c>
      <c r="G118">
        <v>29</v>
      </c>
      <c r="H118" t="s">
        <v>204</v>
      </c>
      <c r="I118" t="s">
        <v>205</v>
      </c>
      <c r="J118" t="s">
        <v>228</v>
      </c>
      <c r="K118" s="27">
        <v>46070.455659722225</v>
      </c>
    </row>
    <row r="119" spans="1:11" x14ac:dyDescent="0.25">
      <c r="A119" t="s">
        <v>434</v>
      </c>
      <c r="B119" s="26">
        <v>46051</v>
      </c>
      <c r="C119">
        <v>1</v>
      </c>
      <c r="D119" t="s">
        <v>37</v>
      </c>
      <c r="E119" t="s">
        <v>317</v>
      </c>
      <c r="G119">
        <v>45</v>
      </c>
      <c r="H119" t="s">
        <v>204</v>
      </c>
      <c r="I119" t="s">
        <v>205</v>
      </c>
      <c r="J119" t="s">
        <v>228</v>
      </c>
      <c r="K119" s="27">
        <v>46070.455671296295</v>
      </c>
    </row>
    <row r="120" spans="1:11" x14ac:dyDescent="0.25">
      <c r="A120" t="s">
        <v>435</v>
      </c>
      <c r="B120" s="26">
        <v>46052</v>
      </c>
      <c r="C120">
        <v>1</v>
      </c>
      <c r="D120" t="s">
        <v>37</v>
      </c>
      <c r="E120" t="s">
        <v>317</v>
      </c>
      <c r="G120">
        <v>30</v>
      </c>
      <c r="H120" t="s">
        <v>204</v>
      </c>
      <c r="I120" t="s">
        <v>205</v>
      </c>
      <c r="J120" t="s">
        <v>228</v>
      </c>
      <c r="K120" s="27">
        <v>46070.45579861111</v>
      </c>
    </row>
    <row r="121" spans="1:11" x14ac:dyDescent="0.25">
      <c r="A121" t="s">
        <v>436</v>
      </c>
      <c r="B121" s="26">
        <v>46052</v>
      </c>
      <c r="C121">
        <v>1</v>
      </c>
      <c r="D121" t="s">
        <v>37</v>
      </c>
      <c r="E121" t="s">
        <v>317</v>
      </c>
      <c r="G121">
        <v>19</v>
      </c>
      <c r="H121" t="s">
        <v>204</v>
      </c>
      <c r="I121" t="s">
        <v>205</v>
      </c>
      <c r="J121" t="s">
        <v>228</v>
      </c>
      <c r="K121" s="27">
        <v>46070.45585648148</v>
      </c>
    </row>
    <row r="122" spans="1:11" x14ac:dyDescent="0.25">
      <c r="A122" t="s">
        <v>437</v>
      </c>
      <c r="B122" s="26">
        <v>46053</v>
      </c>
      <c r="C122">
        <v>1</v>
      </c>
      <c r="D122" t="s">
        <v>37</v>
      </c>
      <c r="E122" t="s">
        <v>317</v>
      </c>
      <c r="G122">
        <v>22</v>
      </c>
      <c r="H122" t="s">
        <v>204</v>
      </c>
      <c r="I122" t="s">
        <v>205</v>
      </c>
      <c r="J122" t="s">
        <v>228</v>
      </c>
      <c r="K122" s="27">
        <v>46070.455995370372</v>
      </c>
    </row>
    <row r="123" spans="1:11" x14ac:dyDescent="0.25">
      <c r="A123" t="s">
        <v>438</v>
      </c>
      <c r="B123" s="26">
        <v>46053</v>
      </c>
      <c r="C123">
        <v>1</v>
      </c>
      <c r="D123" t="s">
        <v>37</v>
      </c>
      <c r="E123" t="s">
        <v>317</v>
      </c>
      <c r="G123">
        <v>20</v>
      </c>
      <c r="H123" t="s">
        <v>204</v>
      </c>
      <c r="I123" t="s">
        <v>205</v>
      </c>
      <c r="J123" t="s">
        <v>228</v>
      </c>
      <c r="K123" s="27">
        <v>46070.456030092595</v>
      </c>
    </row>
    <row r="124" spans="1:11" x14ac:dyDescent="0.25">
      <c r="A124" t="s">
        <v>439</v>
      </c>
      <c r="B124" s="26">
        <v>46053</v>
      </c>
      <c r="C124">
        <v>1</v>
      </c>
      <c r="D124" t="s">
        <v>37</v>
      </c>
      <c r="E124" t="s">
        <v>317</v>
      </c>
      <c r="G124">
        <v>27</v>
      </c>
      <c r="H124" t="s">
        <v>204</v>
      </c>
      <c r="I124" t="s">
        <v>205</v>
      </c>
      <c r="J124" t="s">
        <v>228</v>
      </c>
      <c r="K124" s="27">
        <v>46070.456041666665</v>
      </c>
    </row>
    <row r="125" spans="1:11" x14ac:dyDescent="0.25">
      <c r="A125" t="s">
        <v>440</v>
      </c>
      <c r="B125" s="26">
        <v>46053</v>
      </c>
      <c r="C125">
        <v>1</v>
      </c>
      <c r="D125" t="s">
        <v>37</v>
      </c>
      <c r="E125" t="s">
        <v>317</v>
      </c>
      <c r="G125">
        <v>32</v>
      </c>
      <c r="H125" t="s">
        <v>204</v>
      </c>
      <c r="I125" t="s">
        <v>205</v>
      </c>
      <c r="J125" t="s">
        <v>228</v>
      </c>
      <c r="K125" s="27">
        <v>46070.456064814818</v>
      </c>
    </row>
    <row r="126" spans="1:11" x14ac:dyDescent="0.25">
      <c r="A126" t="s">
        <v>441</v>
      </c>
      <c r="B126" s="26">
        <v>46053</v>
      </c>
      <c r="C126">
        <v>1</v>
      </c>
      <c r="D126" t="s">
        <v>37</v>
      </c>
      <c r="E126" t="s">
        <v>317</v>
      </c>
      <c r="G126">
        <v>26</v>
      </c>
      <c r="H126" t="s">
        <v>204</v>
      </c>
      <c r="I126" t="s">
        <v>205</v>
      </c>
      <c r="J126" t="s">
        <v>228</v>
      </c>
      <c r="K126" s="27">
        <v>46070.456076388888</v>
      </c>
    </row>
    <row r="127" spans="1:11" x14ac:dyDescent="0.25">
      <c r="A127" t="s">
        <v>442</v>
      </c>
      <c r="B127" s="26">
        <v>46023</v>
      </c>
      <c r="C127">
        <v>1</v>
      </c>
      <c r="D127" t="s">
        <v>39</v>
      </c>
      <c r="E127" t="s">
        <v>317</v>
      </c>
      <c r="G127">
        <v>19</v>
      </c>
      <c r="H127" t="s">
        <v>204</v>
      </c>
      <c r="I127" t="s">
        <v>205</v>
      </c>
      <c r="J127" t="s">
        <v>228</v>
      </c>
      <c r="K127" s="27">
        <v>46070.45685185185</v>
      </c>
    </row>
    <row r="128" spans="1:11" x14ac:dyDescent="0.25">
      <c r="A128" t="s">
        <v>443</v>
      </c>
      <c r="B128" s="26">
        <v>46023</v>
      </c>
      <c r="C128">
        <v>1</v>
      </c>
      <c r="D128" t="s">
        <v>39</v>
      </c>
      <c r="E128" t="s">
        <v>317</v>
      </c>
      <c r="G128">
        <v>43</v>
      </c>
      <c r="H128" t="s">
        <v>204</v>
      </c>
      <c r="I128" t="s">
        <v>205</v>
      </c>
      <c r="J128" t="s">
        <v>228</v>
      </c>
      <c r="K128" s="27">
        <v>46070.456875000003</v>
      </c>
    </row>
    <row r="129" spans="1:11" x14ac:dyDescent="0.25">
      <c r="A129" t="s">
        <v>444</v>
      </c>
      <c r="B129" s="26">
        <v>46023</v>
      </c>
      <c r="C129">
        <v>1</v>
      </c>
      <c r="D129" t="s">
        <v>39</v>
      </c>
      <c r="E129" t="s">
        <v>317</v>
      </c>
      <c r="G129">
        <v>21</v>
      </c>
      <c r="H129" t="s">
        <v>204</v>
      </c>
      <c r="I129" t="s">
        <v>205</v>
      </c>
      <c r="J129" t="s">
        <v>228</v>
      </c>
      <c r="K129" s="27">
        <v>46070.45689814815</v>
      </c>
    </row>
    <row r="130" spans="1:11" x14ac:dyDescent="0.25">
      <c r="A130" t="s">
        <v>445</v>
      </c>
      <c r="B130" s="26">
        <v>46024</v>
      </c>
      <c r="C130">
        <v>1</v>
      </c>
      <c r="D130" t="s">
        <v>39</v>
      </c>
      <c r="E130" t="s">
        <v>317</v>
      </c>
      <c r="G130">
        <v>24</v>
      </c>
      <c r="H130" t="s">
        <v>204</v>
      </c>
      <c r="I130" t="s">
        <v>205</v>
      </c>
      <c r="J130" t="s">
        <v>228</v>
      </c>
      <c r="K130" s="27">
        <v>46070.478159722225</v>
      </c>
    </row>
    <row r="131" spans="1:11" x14ac:dyDescent="0.25">
      <c r="A131" t="s">
        <v>446</v>
      </c>
      <c r="B131" s="26">
        <v>46024</v>
      </c>
      <c r="C131">
        <v>1</v>
      </c>
      <c r="D131" t="s">
        <v>39</v>
      </c>
      <c r="E131" t="s">
        <v>317</v>
      </c>
      <c r="G131">
        <v>30</v>
      </c>
      <c r="H131" t="s">
        <v>204</v>
      </c>
      <c r="I131" t="s">
        <v>205</v>
      </c>
      <c r="J131" t="s">
        <v>228</v>
      </c>
      <c r="K131" s="27">
        <v>46070.491307870368</v>
      </c>
    </row>
    <row r="132" spans="1:11" x14ac:dyDescent="0.25">
      <c r="A132" t="s">
        <v>447</v>
      </c>
      <c r="B132" s="26">
        <v>46024</v>
      </c>
      <c r="C132">
        <v>1</v>
      </c>
      <c r="D132" t="s">
        <v>39</v>
      </c>
      <c r="E132" t="s">
        <v>317</v>
      </c>
      <c r="G132">
        <v>32</v>
      </c>
      <c r="H132" t="s">
        <v>204</v>
      </c>
      <c r="I132" t="s">
        <v>205</v>
      </c>
      <c r="J132" t="s">
        <v>228</v>
      </c>
      <c r="K132" s="27">
        <v>46070.491319444445</v>
      </c>
    </row>
    <row r="133" spans="1:11" x14ac:dyDescent="0.25">
      <c r="A133" t="s">
        <v>448</v>
      </c>
      <c r="B133" s="26">
        <v>46024</v>
      </c>
      <c r="C133">
        <v>1</v>
      </c>
      <c r="D133" t="s">
        <v>39</v>
      </c>
      <c r="E133" t="s">
        <v>317</v>
      </c>
      <c r="G133">
        <v>35</v>
      </c>
      <c r="H133" t="s">
        <v>204</v>
      </c>
      <c r="I133" t="s">
        <v>205</v>
      </c>
      <c r="J133" t="s">
        <v>228</v>
      </c>
      <c r="K133" s="27">
        <v>46070.491342592592</v>
      </c>
    </row>
    <row r="134" spans="1:11" x14ac:dyDescent="0.25">
      <c r="A134" t="s">
        <v>449</v>
      </c>
      <c r="B134" s="26">
        <v>46024</v>
      </c>
      <c r="C134">
        <v>1</v>
      </c>
      <c r="D134" t="s">
        <v>39</v>
      </c>
      <c r="E134" t="s">
        <v>317</v>
      </c>
      <c r="G134">
        <v>21</v>
      </c>
      <c r="H134" t="s">
        <v>204</v>
      </c>
      <c r="I134" t="s">
        <v>205</v>
      </c>
      <c r="J134" t="s">
        <v>228</v>
      </c>
      <c r="K134" s="27">
        <v>46070.491365740738</v>
      </c>
    </row>
    <row r="135" spans="1:11" x14ac:dyDescent="0.25">
      <c r="A135" t="s">
        <v>450</v>
      </c>
      <c r="B135" s="26">
        <v>46025</v>
      </c>
      <c r="C135">
        <v>1</v>
      </c>
      <c r="D135" t="s">
        <v>39</v>
      </c>
      <c r="E135" t="s">
        <v>317</v>
      </c>
      <c r="G135">
        <v>19</v>
      </c>
      <c r="H135" t="s">
        <v>204</v>
      </c>
      <c r="I135" t="s">
        <v>205</v>
      </c>
      <c r="J135" t="s">
        <v>228</v>
      </c>
      <c r="K135" s="27">
        <v>46070.491944444446</v>
      </c>
    </row>
    <row r="136" spans="1:11" x14ac:dyDescent="0.25">
      <c r="A136" t="s">
        <v>451</v>
      </c>
      <c r="B136" s="26">
        <v>46025</v>
      </c>
      <c r="C136">
        <v>1</v>
      </c>
      <c r="D136" t="s">
        <v>39</v>
      </c>
      <c r="E136" t="s">
        <v>317</v>
      </c>
      <c r="G136">
        <v>34</v>
      </c>
      <c r="H136" t="s">
        <v>204</v>
      </c>
      <c r="I136" t="s">
        <v>205</v>
      </c>
      <c r="J136" t="s">
        <v>228</v>
      </c>
      <c r="K136" s="27">
        <v>46070.492349537039</v>
      </c>
    </row>
    <row r="137" spans="1:11" x14ac:dyDescent="0.25">
      <c r="A137" t="s">
        <v>452</v>
      </c>
      <c r="B137" s="26">
        <v>46025</v>
      </c>
      <c r="C137">
        <v>1</v>
      </c>
      <c r="D137" t="s">
        <v>39</v>
      </c>
      <c r="E137" t="s">
        <v>317</v>
      </c>
      <c r="G137">
        <v>25</v>
      </c>
      <c r="H137" t="s">
        <v>204</v>
      </c>
      <c r="I137" t="s">
        <v>205</v>
      </c>
      <c r="J137" t="s">
        <v>228</v>
      </c>
      <c r="K137" s="27">
        <v>46070.492384259262</v>
      </c>
    </row>
    <row r="138" spans="1:11" x14ac:dyDescent="0.25">
      <c r="A138" t="s">
        <v>453</v>
      </c>
      <c r="B138" s="26">
        <v>46026</v>
      </c>
      <c r="C138">
        <v>1</v>
      </c>
      <c r="D138" t="s">
        <v>39</v>
      </c>
      <c r="E138" t="s">
        <v>317</v>
      </c>
      <c r="G138">
        <v>35</v>
      </c>
      <c r="H138" t="s">
        <v>204</v>
      </c>
      <c r="I138" t="s">
        <v>205</v>
      </c>
      <c r="J138" t="s">
        <v>228</v>
      </c>
      <c r="K138" s="27">
        <v>46070.49454861111</v>
      </c>
    </row>
    <row r="139" spans="1:11" x14ac:dyDescent="0.25">
      <c r="A139" t="s">
        <v>454</v>
      </c>
      <c r="B139" s="26">
        <v>46027</v>
      </c>
      <c r="C139">
        <v>1</v>
      </c>
      <c r="D139" t="s">
        <v>39</v>
      </c>
      <c r="E139" t="s">
        <v>317</v>
      </c>
      <c r="G139">
        <v>31</v>
      </c>
      <c r="H139" t="s">
        <v>204</v>
      </c>
      <c r="I139" t="s">
        <v>205</v>
      </c>
      <c r="J139" t="s">
        <v>228</v>
      </c>
      <c r="K139" s="27">
        <v>46070.496400462966</v>
      </c>
    </row>
    <row r="140" spans="1:11" x14ac:dyDescent="0.25">
      <c r="A140" t="s">
        <v>455</v>
      </c>
      <c r="B140" s="26">
        <v>46027</v>
      </c>
      <c r="C140">
        <v>1</v>
      </c>
      <c r="D140" t="s">
        <v>39</v>
      </c>
      <c r="E140" t="s">
        <v>317</v>
      </c>
      <c r="G140">
        <v>35</v>
      </c>
      <c r="H140" t="s">
        <v>204</v>
      </c>
      <c r="I140" t="s">
        <v>205</v>
      </c>
      <c r="J140" t="s">
        <v>228</v>
      </c>
      <c r="K140" s="27">
        <v>46070.496469907404</v>
      </c>
    </row>
    <row r="141" spans="1:11" x14ac:dyDescent="0.25">
      <c r="A141" t="s">
        <v>456</v>
      </c>
      <c r="B141" s="26">
        <v>46027</v>
      </c>
      <c r="C141">
        <v>1</v>
      </c>
      <c r="D141" t="s">
        <v>39</v>
      </c>
      <c r="E141" t="s">
        <v>317</v>
      </c>
      <c r="G141">
        <v>39</v>
      </c>
      <c r="H141" t="s">
        <v>204</v>
      </c>
      <c r="I141" t="s">
        <v>205</v>
      </c>
      <c r="J141" t="s">
        <v>228</v>
      </c>
      <c r="K141" s="27">
        <v>46070.496504629627</v>
      </c>
    </row>
    <row r="142" spans="1:11" x14ac:dyDescent="0.25">
      <c r="A142" t="s">
        <v>457</v>
      </c>
      <c r="B142" s="26">
        <v>46027</v>
      </c>
      <c r="C142">
        <v>1</v>
      </c>
      <c r="D142" t="s">
        <v>39</v>
      </c>
      <c r="E142" t="s">
        <v>317</v>
      </c>
      <c r="G142">
        <v>33</v>
      </c>
      <c r="H142" t="s">
        <v>204</v>
      </c>
      <c r="I142" t="s">
        <v>205</v>
      </c>
      <c r="J142" t="s">
        <v>228</v>
      </c>
      <c r="K142" s="27">
        <v>46070.496516203704</v>
      </c>
    </row>
    <row r="143" spans="1:11" x14ac:dyDescent="0.25">
      <c r="A143" t="s">
        <v>458</v>
      </c>
      <c r="B143" s="26">
        <v>46027</v>
      </c>
      <c r="C143">
        <v>1</v>
      </c>
      <c r="D143" t="s">
        <v>39</v>
      </c>
      <c r="E143" t="s">
        <v>317</v>
      </c>
      <c r="G143">
        <v>26</v>
      </c>
      <c r="H143" t="s">
        <v>204</v>
      </c>
      <c r="I143" t="s">
        <v>205</v>
      </c>
      <c r="J143" t="s">
        <v>228</v>
      </c>
      <c r="K143" s="27">
        <v>46070.496527777781</v>
      </c>
    </row>
    <row r="144" spans="1:11" x14ac:dyDescent="0.25">
      <c r="A144" t="s">
        <v>459</v>
      </c>
      <c r="B144" s="26">
        <v>46028</v>
      </c>
      <c r="C144">
        <v>1</v>
      </c>
      <c r="D144" t="s">
        <v>39</v>
      </c>
      <c r="E144" t="s">
        <v>317</v>
      </c>
      <c r="G144">
        <v>33</v>
      </c>
      <c r="H144" t="s">
        <v>204</v>
      </c>
      <c r="I144" t="s">
        <v>205</v>
      </c>
      <c r="J144" t="s">
        <v>228</v>
      </c>
      <c r="K144" s="27">
        <v>46070.49863425926</v>
      </c>
    </row>
    <row r="145" spans="1:11" x14ac:dyDescent="0.25">
      <c r="A145" t="s">
        <v>460</v>
      </c>
      <c r="B145" s="26">
        <v>46028</v>
      </c>
      <c r="C145">
        <v>1</v>
      </c>
      <c r="D145" t="s">
        <v>39</v>
      </c>
      <c r="E145" t="s">
        <v>317</v>
      </c>
      <c r="G145">
        <v>32</v>
      </c>
      <c r="H145" t="s">
        <v>204</v>
      </c>
      <c r="I145" t="s">
        <v>205</v>
      </c>
      <c r="J145" t="s">
        <v>228</v>
      </c>
      <c r="K145" s="27">
        <v>46070.498668981483</v>
      </c>
    </row>
    <row r="146" spans="1:11" x14ac:dyDescent="0.25">
      <c r="A146" t="s">
        <v>461</v>
      </c>
      <c r="B146" s="26">
        <v>46029</v>
      </c>
      <c r="C146">
        <v>1</v>
      </c>
      <c r="D146" t="s">
        <v>39</v>
      </c>
      <c r="E146" t="s">
        <v>317</v>
      </c>
      <c r="G146">
        <v>33</v>
      </c>
      <c r="H146" t="s">
        <v>204</v>
      </c>
      <c r="I146" t="s">
        <v>205</v>
      </c>
      <c r="J146" t="s">
        <v>228</v>
      </c>
      <c r="K146" s="27">
        <v>46070.499641203707</v>
      </c>
    </row>
    <row r="147" spans="1:11" x14ac:dyDescent="0.25">
      <c r="A147" t="s">
        <v>462</v>
      </c>
      <c r="B147" s="26">
        <v>46029</v>
      </c>
      <c r="C147">
        <v>1</v>
      </c>
      <c r="D147" t="s">
        <v>39</v>
      </c>
      <c r="E147" t="s">
        <v>317</v>
      </c>
      <c r="G147">
        <v>35</v>
      </c>
      <c r="H147" t="s">
        <v>204</v>
      </c>
      <c r="I147" t="s">
        <v>205</v>
      </c>
      <c r="J147" t="s">
        <v>228</v>
      </c>
      <c r="K147" s="27">
        <v>46070.499664351853</v>
      </c>
    </row>
    <row r="148" spans="1:11" x14ac:dyDescent="0.25">
      <c r="A148" t="s">
        <v>463</v>
      </c>
      <c r="B148" s="26">
        <v>46029</v>
      </c>
      <c r="C148">
        <v>1</v>
      </c>
      <c r="D148" t="s">
        <v>39</v>
      </c>
      <c r="E148" t="s">
        <v>317</v>
      </c>
      <c r="G148">
        <v>26</v>
      </c>
      <c r="H148" t="s">
        <v>204</v>
      </c>
      <c r="I148" t="s">
        <v>205</v>
      </c>
      <c r="J148" t="s">
        <v>228</v>
      </c>
      <c r="K148" s="27">
        <v>46070.4996875</v>
      </c>
    </row>
    <row r="149" spans="1:11" x14ac:dyDescent="0.25">
      <c r="A149" t="s">
        <v>464</v>
      </c>
      <c r="B149" s="26">
        <v>46030</v>
      </c>
      <c r="C149">
        <v>1</v>
      </c>
      <c r="D149" t="s">
        <v>39</v>
      </c>
      <c r="E149" t="s">
        <v>317</v>
      </c>
      <c r="G149">
        <v>24</v>
      </c>
      <c r="H149" t="s">
        <v>204</v>
      </c>
      <c r="I149" t="s">
        <v>205</v>
      </c>
      <c r="J149" t="s">
        <v>228</v>
      </c>
      <c r="K149" s="27">
        <v>46070.499791666669</v>
      </c>
    </row>
    <row r="150" spans="1:11" x14ac:dyDescent="0.25">
      <c r="A150" t="s">
        <v>465</v>
      </c>
      <c r="B150" s="26">
        <v>46030</v>
      </c>
      <c r="C150">
        <v>1</v>
      </c>
      <c r="D150" t="s">
        <v>39</v>
      </c>
      <c r="E150" t="s">
        <v>317</v>
      </c>
      <c r="G150">
        <v>20</v>
      </c>
      <c r="H150" t="s">
        <v>204</v>
      </c>
      <c r="I150" t="s">
        <v>205</v>
      </c>
      <c r="J150" t="s">
        <v>228</v>
      </c>
      <c r="K150" s="27">
        <v>46070.499803240738</v>
      </c>
    </row>
    <row r="151" spans="1:11" x14ac:dyDescent="0.25">
      <c r="A151" t="s">
        <v>466</v>
      </c>
      <c r="B151" s="26">
        <v>46031</v>
      </c>
      <c r="C151">
        <v>1</v>
      </c>
      <c r="D151" t="s">
        <v>39</v>
      </c>
      <c r="E151" t="s">
        <v>317</v>
      </c>
      <c r="G151">
        <v>22</v>
      </c>
      <c r="H151" t="s">
        <v>204</v>
      </c>
      <c r="I151" t="s">
        <v>205</v>
      </c>
      <c r="J151" t="s">
        <v>228</v>
      </c>
      <c r="K151" s="27">
        <v>46070.499884259261</v>
      </c>
    </row>
    <row r="152" spans="1:11" x14ac:dyDescent="0.25">
      <c r="A152" t="s">
        <v>467</v>
      </c>
      <c r="B152" s="26">
        <v>46032</v>
      </c>
      <c r="C152">
        <v>1</v>
      </c>
      <c r="D152" t="s">
        <v>39</v>
      </c>
      <c r="E152" t="s">
        <v>317</v>
      </c>
      <c r="G152">
        <v>20</v>
      </c>
      <c r="H152" t="s">
        <v>204</v>
      </c>
      <c r="I152" t="s">
        <v>205</v>
      </c>
      <c r="J152" t="s">
        <v>228</v>
      </c>
      <c r="K152" s="27">
        <v>46070.500185185185</v>
      </c>
    </row>
    <row r="153" spans="1:11" x14ac:dyDescent="0.25">
      <c r="A153" t="s">
        <v>468</v>
      </c>
      <c r="B153" s="26">
        <v>46032</v>
      </c>
      <c r="C153">
        <v>1</v>
      </c>
      <c r="D153" t="s">
        <v>39</v>
      </c>
      <c r="E153" t="s">
        <v>317</v>
      </c>
      <c r="G153">
        <v>47</v>
      </c>
      <c r="H153" t="s">
        <v>204</v>
      </c>
      <c r="I153" t="s">
        <v>205</v>
      </c>
      <c r="J153" t="s">
        <v>228</v>
      </c>
      <c r="K153" s="27">
        <v>46070.500208333331</v>
      </c>
    </row>
    <row r="154" spans="1:11" x14ac:dyDescent="0.25">
      <c r="A154" t="s">
        <v>469</v>
      </c>
      <c r="B154" s="26">
        <v>46032</v>
      </c>
      <c r="C154">
        <v>1</v>
      </c>
      <c r="D154" t="s">
        <v>39</v>
      </c>
      <c r="E154" t="s">
        <v>317</v>
      </c>
      <c r="G154">
        <v>33</v>
      </c>
      <c r="H154" t="s">
        <v>204</v>
      </c>
      <c r="I154" t="s">
        <v>205</v>
      </c>
      <c r="J154" t="s">
        <v>228</v>
      </c>
      <c r="K154" s="27">
        <v>46070.500219907408</v>
      </c>
    </row>
    <row r="155" spans="1:11" x14ac:dyDescent="0.25">
      <c r="A155" t="s">
        <v>470</v>
      </c>
      <c r="B155" s="26">
        <v>46032</v>
      </c>
      <c r="C155">
        <v>1</v>
      </c>
      <c r="D155" t="s">
        <v>39</v>
      </c>
      <c r="E155" t="s">
        <v>317</v>
      </c>
      <c r="G155">
        <v>26</v>
      </c>
      <c r="H155" t="s">
        <v>204</v>
      </c>
      <c r="I155" t="s">
        <v>205</v>
      </c>
      <c r="J155" t="s">
        <v>228</v>
      </c>
      <c r="K155" s="27">
        <v>46070.500243055554</v>
      </c>
    </row>
    <row r="156" spans="1:11" x14ac:dyDescent="0.25">
      <c r="A156" t="s">
        <v>471</v>
      </c>
      <c r="B156" s="26">
        <v>46033</v>
      </c>
      <c r="C156">
        <v>1</v>
      </c>
      <c r="D156" t="s">
        <v>39</v>
      </c>
      <c r="E156" t="s">
        <v>317</v>
      </c>
      <c r="G156">
        <v>33</v>
      </c>
      <c r="H156" t="s">
        <v>204</v>
      </c>
      <c r="I156" t="s">
        <v>205</v>
      </c>
      <c r="J156" t="s">
        <v>228</v>
      </c>
      <c r="K156" s="27">
        <v>46070.500416666669</v>
      </c>
    </row>
    <row r="157" spans="1:11" x14ac:dyDescent="0.25">
      <c r="A157" t="s">
        <v>472</v>
      </c>
      <c r="B157" s="26">
        <v>46033</v>
      </c>
      <c r="C157">
        <v>1</v>
      </c>
      <c r="D157" t="s">
        <v>39</v>
      </c>
      <c r="E157" t="s">
        <v>317</v>
      </c>
      <c r="G157">
        <v>16</v>
      </c>
      <c r="H157" t="s">
        <v>204</v>
      </c>
      <c r="I157" t="s">
        <v>205</v>
      </c>
      <c r="J157" t="s">
        <v>228</v>
      </c>
      <c r="K157" s="27">
        <v>46070.500451388885</v>
      </c>
    </row>
    <row r="158" spans="1:11" x14ac:dyDescent="0.25">
      <c r="A158" t="s">
        <v>473</v>
      </c>
      <c r="B158" s="26">
        <v>46033</v>
      </c>
      <c r="C158">
        <v>1</v>
      </c>
      <c r="D158" t="s">
        <v>39</v>
      </c>
      <c r="E158" t="s">
        <v>317</v>
      </c>
      <c r="G158">
        <v>18</v>
      </c>
      <c r="H158" t="s">
        <v>204</v>
      </c>
      <c r="I158" t="s">
        <v>205</v>
      </c>
      <c r="J158" t="s">
        <v>228</v>
      </c>
      <c r="K158" s="27">
        <v>46070.500474537039</v>
      </c>
    </row>
    <row r="159" spans="1:11" x14ac:dyDescent="0.25">
      <c r="A159" t="s">
        <v>474</v>
      </c>
      <c r="B159" s="26">
        <v>46034</v>
      </c>
      <c r="C159">
        <v>1</v>
      </c>
      <c r="D159" t="s">
        <v>39</v>
      </c>
      <c r="E159" t="s">
        <v>317</v>
      </c>
      <c r="G159">
        <v>35</v>
      </c>
      <c r="H159" t="s">
        <v>204</v>
      </c>
      <c r="I159" t="s">
        <v>205</v>
      </c>
      <c r="J159" t="s">
        <v>228</v>
      </c>
      <c r="K159" s="27">
        <v>46070.500590277778</v>
      </c>
    </row>
    <row r="160" spans="1:11" x14ac:dyDescent="0.25">
      <c r="A160" t="s">
        <v>475</v>
      </c>
      <c r="B160" s="26">
        <v>46034</v>
      </c>
      <c r="C160">
        <v>1</v>
      </c>
      <c r="D160" t="s">
        <v>39</v>
      </c>
      <c r="E160" t="s">
        <v>317</v>
      </c>
      <c r="G160">
        <v>31</v>
      </c>
      <c r="H160" t="s">
        <v>204</v>
      </c>
      <c r="I160" t="s">
        <v>205</v>
      </c>
      <c r="J160" t="s">
        <v>228</v>
      </c>
      <c r="K160" s="27">
        <v>46070.500601851854</v>
      </c>
    </row>
    <row r="161" spans="1:11" x14ac:dyDescent="0.25">
      <c r="A161" t="s">
        <v>476</v>
      </c>
      <c r="B161" s="26">
        <v>46034</v>
      </c>
      <c r="C161">
        <v>1</v>
      </c>
      <c r="D161" t="s">
        <v>39</v>
      </c>
      <c r="E161" t="s">
        <v>317</v>
      </c>
      <c r="G161">
        <v>33</v>
      </c>
      <c r="H161" t="s">
        <v>204</v>
      </c>
      <c r="I161" t="s">
        <v>205</v>
      </c>
      <c r="J161" t="s">
        <v>228</v>
      </c>
      <c r="K161" s="27">
        <v>46070.500613425924</v>
      </c>
    </row>
    <row r="162" spans="1:11" x14ac:dyDescent="0.25">
      <c r="A162" t="s">
        <v>477</v>
      </c>
      <c r="B162" s="26">
        <v>46035</v>
      </c>
      <c r="C162">
        <v>1</v>
      </c>
      <c r="D162" t="s">
        <v>39</v>
      </c>
      <c r="E162" t="s">
        <v>317</v>
      </c>
      <c r="G162">
        <v>19</v>
      </c>
      <c r="H162" t="s">
        <v>204</v>
      </c>
      <c r="I162" t="s">
        <v>205</v>
      </c>
      <c r="J162" t="s">
        <v>228</v>
      </c>
      <c r="K162" s="27">
        <v>46070.50072916667</v>
      </c>
    </row>
    <row r="163" spans="1:11" x14ac:dyDescent="0.25">
      <c r="A163" t="s">
        <v>478</v>
      </c>
      <c r="B163" s="26">
        <v>46035</v>
      </c>
      <c r="C163">
        <v>1</v>
      </c>
      <c r="D163" t="s">
        <v>39</v>
      </c>
      <c r="E163" t="s">
        <v>317</v>
      </c>
      <c r="G163">
        <v>26</v>
      </c>
      <c r="H163" t="s">
        <v>204</v>
      </c>
      <c r="I163" t="s">
        <v>205</v>
      </c>
      <c r="J163" t="s">
        <v>228</v>
      </c>
      <c r="K163" s="27">
        <v>46070.500740740739</v>
      </c>
    </row>
    <row r="164" spans="1:11" x14ac:dyDescent="0.25">
      <c r="A164" t="s">
        <v>479</v>
      </c>
      <c r="B164" s="26">
        <v>46035</v>
      </c>
      <c r="C164">
        <v>1</v>
      </c>
      <c r="D164" t="s">
        <v>39</v>
      </c>
      <c r="E164" t="s">
        <v>317</v>
      </c>
      <c r="G164">
        <v>17</v>
      </c>
      <c r="H164" t="s">
        <v>204</v>
      </c>
      <c r="I164" t="s">
        <v>205</v>
      </c>
      <c r="J164" t="s">
        <v>228</v>
      </c>
      <c r="K164" s="27">
        <v>46070.500752314816</v>
      </c>
    </row>
    <row r="165" spans="1:11" x14ac:dyDescent="0.25">
      <c r="A165" t="s">
        <v>480</v>
      </c>
      <c r="B165" s="26">
        <v>46035</v>
      </c>
      <c r="C165">
        <v>1</v>
      </c>
      <c r="D165" t="s">
        <v>39</v>
      </c>
      <c r="E165" t="s">
        <v>317</v>
      </c>
      <c r="G165">
        <v>32</v>
      </c>
      <c r="H165" t="s">
        <v>204</v>
      </c>
      <c r="I165" t="s">
        <v>205</v>
      </c>
      <c r="J165" t="s">
        <v>228</v>
      </c>
      <c r="K165" s="27">
        <v>46070.500763888886</v>
      </c>
    </row>
    <row r="166" spans="1:11" x14ac:dyDescent="0.25">
      <c r="A166" t="s">
        <v>481</v>
      </c>
      <c r="B166" s="26">
        <v>46036</v>
      </c>
      <c r="C166">
        <v>1</v>
      </c>
      <c r="D166" t="s">
        <v>39</v>
      </c>
      <c r="E166" t="s">
        <v>317</v>
      </c>
      <c r="G166">
        <v>31</v>
      </c>
      <c r="H166" t="s">
        <v>204</v>
      </c>
      <c r="I166" t="s">
        <v>205</v>
      </c>
      <c r="J166" t="s">
        <v>228</v>
      </c>
      <c r="K166" s="27">
        <v>46070.501296296294</v>
      </c>
    </row>
    <row r="167" spans="1:11" x14ac:dyDescent="0.25">
      <c r="A167" t="s">
        <v>482</v>
      </c>
      <c r="B167" s="26">
        <v>46037</v>
      </c>
      <c r="C167">
        <v>1</v>
      </c>
      <c r="D167" t="s">
        <v>39</v>
      </c>
      <c r="E167" t="s">
        <v>317</v>
      </c>
      <c r="G167">
        <v>33</v>
      </c>
      <c r="H167" t="s">
        <v>204</v>
      </c>
      <c r="I167" t="s">
        <v>205</v>
      </c>
      <c r="J167" t="s">
        <v>228</v>
      </c>
      <c r="K167" s="27">
        <v>46070.504166666666</v>
      </c>
    </row>
    <row r="168" spans="1:11" x14ac:dyDescent="0.25">
      <c r="A168" t="s">
        <v>483</v>
      </c>
      <c r="B168" s="26">
        <v>46037</v>
      </c>
      <c r="C168">
        <v>1</v>
      </c>
      <c r="D168" t="s">
        <v>39</v>
      </c>
      <c r="E168" t="s">
        <v>317</v>
      </c>
      <c r="G168">
        <v>34</v>
      </c>
      <c r="H168" t="s">
        <v>204</v>
      </c>
      <c r="I168" t="s">
        <v>205</v>
      </c>
      <c r="J168" t="s">
        <v>228</v>
      </c>
      <c r="K168" s="27">
        <v>46070.504189814812</v>
      </c>
    </row>
    <row r="169" spans="1:11" x14ac:dyDescent="0.25">
      <c r="A169" t="s">
        <v>484</v>
      </c>
      <c r="B169" s="26">
        <v>46038</v>
      </c>
      <c r="C169">
        <v>1</v>
      </c>
      <c r="D169" t="s">
        <v>39</v>
      </c>
      <c r="E169" t="s">
        <v>317</v>
      </c>
      <c r="G169">
        <v>26</v>
      </c>
      <c r="H169" t="s">
        <v>204</v>
      </c>
      <c r="I169" t="s">
        <v>205</v>
      </c>
      <c r="J169" t="s">
        <v>228</v>
      </c>
      <c r="K169" s="27">
        <v>46070.504444444443</v>
      </c>
    </row>
    <row r="170" spans="1:11" x14ac:dyDescent="0.25">
      <c r="A170" t="s">
        <v>485</v>
      </c>
      <c r="B170" s="26">
        <v>46039</v>
      </c>
      <c r="C170">
        <v>1</v>
      </c>
      <c r="D170" t="s">
        <v>39</v>
      </c>
      <c r="E170" t="s">
        <v>317</v>
      </c>
      <c r="G170">
        <v>26</v>
      </c>
      <c r="H170" t="s">
        <v>204</v>
      </c>
      <c r="I170" t="s">
        <v>205</v>
      </c>
      <c r="J170" t="s">
        <v>228</v>
      </c>
      <c r="K170" s="27">
        <v>46070.504641203705</v>
      </c>
    </row>
    <row r="171" spans="1:11" x14ac:dyDescent="0.25">
      <c r="A171" t="s">
        <v>486</v>
      </c>
      <c r="B171" s="26">
        <v>46039</v>
      </c>
      <c r="C171">
        <v>1</v>
      </c>
      <c r="D171" t="s">
        <v>39</v>
      </c>
      <c r="E171" t="s">
        <v>317</v>
      </c>
      <c r="G171">
        <v>32</v>
      </c>
      <c r="H171" t="s">
        <v>204</v>
      </c>
      <c r="I171" t="s">
        <v>205</v>
      </c>
      <c r="J171" t="s">
        <v>228</v>
      </c>
      <c r="K171" s="27">
        <v>46070.504699074074</v>
      </c>
    </row>
    <row r="172" spans="1:11" x14ac:dyDescent="0.25">
      <c r="A172" t="s">
        <v>487</v>
      </c>
      <c r="B172" s="26">
        <v>46040</v>
      </c>
      <c r="C172">
        <v>1</v>
      </c>
      <c r="D172" t="s">
        <v>39</v>
      </c>
      <c r="E172" t="s">
        <v>317</v>
      </c>
      <c r="G172">
        <v>22</v>
      </c>
      <c r="H172" t="s">
        <v>204</v>
      </c>
      <c r="I172" t="s">
        <v>205</v>
      </c>
      <c r="J172" t="s">
        <v>228</v>
      </c>
      <c r="K172" s="27">
        <v>46070.504918981482</v>
      </c>
    </row>
    <row r="173" spans="1:11" x14ac:dyDescent="0.25">
      <c r="A173" t="s">
        <v>488</v>
      </c>
      <c r="B173" s="26">
        <v>46040</v>
      </c>
      <c r="C173">
        <v>1</v>
      </c>
      <c r="D173" t="s">
        <v>39</v>
      </c>
      <c r="E173" t="s">
        <v>317</v>
      </c>
      <c r="G173">
        <v>29</v>
      </c>
      <c r="H173" t="s">
        <v>204</v>
      </c>
      <c r="I173" t="s">
        <v>205</v>
      </c>
      <c r="J173" t="s">
        <v>228</v>
      </c>
      <c r="K173" s="27">
        <v>46070.505069444444</v>
      </c>
    </row>
    <row r="174" spans="1:11" x14ac:dyDescent="0.25">
      <c r="A174" t="s">
        <v>489</v>
      </c>
      <c r="B174" s="26">
        <v>46041</v>
      </c>
      <c r="C174">
        <v>1</v>
      </c>
      <c r="D174" t="s">
        <v>39</v>
      </c>
      <c r="E174" t="s">
        <v>317</v>
      </c>
      <c r="G174">
        <v>34</v>
      </c>
      <c r="H174" t="s">
        <v>204</v>
      </c>
      <c r="I174" t="s">
        <v>205</v>
      </c>
      <c r="J174" t="s">
        <v>228</v>
      </c>
      <c r="K174" s="27">
        <v>46070.505254629628</v>
      </c>
    </row>
    <row r="175" spans="1:11" x14ac:dyDescent="0.25">
      <c r="A175" t="s">
        <v>490</v>
      </c>
      <c r="B175" s="26">
        <v>46041</v>
      </c>
      <c r="C175">
        <v>1</v>
      </c>
      <c r="D175" t="s">
        <v>39</v>
      </c>
      <c r="E175" t="s">
        <v>317</v>
      </c>
      <c r="G175">
        <v>21</v>
      </c>
      <c r="H175" t="s">
        <v>204</v>
      </c>
      <c r="I175" t="s">
        <v>205</v>
      </c>
      <c r="J175" t="s">
        <v>228</v>
      </c>
      <c r="K175" s="27">
        <v>46070.505289351851</v>
      </c>
    </row>
    <row r="176" spans="1:11" x14ac:dyDescent="0.25">
      <c r="A176" t="s">
        <v>491</v>
      </c>
      <c r="B176" s="26">
        <v>46041</v>
      </c>
      <c r="C176">
        <v>1</v>
      </c>
      <c r="D176" t="s">
        <v>39</v>
      </c>
      <c r="E176" t="s">
        <v>317</v>
      </c>
      <c r="G176">
        <v>30</v>
      </c>
      <c r="H176" t="s">
        <v>204</v>
      </c>
      <c r="I176" t="s">
        <v>205</v>
      </c>
      <c r="J176" t="s">
        <v>228</v>
      </c>
      <c r="K176" s="27">
        <v>46070.505312499998</v>
      </c>
    </row>
    <row r="177" spans="1:11" x14ac:dyDescent="0.25">
      <c r="A177" t="s">
        <v>492</v>
      </c>
      <c r="B177" s="26">
        <v>46042</v>
      </c>
      <c r="C177">
        <v>1</v>
      </c>
      <c r="D177" t="s">
        <v>39</v>
      </c>
      <c r="E177" t="s">
        <v>317</v>
      </c>
      <c r="G177">
        <v>26</v>
      </c>
      <c r="H177" t="s">
        <v>204</v>
      </c>
      <c r="I177" t="s">
        <v>205</v>
      </c>
      <c r="J177" t="s">
        <v>228</v>
      </c>
      <c r="K177" s="27">
        <v>46070.505555555559</v>
      </c>
    </row>
    <row r="178" spans="1:11" x14ac:dyDescent="0.25">
      <c r="A178" t="s">
        <v>493</v>
      </c>
      <c r="B178" s="26">
        <v>46042</v>
      </c>
      <c r="C178">
        <v>1</v>
      </c>
      <c r="D178" t="s">
        <v>39</v>
      </c>
      <c r="E178" t="s">
        <v>317</v>
      </c>
      <c r="G178">
        <v>26</v>
      </c>
      <c r="H178" t="s">
        <v>204</v>
      </c>
      <c r="I178" t="s">
        <v>205</v>
      </c>
      <c r="J178" t="s">
        <v>228</v>
      </c>
      <c r="K178" s="27">
        <v>46070.505613425928</v>
      </c>
    </row>
    <row r="179" spans="1:11" x14ac:dyDescent="0.25">
      <c r="A179" t="s">
        <v>494</v>
      </c>
      <c r="B179" s="26">
        <v>46043</v>
      </c>
      <c r="C179">
        <v>1</v>
      </c>
      <c r="D179" t="s">
        <v>39</v>
      </c>
      <c r="E179" t="s">
        <v>317</v>
      </c>
      <c r="G179">
        <v>35</v>
      </c>
      <c r="H179" t="s">
        <v>204</v>
      </c>
      <c r="I179" t="s">
        <v>205</v>
      </c>
      <c r="J179" t="s">
        <v>228</v>
      </c>
      <c r="K179" s="27">
        <v>46070.505844907406</v>
      </c>
    </row>
    <row r="180" spans="1:11" x14ac:dyDescent="0.25">
      <c r="A180" t="s">
        <v>495</v>
      </c>
      <c r="B180" s="26">
        <v>46044</v>
      </c>
      <c r="C180">
        <v>1</v>
      </c>
      <c r="D180" t="s">
        <v>39</v>
      </c>
      <c r="E180" t="s">
        <v>317</v>
      </c>
      <c r="G180">
        <v>35</v>
      </c>
      <c r="H180" t="s">
        <v>204</v>
      </c>
      <c r="I180" t="s">
        <v>205</v>
      </c>
      <c r="J180" t="s">
        <v>228</v>
      </c>
      <c r="K180" s="27">
        <v>46070.505983796298</v>
      </c>
    </row>
    <row r="181" spans="1:11" x14ac:dyDescent="0.25">
      <c r="A181" t="s">
        <v>496</v>
      </c>
      <c r="B181" s="26">
        <v>46044</v>
      </c>
      <c r="C181">
        <v>1</v>
      </c>
      <c r="D181" t="s">
        <v>39</v>
      </c>
      <c r="E181" t="s">
        <v>317</v>
      </c>
      <c r="G181">
        <v>25</v>
      </c>
      <c r="H181" t="s">
        <v>204</v>
      </c>
      <c r="I181" t="s">
        <v>205</v>
      </c>
      <c r="J181" t="s">
        <v>228</v>
      </c>
      <c r="K181" s="27">
        <v>46070.506041666667</v>
      </c>
    </row>
    <row r="182" spans="1:11" x14ac:dyDescent="0.25">
      <c r="A182" t="s">
        <v>497</v>
      </c>
      <c r="B182" s="26">
        <v>46045</v>
      </c>
      <c r="C182">
        <v>1</v>
      </c>
      <c r="D182" t="s">
        <v>39</v>
      </c>
      <c r="E182" t="s">
        <v>317</v>
      </c>
      <c r="G182">
        <v>25</v>
      </c>
      <c r="H182" t="s">
        <v>204</v>
      </c>
      <c r="I182" t="s">
        <v>205</v>
      </c>
      <c r="J182" t="s">
        <v>228</v>
      </c>
      <c r="K182" s="27">
        <v>46070.506249999999</v>
      </c>
    </row>
    <row r="183" spans="1:11" x14ac:dyDescent="0.25">
      <c r="A183" t="s">
        <v>498</v>
      </c>
      <c r="B183" s="26">
        <v>46045</v>
      </c>
      <c r="C183">
        <v>1</v>
      </c>
      <c r="D183" t="s">
        <v>39</v>
      </c>
      <c r="E183" t="s">
        <v>317</v>
      </c>
      <c r="G183">
        <v>39</v>
      </c>
      <c r="H183" t="s">
        <v>204</v>
      </c>
      <c r="I183" t="s">
        <v>205</v>
      </c>
      <c r="J183" t="s">
        <v>228</v>
      </c>
      <c r="K183" s="27">
        <v>46070.506296296298</v>
      </c>
    </row>
    <row r="184" spans="1:11" x14ac:dyDescent="0.25">
      <c r="A184" t="s">
        <v>499</v>
      </c>
      <c r="B184" s="26">
        <v>46046</v>
      </c>
      <c r="C184">
        <v>1</v>
      </c>
      <c r="D184" t="s">
        <v>39</v>
      </c>
      <c r="E184" t="s">
        <v>317</v>
      </c>
      <c r="G184">
        <v>29</v>
      </c>
      <c r="H184" t="s">
        <v>204</v>
      </c>
      <c r="I184" t="s">
        <v>205</v>
      </c>
      <c r="J184" t="s">
        <v>228</v>
      </c>
      <c r="K184" s="27">
        <v>46070.506458333337</v>
      </c>
    </row>
    <row r="185" spans="1:11" x14ac:dyDescent="0.25">
      <c r="A185" t="s">
        <v>500</v>
      </c>
      <c r="B185" s="26">
        <v>46047</v>
      </c>
      <c r="C185">
        <v>1</v>
      </c>
      <c r="D185" t="s">
        <v>39</v>
      </c>
      <c r="E185" t="s">
        <v>317</v>
      </c>
      <c r="G185">
        <v>19</v>
      </c>
      <c r="H185" t="s">
        <v>204</v>
      </c>
      <c r="I185" t="s">
        <v>205</v>
      </c>
      <c r="J185" t="s">
        <v>228</v>
      </c>
      <c r="K185" s="27">
        <v>46070.506631944445</v>
      </c>
    </row>
    <row r="186" spans="1:11" x14ac:dyDescent="0.25">
      <c r="A186" t="s">
        <v>501</v>
      </c>
      <c r="B186" s="26">
        <v>46048</v>
      </c>
      <c r="C186">
        <v>1</v>
      </c>
      <c r="D186" t="s">
        <v>39</v>
      </c>
      <c r="E186" t="s">
        <v>317</v>
      </c>
      <c r="G186">
        <v>25</v>
      </c>
      <c r="H186" t="s">
        <v>204</v>
      </c>
      <c r="I186" t="s">
        <v>205</v>
      </c>
      <c r="J186" t="s">
        <v>228</v>
      </c>
      <c r="K186" s="27">
        <v>46070.50681712963</v>
      </c>
    </row>
    <row r="187" spans="1:11" x14ac:dyDescent="0.25">
      <c r="A187" t="s">
        <v>502</v>
      </c>
      <c r="B187" s="26">
        <v>46048</v>
      </c>
      <c r="C187">
        <v>1</v>
      </c>
      <c r="D187" t="s">
        <v>39</v>
      </c>
      <c r="E187" t="s">
        <v>317</v>
      </c>
      <c r="G187">
        <v>29</v>
      </c>
      <c r="H187" t="s">
        <v>204</v>
      </c>
      <c r="I187" t="s">
        <v>205</v>
      </c>
      <c r="J187" t="s">
        <v>228</v>
      </c>
      <c r="K187" s="27">
        <v>46070.506840277776</v>
      </c>
    </row>
    <row r="188" spans="1:11" x14ac:dyDescent="0.25">
      <c r="A188" t="s">
        <v>503</v>
      </c>
      <c r="B188" s="26">
        <v>46048</v>
      </c>
      <c r="C188">
        <v>1</v>
      </c>
      <c r="D188" t="s">
        <v>39</v>
      </c>
      <c r="E188" t="s">
        <v>317</v>
      </c>
      <c r="G188">
        <v>35</v>
      </c>
      <c r="H188" t="s">
        <v>204</v>
      </c>
      <c r="I188" t="s">
        <v>205</v>
      </c>
      <c r="J188" t="s">
        <v>228</v>
      </c>
      <c r="K188" s="27">
        <v>46070.506874999999</v>
      </c>
    </row>
    <row r="189" spans="1:11" x14ac:dyDescent="0.25">
      <c r="A189" t="s">
        <v>504</v>
      </c>
      <c r="B189" s="26">
        <v>46049</v>
      </c>
      <c r="C189">
        <v>1</v>
      </c>
      <c r="D189" t="s">
        <v>39</v>
      </c>
      <c r="E189" t="s">
        <v>317</v>
      </c>
      <c r="G189">
        <v>31</v>
      </c>
      <c r="H189" t="s">
        <v>204</v>
      </c>
      <c r="I189" t="s">
        <v>205</v>
      </c>
      <c r="J189" t="s">
        <v>228</v>
      </c>
      <c r="K189" s="27">
        <v>46070.507048611114</v>
      </c>
    </row>
    <row r="190" spans="1:11" x14ac:dyDescent="0.25">
      <c r="A190" t="s">
        <v>505</v>
      </c>
      <c r="B190" s="26">
        <v>46049</v>
      </c>
      <c r="C190">
        <v>1</v>
      </c>
      <c r="D190" t="s">
        <v>39</v>
      </c>
      <c r="E190" t="s">
        <v>317</v>
      </c>
      <c r="G190">
        <v>25</v>
      </c>
      <c r="H190" t="s">
        <v>204</v>
      </c>
      <c r="I190" t="s">
        <v>205</v>
      </c>
      <c r="J190" t="s">
        <v>228</v>
      </c>
      <c r="K190" s="27">
        <v>46070.507071759261</v>
      </c>
    </row>
    <row r="191" spans="1:11" x14ac:dyDescent="0.25">
      <c r="A191" t="s">
        <v>506</v>
      </c>
      <c r="B191" s="26">
        <v>46049</v>
      </c>
      <c r="C191">
        <v>1</v>
      </c>
      <c r="D191" t="s">
        <v>39</v>
      </c>
      <c r="E191" t="s">
        <v>317</v>
      </c>
      <c r="G191">
        <v>32</v>
      </c>
      <c r="H191" t="s">
        <v>204</v>
      </c>
      <c r="I191" t="s">
        <v>205</v>
      </c>
      <c r="J191" t="s">
        <v>228</v>
      </c>
      <c r="K191" s="27">
        <v>46070.507094907407</v>
      </c>
    </row>
    <row r="192" spans="1:11" x14ac:dyDescent="0.25">
      <c r="A192" t="s">
        <v>507</v>
      </c>
      <c r="B192" s="26">
        <v>46049</v>
      </c>
      <c r="C192">
        <v>1</v>
      </c>
      <c r="D192" t="s">
        <v>39</v>
      </c>
      <c r="E192" t="s">
        <v>317</v>
      </c>
      <c r="G192">
        <v>35</v>
      </c>
      <c r="H192" t="s">
        <v>204</v>
      </c>
      <c r="I192" t="s">
        <v>205</v>
      </c>
      <c r="J192" t="s">
        <v>228</v>
      </c>
      <c r="K192" s="27">
        <v>46070.507118055553</v>
      </c>
    </row>
    <row r="193" spans="1:11" x14ac:dyDescent="0.25">
      <c r="A193" t="s">
        <v>508</v>
      </c>
      <c r="B193" s="26">
        <v>46049</v>
      </c>
      <c r="C193">
        <v>1</v>
      </c>
      <c r="D193" t="s">
        <v>39</v>
      </c>
      <c r="E193" t="s">
        <v>317</v>
      </c>
      <c r="G193">
        <v>32</v>
      </c>
      <c r="H193" t="s">
        <v>204</v>
      </c>
      <c r="I193" t="s">
        <v>205</v>
      </c>
      <c r="J193" t="s">
        <v>228</v>
      </c>
      <c r="K193" s="27">
        <v>46070.507152777776</v>
      </c>
    </row>
    <row r="194" spans="1:11" x14ac:dyDescent="0.25">
      <c r="A194" t="s">
        <v>509</v>
      </c>
      <c r="B194" s="26">
        <v>46050</v>
      </c>
      <c r="C194">
        <v>1</v>
      </c>
      <c r="D194" t="s">
        <v>39</v>
      </c>
      <c r="E194" t="s">
        <v>317</v>
      </c>
      <c r="G194">
        <v>30</v>
      </c>
      <c r="H194" t="s">
        <v>204</v>
      </c>
      <c r="I194" t="s">
        <v>205</v>
      </c>
      <c r="J194" t="s">
        <v>228</v>
      </c>
      <c r="K194" s="27">
        <v>46070.507708333331</v>
      </c>
    </row>
    <row r="195" spans="1:11" x14ac:dyDescent="0.25">
      <c r="A195" t="s">
        <v>510</v>
      </c>
      <c r="B195" s="26">
        <v>46050</v>
      </c>
      <c r="C195">
        <v>1</v>
      </c>
      <c r="D195" t="s">
        <v>39</v>
      </c>
      <c r="E195" t="s">
        <v>317</v>
      </c>
      <c r="G195">
        <v>25</v>
      </c>
      <c r="H195" t="s">
        <v>204</v>
      </c>
      <c r="I195" t="s">
        <v>205</v>
      </c>
      <c r="J195" t="s">
        <v>228</v>
      </c>
      <c r="K195" s="27">
        <v>46070.507743055554</v>
      </c>
    </row>
    <row r="196" spans="1:11" x14ac:dyDescent="0.25">
      <c r="A196" t="s">
        <v>511</v>
      </c>
      <c r="B196" s="26">
        <v>46050</v>
      </c>
      <c r="C196">
        <v>1</v>
      </c>
      <c r="D196" t="s">
        <v>39</v>
      </c>
      <c r="E196" t="s">
        <v>317</v>
      </c>
      <c r="G196">
        <v>26</v>
      </c>
      <c r="H196" t="s">
        <v>204</v>
      </c>
      <c r="I196" t="s">
        <v>205</v>
      </c>
      <c r="J196" t="s">
        <v>228</v>
      </c>
      <c r="K196" s="27">
        <v>46070.507800925923</v>
      </c>
    </row>
    <row r="197" spans="1:11" x14ac:dyDescent="0.25">
      <c r="A197" t="s">
        <v>512</v>
      </c>
      <c r="B197" s="26">
        <v>46051</v>
      </c>
      <c r="C197">
        <v>1</v>
      </c>
      <c r="D197" t="s">
        <v>39</v>
      </c>
      <c r="E197" t="s">
        <v>317</v>
      </c>
      <c r="G197">
        <v>42</v>
      </c>
      <c r="H197" t="s">
        <v>204</v>
      </c>
      <c r="I197" t="s">
        <v>205</v>
      </c>
      <c r="J197" t="s">
        <v>228</v>
      </c>
      <c r="K197" s="27">
        <v>46070.508171296293</v>
      </c>
    </row>
    <row r="198" spans="1:11" x14ac:dyDescent="0.25">
      <c r="A198" t="s">
        <v>513</v>
      </c>
      <c r="B198" s="26">
        <v>46052</v>
      </c>
      <c r="C198">
        <v>1</v>
      </c>
      <c r="D198" t="s">
        <v>39</v>
      </c>
      <c r="E198" t="s">
        <v>317</v>
      </c>
      <c r="G198">
        <v>21</v>
      </c>
      <c r="H198" t="s">
        <v>204</v>
      </c>
      <c r="I198" t="s">
        <v>205</v>
      </c>
      <c r="J198" t="s">
        <v>228</v>
      </c>
      <c r="K198" s="27">
        <v>46070.50849537037</v>
      </c>
    </row>
    <row r="199" spans="1:11" x14ac:dyDescent="0.25">
      <c r="A199" t="s">
        <v>514</v>
      </c>
      <c r="B199" s="26">
        <v>46052</v>
      </c>
      <c r="C199">
        <v>1</v>
      </c>
      <c r="D199" t="s">
        <v>39</v>
      </c>
      <c r="E199" t="s">
        <v>317</v>
      </c>
      <c r="G199">
        <v>19</v>
      </c>
      <c r="H199" t="s">
        <v>204</v>
      </c>
      <c r="I199" t="s">
        <v>205</v>
      </c>
      <c r="J199" t="s">
        <v>228</v>
      </c>
      <c r="K199" s="27">
        <v>46070.509016203701</v>
      </c>
    </row>
    <row r="200" spans="1:11" x14ac:dyDescent="0.25">
      <c r="A200" t="s">
        <v>515</v>
      </c>
      <c r="B200" s="26">
        <v>46052</v>
      </c>
      <c r="C200">
        <v>1</v>
      </c>
      <c r="D200" t="s">
        <v>39</v>
      </c>
      <c r="E200" t="s">
        <v>317</v>
      </c>
      <c r="G200">
        <v>35</v>
      </c>
      <c r="H200" t="s">
        <v>204</v>
      </c>
      <c r="I200" t="s">
        <v>205</v>
      </c>
      <c r="J200" t="s">
        <v>228</v>
      </c>
      <c r="K200" s="27">
        <v>46070.509050925924</v>
      </c>
    </row>
    <row r="201" spans="1:11" x14ac:dyDescent="0.25">
      <c r="A201" t="s">
        <v>516</v>
      </c>
      <c r="B201" s="26">
        <v>46026</v>
      </c>
      <c r="C201">
        <v>1</v>
      </c>
      <c r="D201" t="s">
        <v>29</v>
      </c>
      <c r="E201" t="s">
        <v>317</v>
      </c>
      <c r="G201">
        <v>25</v>
      </c>
      <c r="H201" t="s">
        <v>204</v>
      </c>
      <c r="I201" t="s">
        <v>234</v>
      </c>
      <c r="J201" t="s">
        <v>228</v>
      </c>
      <c r="K201" s="27">
        <v>46070.510347222225</v>
      </c>
    </row>
    <row r="202" spans="1:11" x14ac:dyDescent="0.25">
      <c r="A202" t="s">
        <v>517</v>
      </c>
      <c r="B202" s="26">
        <v>46026</v>
      </c>
      <c r="C202">
        <v>1</v>
      </c>
      <c r="D202" t="s">
        <v>29</v>
      </c>
      <c r="E202" t="s">
        <v>317</v>
      </c>
      <c r="G202">
        <v>84</v>
      </c>
      <c r="H202" t="s">
        <v>204</v>
      </c>
      <c r="I202" t="s">
        <v>234</v>
      </c>
      <c r="J202" t="s">
        <v>228</v>
      </c>
      <c r="K202" s="27">
        <v>46070.510381944441</v>
      </c>
    </row>
    <row r="203" spans="1:11" x14ac:dyDescent="0.25">
      <c r="A203" t="s">
        <v>518</v>
      </c>
      <c r="B203" s="26">
        <v>46026</v>
      </c>
      <c r="C203">
        <v>1</v>
      </c>
      <c r="D203" t="s">
        <v>29</v>
      </c>
      <c r="E203" t="s">
        <v>317</v>
      </c>
      <c r="G203">
        <v>82</v>
      </c>
      <c r="H203" t="s">
        <v>204</v>
      </c>
      <c r="I203" t="s">
        <v>234</v>
      </c>
      <c r="J203" t="s">
        <v>228</v>
      </c>
      <c r="K203" s="27">
        <v>46070.510439814818</v>
      </c>
    </row>
    <row r="204" spans="1:11" x14ac:dyDescent="0.25">
      <c r="A204" t="s">
        <v>519</v>
      </c>
      <c r="B204" s="26">
        <v>46027</v>
      </c>
      <c r="C204">
        <v>1</v>
      </c>
      <c r="D204" t="s">
        <v>29</v>
      </c>
      <c r="E204" t="s">
        <v>317</v>
      </c>
      <c r="G204">
        <v>75</v>
      </c>
      <c r="H204" t="s">
        <v>204</v>
      </c>
      <c r="I204" t="s">
        <v>234</v>
      </c>
      <c r="J204" t="s">
        <v>228</v>
      </c>
      <c r="K204" s="27">
        <v>46070.511377314811</v>
      </c>
    </row>
    <row r="205" spans="1:11" x14ac:dyDescent="0.25">
      <c r="A205" t="s">
        <v>520</v>
      </c>
      <c r="B205" s="26">
        <v>46027</v>
      </c>
      <c r="C205">
        <v>1</v>
      </c>
      <c r="D205" t="s">
        <v>29</v>
      </c>
      <c r="E205" t="s">
        <v>317</v>
      </c>
      <c r="G205">
        <v>33</v>
      </c>
      <c r="H205" t="s">
        <v>204</v>
      </c>
      <c r="I205" t="s">
        <v>234</v>
      </c>
      <c r="J205" t="s">
        <v>228</v>
      </c>
      <c r="K205" s="27">
        <v>46070.511400462965</v>
      </c>
    </row>
    <row r="206" spans="1:11" x14ac:dyDescent="0.25">
      <c r="A206" t="s">
        <v>521</v>
      </c>
      <c r="B206" s="26">
        <v>46027</v>
      </c>
      <c r="C206">
        <v>1</v>
      </c>
      <c r="D206" t="s">
        <v>29</v>
      </c>
      <c r="E206" t="s">
        <v>317</v>
      </c>
      <c r="G206">
        <v>13</v>
      </c>
      <c r="H206" t="s">
        <v>204</v>
      </c>
      <c r="I206" t="s">
        <v>234</v>
      </c>
      <c r="J206" t="s">
        <v>228</v>
      </c>
      <c r="K206" s="27">
        <v>46070.511435185188</v>
      </c>
    </row>
    <row r="207" spans="1:11" x14ac:dyDescent="0.25">
      <c r="A207" t="s">
        <v>522</v>
      </c>
      <c r="B207" s="26">
        <v>46029</v>
      </c>
      <c r="C207">
        <v>1</v>
      </c>
      <c r="D207" t="s">
        <v>29</v>
      </c>
      <c r="E207" t="s">
        <v>317</v>
      </c>
      <c r="G207">
        <v>25</v>
      </c>
      <c r="H207" t="s">
        <v>204</v>
      </c>
      <c r="I207" t="s">
        <v>234</v>
      </c>
      <c r="J207" t="s">
        <v>228</v>
      </c>
      <c r="K207" s="27">
        <v>46070.512418981481</v>
      </c>
    </row>
    <row r="208" spans="1:11" x14ac:dyDescent="0.25">
      <c r="A208" t="s">
        <v>523</v>
      </c>
      <c r="B208" s="26">
        <v>46029</v>
      </c>
      <c r="C208">
        <v>1</v>
      </c>
      <c r="D208" t="s">
        <v>29</v>
      </c>
      <c r="E208" t="s">
        <v>317</v>
      </c>
      <c r="G208">
        <v>14</v>
      </c>
      <c r="H208" t="s">
        <v>204</v>
      </c>
      <c r="I208" t="s">
        <v>234</v>
      </c>
      <c r="J208" t="s">
        <v>228</v>
      </c>
      <c r="K208" s="27">
        <v>46070.512442129628</v>
      </c>
    </row>
    <row r="209" spans="1:11" x14ac:dyDescent="0.25">
      <c r="A209" t="s">
        <v>524</v>
      </c>
      <c r="B209" s="26">
        <v>46029</v>
      </c>
      <c r="C209">
        <v>1</v>
      </c>
      <c r="D209" t="s">
        <v>29</v>
      </c>
      <c r="E209" t="s">
        <v>317</v>
      </c>
      <c r="G209">
        <v>37</v>
      </c>
      <c r="H209" t="s">
        <v>204</v>
      </c>
      <c r="I209" t="s">
        <v>234</v>
      </c>
      <c r="J209" t="s">
        <v>228</v>
      </c>
      <c r="K209" s="27">
        <v>46070.512488425928</v>
      </c>
    </row>
    <row r="210" spans="1:11" x14ac:dyDescent="0.25">
      <c r="A210" t="s">
        <v>525</v>
      </c>
      <c r="B210" s="26">
        <v>46030</v>
      </c>
      <c r="C210">
        <v>1</v>
      </c>
      <c r="D210" t="s">
        <v>29</v>
      </c>
      <c r="E210" t="s">
        <v>317</v>
      </c>
      <c r="G210">
        <v>17</v>
      </c>
      <c r="H210" t="s">
        <v>204</v>
      </c>
      <c r="I210" t="s">
        <v>234</v>
      </c>
      <c r="J210" t="s">
        <v>228</v>
      </c>
      <c r="K210" s="27">
        <v>46070.512673611112</v>
      </c>
    </row>
    <row r="211" spans="1:11" x14ac:dyDescent="0.25">
      <c r="A211" t="s">
        <v>526</v>
      </c>
      <c r="B211" s="26">
        <v>46030</v>
      </c>
      <c r="C211">
        <v>1</v>
      </c>
      <c r="D211" t="s">
        <v>29</v>
      </c>
      <c r="E211" t="s">
        <v>317</v>
      </c>
      <c r="G211">
        <v>62</v>
      </c>
      <c r="H211" t="s">
        <v>204</v>
      </c>
      <c r="I211" t="s">
        <v>234</v>
      </c>
      <c r="J211" t="s">
        <v>228</v>
      </c>
      <c r="K211" s="27">
        <v>46070.512696759259</v>
      </c>
    </row>
    <row r="212" spans="1:11" x14ac:dyDescent="0.25">
      <c r="A212" t="s">
        <v>527</v>
      </c>
      <c r="B212" s="26">
        <v>46030</v>
      </c>
      <c r="C212">
        <v>1</v>
      </c>
      <c r="D212" t="s">
        <v>29</v>
      </c>
      <c r="E212" t="s">
        <v>317</v>
      </c>
      <c r="G212">
        <v>48</v>
      </c>
      <c r="H212" t="s">
        <v>204</v>
      </c>
      <c r="I212" t="s">
        <v>234</v>
      </c>
      <c r="J212" t="s">
        <v>228</v>
      </c>
      <c r="K212" s="27">
        <v>46070.512719907405</v>
      </c>
    </row>
    <row r="213" spans="1:11" x14ac:dyDescent="0.25">
      <c r="A213" t="s">
        <v>528</v>
      </c>
      <c r="B213" s="26">
        <v>46030</v>
      </c>
      <c r="C213">
        <v>1</v>
      </c>
      <c r="D213" t="s">
        <v>29</v>
      </c>
      <c r="E213" t="s">
        <v>317</v>
      </c>
      <c r="G213">
        <v>50</v>
      </c>
      <c r="H213" t="s">
        <v>204</v>
      </c>
      <c r="I213" t="s">
        <v>234</v>
      </c>
      <c r="J213" t="s">
        <v>228</v>
      </c>
      <c r="K213" s="27">
        <v>46070.512777777774</v>
      </c>
    </row>
    <row r="214" spans="1:11" x14ac:dyDescent="0.25">
      <c r="A214" t="s">
        <v>529</v>
      </c>
      <c r="B214" s="26">
        <v>46031</v>
      </c>
      <c r="C214">
        <v>1</v>
      </c>
      <c r="D214" t="s">
        <v>29</v>
      </c>
      <c r="E214" t="s">
        <v>317</v>
      </c>
      <c r="G214">
        <v>52</v>
      </c>
      <c r="H214" t="s">
        <v>204</v>
      </c>
      <c r="I214" t="s">
        <v>234</v>
      </c>
      <c r="J214" t="s">
        <v>228</v>
      </c>
      <c r="K214" s="27">
        <v>46070.513009259259</v>
      </c>
    </row>
    <row r="215" spans="1:11" x14ac:dyDescent="0.25">
      <c r="A215" t="s">
        <v>530</v>
      </c>
      <c r="B215" s="26">
        <v>46032</v>
      </c>
      <c r="C215">
        <v>1</v>
      </c>
      <c r="D215" t="s">
        <v>29</v>
      </c>
      <c r="E215" t="s">
        <v>317</v>
      </c>
      <c r="G215">
        <v>19</v>
      </c>
      <c r="H215" t="s">
        <v>204</v>
      </c>
      <c r="I215" t="s">
        <v>234</v>
      </c>
      <c r="J215" t="s">
        <v>228</v>
      </c>
      <c r="K215" s="27">
        <v>46070.513298611113</v>
      </c>
    </row>
    <row r="216" spans="1:11" x14ac:dyDescent="0.25">
      <c r="A216" t="s">
        <v>531</v>
      </c>
      <c r="B216" s="26">
        <v>46033</v>
      </c>
      <c r="C216">
        <v>1</v>
      </c>
      <c r="D216" t="s">
        <v>29</v>
      </c>
      <c r="E216" t="s">
        <v>317</v>
      </c>
      <c r="G216">
        <v>50</v>
      </c>
      <c r="H216" t="s">
        <v>204</v>
      </c>
      <c r="I216" t="s">
        <v>234</v>
      </c>
      <c r="J216" t="s">
        <v>228</v>
      </c>
      <c r="K216" s="27">
        <v>46070.515115740738</v>
      </c>
    </row>
    <row r="217" spans="1:11" x14ac:dyDescent="0.25">
      <c r="A217" t="s">
        <v>532</v>
      </c>
      <c r="B217" s="26">
        <v>46034</v>
      </c>
      <c r="C217">
        <v>1</v>
      </c>
      <c r="D217" t="s">
        <v>29</v>
      </c>
      <c r="E217" t="s">
        <v>317</v>
      </c>
      <c r="G217">
        <v>50</v>
      </c>
      <c r="H217" t="s">
        <v>204</v>
      </c>
      <c r="I217" t="s">
        <v>234</v>
      </c>
      <c r="J217" t="s">
        <v>228</v>
      </c>
      <c r="K217" s="27">
        <v>46070.515277777777</v>
      </c>
    </row>
    <row r="218" spans="1:11" x14ac:dyDescent="0.25">
      <c r="A218" t="s">
        <v>533</v>
      </c>
      <c r="B218" s="26">
        <v>46034</v>
      </c>
      <c r="C218">
        <v>1</v>
      </c>
      <c r="D218" t="s">
        <v>29</v>
      </c>
      <c r="E218" t="s">
        <v>317</v>
      </c>
      <c r="G218">
        <v>63</v>
      </c>
      <c r="H218" t="s">
        <v>204</v>
      </c>
      <c r="I218" t="s">
        <v>234</v>
      </c>
      <c r="J218" t="s">
        <v>228</v>
      </c>
      <c r="K218" s="27">
        <v>46070.515289351853</v>
      </c>
    </row>
    <row r="219" spans="1:11" x14ac:dyDescent="0.25">
      <c r="A219" t="s">
        <v>534</v>
      </c>
      <c r="B219" s="26">
        <v>46034</v>
      </c>
      <c r="C219">
        <v>1</v>
      </c>
      <c r="D219" t="s">
        <v>29</v>
      </c>
      <c r="E219" t="s">
        <v>317</v>
      </c>
      <c r="G219">
        <v>68</v>
      </c>
      <c r="H219" t="s">
        <v>204</v>
      </c>
      <c r="I219" t="s">
        <v>234</v>
      </c>
      <c r="J219" t="s">
        <v>228</v>
      </c>
      <c r="K219" s="27">
        <v>46070.515324074076</v>
      </c>
    </row>
    <row r="220" spans="1:11" x14ac:dyDescent="0.25">
      <c r="A220" t="s">
        <v>535</v>
      </c>
      <c r="B220" s="26">
        <v>46034</v>
      </c>
      <c r="C220">
        <v>1</v>
      </c>
      <c r="D220" t="s">
        <v>29</v>
      </c>
      <c r="E220" t="s">
        <v>317</v>
      </c>
      <c r="G220">
        <v>75</v>
      </c>
      <c r="H220" t="s">
        <v>204</v>
      </c>
      <c r="I220" t="s">
        <v>234</v>
      </c>
      <c r="J220" t="s">
        <v>228</v>
      </c>
      <c r="K220" s="27">
        <v>46070.5153587963</v>
      </c>
    </row>
    <row r="221" spans="1:11" x14ac:dyDescent="0.25">
      <c r="A221" t="s">
        <v>536</v>
      </c>
      <c r="B221" s="26">
        <v>46034</v>
      </c>
      <c r="C221">
        <v>1</v>
      </c>
      <c r="D221" t="s">
        <v>29</v>
      </c>
      <c r="E221" t="s">
        <v>317</v>
      </c>
      <c r="G221">
        <v>60</v>
      </c>
      <c r="H221" t="s">
        <v>204</v>
      </c>
      <c r="I221" t="s">
        <v>234</v>
      </c>
      <c r="J221" t="s">
        <v>228</v>
      </c>
      <c r="K221" s="27">
        <v>46070.515393518515</v>
      </c>
    </row>
    <row r="222" spans="1:11" x14ac:dyDescent="0.25">
      <c r="A222" t="s">
        <v>537</v>
      </c>
      <c r="B222" s="26">
        <v>46034</v>
      </c>
      <c r="C222">
        <v>1</v>
      </c>
      <c r="D222" t="s">
        <v>29</v>
      </c>
      <c r="E222" t="s">
        <v>317</v>
      </c>
      <c r="G222">
        <v>33</v>
      </c>
      <c r="H222" t="s">
        <v>204</v>
      </c>
      <c r="I222" t="s">
        <v>234</v>
      </c>
      <c r="J222" t="s">
        <v>228</v>
      </c>
      <c r="K222" s="27">
        <v>46070.515439814815</v>
      </c>
    </row>
    <row r="223" spans="1:11" x14ac:dyDescent="0.25">
      <c r="A223" t="s">
        <v>538</v>
      </c>
      <c r="B223" s="26">
        <v>46035</v>
      </c>
      <c r="C223">
        <v>1</v>
      </c>
      <c r="D223" t="s">
        <v>29</v>
      </c>
      <c r="E223" t="s">
        <v>317</v>
      </c>
      <c r="G223">
        <v>89</v>
      </c>
      <c r="H223" t="s">
        <v>204</v>
      </c>
      <c r="I223" t="s">
        <v>234</v>
      </c>
      <c r="J223" t="s">
        <v>228</v>
      </c>
      <c r="K223" s="27">
        <v>46070.515879629631</v>
      </c>
    </row>
    <row r="224" spans="1:11" x14ac:dyDescent="0.25">
      <c r="A224" t="s">
        <v>539</v>
      </c>
      <c r="B224" s="26">
        <v>46035</v>
      </c>
      <c r="C224">
        <v>1</v>
      </c>
      <c r="D224" t="s">
        <v>29</v>
      </c>
      <c r="E224" t="s">
        <v>317</v>
      </c>
      <c r="G224">
        <v>33</v>
      </c>
      <c r="H224" t="s">
        <v>204</v>
      </c>
      <c r="I224" t="s">
        <v>234</v>
      </c>
      <c r="J224" t="s">
        <v>228</v>
      </c>
      <c r="K224" s="27">
        <v>46070.515902777777</v>
      </c>
    </row>
    <row r="225" spans="1:11" x14ac:dyDescent="0.25">
      <c r="A225" t="s">
        <v>540</v>
      </c>
      <c r="B225" s="26">
        <v>46035</v>
      </c>
      <c r="C225">
        <v>1</v>
      </c>
      <c r="D225" t="s">
        <v>29</v>
      </c>
      <c r="E225" t="s">
        <v>317</v>
      </c>
      <c r="G225">
        <v>39</v>
      </c>
      <c r="H225" t="s">
        <v>204</v>
      </c>
      <c r="I225" t="s">
        <v>234</v>
      </c>
      <c r="J225" t="s">
        <v>228</v>
      </c>
      <c r="K225" s="27">
        <v>46070.5159375</v>
      </c>
    </row>
    <row r="226" spans="1:11" x14ac:dyDescent="0.25">
      <c r="A226" t="s">
        <v>541</v>
      </c>
      <c r="B226" s="26">
        <v>46035</v>
      </c>
      <c r="C226">
        <v>1</v>
      </c>
      <c r="D226" t="s">
        <v>29</v>
      </c>
      <c r="E226" t="s">
        <v>317</v>
      </c>
      <c r="G226">
        <v>46</v>
      </c>
      <c r="H226" t="s">
        <v>204</v>
      </c>
      <c r="I226" t="s">
        <v>234</v>
      </c>
      <c r="J226" t="s">
        <v>228</v>
      </c>
      <c r="K226" s="27">
        <v>46070.515983796293</v>
      </c>
    </row>
    <row r="227" spans="1:11" x14ac:dyDescent="0.25">
      <c r="A227" t="s">
        <v>542</v>
      </c>
      <c r="B227" s="26">
        <v>46036</v>
      </c>
      <c r="C227">
        <v>1</v>
      </c>
      <c r="D227" t="s">
        <v>29</v>
      </c>
      <c r="E227" t="s">
        <v>317</v>
      </c>
      <c r="G227">
        <v>68</v>
      </c>
      <c r="H227" t="s">
        <v>204</v>
      </c>
      <c r="I227" t="s">
        <v>234</v>
      </c>
      <c r="J227" t="s">
        <v>228</v>
      </c>
      <c r="K227" s="27">
        <v>46070.516226851854</v>
      </c>
    </row>
    <row r="228" spans="1:11" x14ac:dyDescent="0.25">
      <c r="A228" t="s">
        <v>543</v>
      </c>
      <c r="B228" s="26">
        <v>46037</v>
      </c>
      <c r="C228">
        <v>1</v>
      </c>
      <c r="D228" t="s">
        <v>29</v>
      </c>
      <c r="E228" t="s">
        <v>317</v>
      </c>
      <c r="G228">
        <v>69</v>
      </c>
      <c r="H228" t="s">
        <v>204</v>
      </c>
      <c r="I228" t="s">
        <v>234</v>
      </c>
      <c r="J228" t="s">
        <v>228</v>
      </c>
      <c r="K228" s="27">
        <v>46070.516793981478</v>
      </c>
    </row>
    <row r="229" spans="1:11" x14ac:dyDescent="0.25">
      <c r="A229" t="s">
        <v>544</v>
      </c>
      <c r="B229" s="26">
        <v>46037</v>
      </c>
      <c r="C229">
        <v>1</v>
      </c>
      <c r="D229" t="s">
        <v>29</v>
      </c>
      <c r="E229" t="s">
        <v>317</v>
      </c>
      <c r="G229">
        <v>42</v>
      </c>
      <c r="H229" t="s">
        <v>204</v>
      </c>
      <c r="I229" t="s">
        <v>234</v>
      </c>
      <c r="J229" t="s">
        <v>228</v>
      </c>
      <c r="K229" s="27">
        <v>46070.516817129632</v>
      </c>
    </row>
    <row r="230" spans="1:11" x14ac:dyDescent="0.25">
      <c r="A230" t="s">
        <v>545</v>
      </c>
      <c r="B230" s="26">
        <v>46037</v>
      </c>
      <c r="C230">
        <v>1</v>
      </c>
      <c r="D230" t="s">
        <v>29</v>
      </c>
      <c r="G230">
        <v>68</v>
      </c>
      <c r="H230" t="s">
        <v>204</v>
      </c>
      <c r="I230" t="s">
        <v>234</v>
      </c>
      <c r="J230" t="s">
        <v>228</v>
      </c>
      <c r="K230" s="27">
        <v>46071.516817129632</v>
      </c>
    </row>
    <row r="231" spans="1:11" x14ac:dyDescent="0.25">
      <c r="A231" t="s">
        <v>546</v>
      </c>
      <c r="B231" s="26">
        <v>46037</v>
      </c>
      <c r="C231">
        <v>1</v>
      </c>
      <c r="D231" t="s">
        <v>29</v>
      </c>
      <c r="E231" t="s">
        <v>317</v>
      </c>
      <c r="G231">
        <v>45</v>
      </c>
      <c r="H231" t="s">
        <v>204</v>
      </c>
      <c r="I231" t="s">
        <v>234</v>
      </c>
      <c r="J231" t="s">
        <v>228</v>
      </c>
      <c r="K231" s="27">
        <v>46070.516840277778</v>
      </c>
    </row>
    <row r="232" spans="1:11" x14ac:dyDescent="0.25">
      <c r="A232" t="s">
        <v>547</v>
      </c>
      <c r="B232" s="26">
        <v>46038</v>
      </c>
      <c r="C232">
        <v>1</v>
      </c>
      <c r="D232" t="s">
        <v>29</v>
      </c>
      <c r="E232" t="s">
        <v>317</v>
      </c>
      <c r="G232">
        <v>61</v>
      </c>
      <c r="H232" t="s">
        <v>204</v>
      </c>
      <c r="I232" t="s">
        <v>234</v>
      </c>
      <c r="J232" t="s">
        <v>228</v>
      </c>
      <c r="K232" s="27">
        <v>46070.517025462963</v>
      </c>
    </row>
    <row r="233" spans="1:11" x14ac:dyDescent="0.25">
      <c r="A233" t="s">
        <v>548</v>
      </c>
      <c r="B233" s="26">
        <v>46038</v>
      </c>
      <c r="C233">
        <v>1</v>
      </c>
      <c r="D233" t="s">
        <v>29</v>
      </c>
      <c r="E233" t="s">
        <v>317</v>
      </c>
      <c r="G233">
        <v>32</v>
      </c>
      <c r="H233" t="s">
        <v>204</v>
      </c>
      <c r="I233" t="s">
        <v>234</v>
      </c>
      <c r="J233" t="s">
        <v>228</v>
      </c>
      <c r="K233" s="27">
        <v>46070.517048611109</v>
      </c>
    </row>
    <row r="234" spans="1:11" x14ac:dyDescent="0.25">
      <c r="A234" t="s">
        <v>549</v>
      </c>
      <c r="B234" s="26">
        <v>46038</v>
      </c>
      <c r="C234">
        <v>1</v>
      </c>
      <c r="D234" t="s">
        <v>29</v>
      </c>
      <c r="E234" t="s">
        <v>317</v>
      </c>
      <c r="G234">
        <v>18</v>
      </c>
      <c r="H234" t="s">
        <v>204</v>
      </c>
      <c r="I234" t="s">
        <v>234</v>
      </c>
      <c r="J234" t="s">
        <v>228</v>
      </c>
      <c r="K234" s="27">
        <v>46070.517071759263</v>
      </c>
    </row>
    <row r="235" spans="1:11" x14ac:dyDescent="0.25">
      <c r="A235" t="s">
        <v>550</v>
      </c>
      <c r="B235" s="26">
        <v>46038</v>
      </c>
      <c r="C235">
        <v>1</v>
      </c>
      <c r="D235" t="s">
        <v>29</v>
      </c>
      <c r="E235" t="s">
        <v>317</v>
      </c>
      <c r="G235">
        <v>76</v>
      </c>
      <c r="H235" t="s">
        <v>204</v>
      </c>
      <c r="I235" t="s">
        <v>234</v>
      </c>
      <c r="J235" t="s">
        <v>228</v>
      </c>
      <c r="K235" s="27">
        <v>46070.517106481479</v>
      </c>
    </row>
    <row r="236" spans="1:11" x14ac:dyDescent="0.25">
      <c r="A236" t="s">
        <v>551</v>
      </c>
      <c r="B236" s="26">
        <v>46040</v>
      </c>
      <c r="C236">
        <v>1</v>
      </c>
      <c r="D236" t="s">
        <v>29</v>
      </c>
      <c r="E236" t="s">
        <v>317</v>
      </c>
      <c r="G236">
        <v>25</v>
      </c>
      <c r="H236" t="s">
        <v>204</v>
      </c>
      <c r="I236" t="s">
        <v>234</v>
      </c>
      <c r="J236" t="s">
        <v>228</v>
      </c>
      <c r="K236" s="27">
        <v>46070.522928240738</v>
      </c>
    </row>
    <row r="237" spans="1:11" x14ac:dyDescent="0.25">
      <c r="A237" t="s">
        <v>552</v>
      </c>
      <c r="B237" s="26">
        <v>46041</v>
      </c>
      <c r="C237">
        <v>1</v>
      </c>
      <c r="D237" t="s">
        <v>29</v>
      </c>
      <c r="E237" t="s">
        <v>317</v>
      </c>
      <c r="G237">
        <v>27</v>
      </c>
      <c r="H237" t="s">
        <v>204</v>
      </c>
      <c r="I237" t="s">
        <v>234</v>
      </c>
      <c r="J237" t="s">
        <v>228</v>
      </c>
      <c r="K237" s="27">
        <v>46070.523194444446</v>
      </c>
    </row>
    <row r="238" spans="1:11" x14ac:dyDescent="0.25">
      <c r="A238" t="s">
        <v>553</v>
      </c>
      <c r="B238" s="26">
        <v>46042</v>
      </c>
      <c r="C238">
        <v>1</v>
      </c>
      <c r="D238" t="s">
        <v>29</v>
      </c>
      <c r="E238" t="s">
        <v>317</v>
      </c>
      <c r="G238">
        <v>61</v>
      </c>
      <c r="H238" t="s">
        <v>204</v>
      </c>
      <c r="I238" t="s">
        <v>234</v>
      </c>
      <c r="J238" t="s">
        <v>228</v>
      </c>
      <c r="K238" s="27">
        <v>46070.5234837963</v>
      </c>
    </row>
    <row r="239" spans="1:11" x14ac:dyDescent="0.25">
      <c r="A239" t="s">
        <v>554</v>
      </c>
      <c r="B239" s="26">
        <v>46042</v>
      </c>
      <c r="C239">
        <v>1</v>
      </c>
      <c r="D239" t="s">
        <v>29</v>
      </c>
      <c r="E239" t="s">
        <v>317</v>
      </c>
      <c r="G239">
        <v>67</v>
      </c>
      <c r="H239" t="s">
        <v>204</v>
      </c>
      <c r="I239" t="s">
        <v>234</v>
      </c>
      <c r="J239" t="s">
        <v>228</v>
      </c>
      <c r="K239" s="27">
        <v>46070.523506944446</v>
      </c>
    </row>
    <row r="240" spans="1:11" x14ac:dyDescent="0.25">
      <c r="A240" t="s">
        <v>555</v>
      </c>
      <c r="B240" s="26">
        <v>46042</v>
      </c>
      <c r="C240">
        <v>1</v>
      </c>
      <c r="D240" t="s">
        <v>29</v>
      </c>
      <c r="E240" t="s">
        <v>317</v>
      </c>
      <c r="G240">
        <v>51</v>
      </c>
      <c r="H240" t="s">
        <v>204</v>
      </c>
      <c r="I240" t="s">
        <v>234</v>
      </c>
      <c r="J240" t="s">
        <v>228</v>
      </c>
      <c r="K240" s="27">
        <v>46070.523541666669</v>
      </c>
    </row>
    <row r="241" spans="1:11" x14ac:dyDescent="0.25">
      <c r="A241" t="s">
        <v>556</v>
      </c>
      <c r="B241" s="26">
        <v>46042</v>
      </c>
      <c r="C241">
        <v>1</v>
      </c>
      <c r="D241" t="s">
        <v>29</v>
      </c>
      <c r="E241" t="s">
        <v>317</v>
      </c>
      <c r="G241">
        <v>51</v>
      </c>
      <c r="H241" t="s">
        <v>204</v>
      </c>
      <c r="I241" t="s">
        <v>234</v>
      </c>
      <c r="J241" t="s">
        <v>228</v>
      </c>
      <c r="K241" s="27">
        <v>46070.523576388892</v>
      </c>
    </row>
    <row r="242" spans="1:11" x14ac:dyDescent="0.25">
      <c r="A242" t="s">
        <v>557</v>
      </c>
      <c r="B242" s="26">
        <v>46042</v>
      </c>
      <c r="C242">
        <v>1</v>
      </c>
      <c r="D242" t="s">
        <v>29</v>
      </c>
      <c r="E242" t="s">
        <v>317</v>
      </c>
      <c r="G242">
        <v>53</v>
      </c>
      <c r="H242" t="s">
        <v>204</v>
      </c>
      <c r="I242" t="s">
        <v>234</v>
      </c>
      <c r="J242" t="s">
        <v>228</v>
      </c>
      <c r="K242" s="27">
        <v>46070.523611111108</v>
      </c>
    </row>
    <row r="243" spans="1:11" x14ac:dyDescent="0.25">
      <c r="A243" t="s">
        <v>558</v>
      </c>
      <c r="B243" s="26">
        <v>46042</v>
      </c>
      <c r="C243">
        <v>1</v>
      </c>
      <c r="D243" t="s">
        <v>29</v>
      </c>
      <c r="E243" t="s">
        <v>317</v>
      </c>
      <c r="G243">
        <v>48</v>
      </c>
      <c r="H243" t="s">
        <v>204</v>
      </c>
      <c r="I243" t="s">
        <v>234</v>
      </c>
      <c r="J243" t="s">
        <v>228</v>
      </c>
      <c r="K243" s="27">
        <v>46070.523634259262</v>
      </c>
    </row>
    <row r="244" spans="1:11" x14ac:dyDescent="0.25">
      <c r="A244" t="s">
        <v>559</v>
      </c>
      <c r="B244" s="26">
        <v>46042</v>
      </c>
      <c r="C244">
        <v>1</v>
      </c>
      <c r="D244" t="s">
        <v>29</v>
      </c>
      <c r="E244" t="s">
        <v>317</v>
      </c>
      <c r="G244">
        <v>39</v>
      </c>
      <c r="H244" t="s">
        <v>204</v>
      </c>
      <c r="I244" t="s">
        <v>234</v>
      </c>
      <c r="J244" t="s">
        <v>228</v>
      </c>
      <c r="K244" s="27">
        <v>46070.523726851854</v>
      </c>
    </row>
    <row r="245" spans="1:11" x14ac:dyDescent="0.25">
      <c r="A245" t="s">
        <v>560</v>
      </c>
      <c r="B245" s="26">
        <v>46043</v>
      </c>
      <c r="C245">
        <v>1</v>
      </c>
      <c r="D245" t="s">
        <v>29</v>
      </c>
      <c r="E245" t="s">
        <v>317</v>
      </c>
      <c r="G245">
        <v>14</v>
      </c>
      <c r="H245" t="s">
        <v>204</v>
      </c>
      <c r="I245" t="s">
        <v>234</v>
      </c>
      <c r="J245" t="s">
        <v>228</v>
      </c>
      <c r="K245" s="27">
        <v>46070.524143518516</v>
      </c>
    </row>
    <row r="246" spans="1:11" x14ac:dyDescent="0.25">
      <c r="A246" t="s">
        <v>561</v>
      </c>
      <c r="B246" s="26">
        <v>46044</v>
      </c>
      <c r="C246">
        <v>1</v>
      </c>
      <c r="D246" t="s">
        <v>29</v>
      </c>
      <c r="E246" t="s">
        <v>317</v>
      </c>
      <c r="G246">
        <v>48</v>
      </c>
      <c r="H246" t="s">
        <v>204</v>
      </c>
      <c r="I246" t="s">
        <v>234</v>
      </c>
      <c r="J246" t="s">
        <v>228</v>
      </c>
      <c r="K246" s="27">
        <v>46070.524375000001</v>
      </c>
    </row>
    <row r="247" spans="1:11" x14ac:dyDescent="0.25">
      <c r="A247" t="s">
        <v>562</v>
      </c>
      <c r="B247" s="26">
        <v>46044</v>
      </c>
      <c r="C247">
        <v>1</v>
      </c>
      <c r="D247" t="s">
        <v>29</v>
      </c>
      <c r="E247" t="s">
        <v>317</v>
      </c>
      <c r="G247">
        <v>56</v>
      </c>
      <c r="H247" t="s">
        <v>204</v>
      </c>
      <c r="I247" t="s">
        <v>234</v>
      </c>
      <c r="J247" t="s">
        <v>228</v>
      </c>
      <c r="K247" s="27">
        <v>46070.524398148147</v>
      </c>
    </row>
    <row r="248" spans="1:11" x14ac:dyDescent="0.25">
      <c r="A248" t="s">
        <v>563</v>
      </c>
      <c r="B248" s="26">
        <v>46044</v>
      </c>
      <c r="C248">
        <v>1</v>
      </c>
      <c r="D248" t="s">
        <v>29</v>
      </c>
      <c r="E248" t="s">
        <v>317</v>
      </c>
      <c r="G248">
        <v>83</v>
      </c>
      <c r="H248" t="s">
        <v>204</v>
      </c>
      <c r="I248" t="s">
        <v>234</v>
      </c>
      <c r="J248" t="s">
        <v>228</v>
      </c>
      <c r="K248" s="27">
        <v>46070.524421296293</v>
      </c>
    </row>
    <row r="249" spans="1:11" x14ac:dyDescent="0.25">
      <c r="A249" t="s">
        <v>564</v>
      </c>
      <c r="B249" s="26">
        <v>46045</v>
      </c>
      <c r="C249">
        <v>1</v>
      </c>
      <c r="D249" t="s">
        <v>29</v>
      </c>
      <c r="E249" t="s">
        <v>317</v>
      </c>
      <c r="G249">
        <v>58</v>
      </c>
      <c r="H249" t="s">
        <v>204</v>
      </c>
      <c r="I249" t="s">
        <v>234</v>
      </c>
      <c r="J249" t="s">
        <v>228</v>
      </c>
      <c r="K249" s="27">
        <v>46070.524606481478</v>
      </c>
    </row>
    <row r="250" spans="1:11" x14ac:dyDescent="0.25">
      <c r="A250" t="s">
        <v>565</v>
      </c>
      <c r="B250" s="26">
        <v>46045</v>
      </c>
      <c r="C250">
        <v>1</v>
      </c>
      <c r="D250" t="s">
        <v>29</v>
      </c>
      <c r="E250" t="s">
        <v>317</v>
      </c>
      <c r="G250">
        <v>85</v>
      </c>
      <c r="H250" t="s">
        <v>204</v>
      </c>
      <c r="I250" t="s">
        <v>234</v>
      </c>
      <c r="J250" t="s">
        <v>228</v>
      </c>
      <c r="K250" s="27">
        <v>46070.524629629632</v>
      </c>
    </row>
    <row r="251" spans="1:11" x14ac:dyDescent="0.25">
      <c r="A251" t="s">
        <v>566</v>
      </c>
      <c r="B251" s="26">
        <v>46045</v>
      </c>
      <c r="C251">
        <v>1</v>
      </c>
      <c r="D251" t="s">
        <v>29</v>
      </c>
      <c r="E251" t="s">
        <v>317</v>
      </c>
      <c r="G251">
        <v>66</v>
      </c>
      <c r="H251" t="s">
        <v>204</v>
      </c>
      <c r="I251" t="s">
        <v>234</v>
      </c>
      <c r="J251" t="s">
        <v>228</v>
      </c>
      <c r="K251" s="27">
        <v>46070.524652777778</v>
      </c>
    </row>
    <row r="252" spans="1:11" x14ac:dyDescent="0.25">
      <c r="A252" t="s">
        <v>567</v>
      </c>
      <c r="B252" s="26">
        <v>46045</v>
      </c>
      <c r="C252">
        <v>1</v>
      </c>
      <c r="D252" t="s">
        <v>29</v>
      </c>
      <c r="E252" t="s">
        <v>317</v>
      </c>
      <c r="G252">
        <v>51</v>
      </c>
      <c r="H252" t="s">
        <v>204</v>
      </c>
      <c r="I252" t="s">
        <v>234</v>
      </c>
      <c r="J252" t="s">
        <v>228</v>
      </c>
      <c r="K252" s="27">
        <v>46070.524699074071</v>
      </c>
    </row>
    <row r="253" spans="1:11" x14ac:dyDescent="0.25">
      <c r="A253" t="s">
        <v>568</v>
      </c>
      <c r="B253" s="26">
        <v>46046</v>
      </c>
      <c r="C253">
        <v>1</v>
      </c>
      <c r="D253" t="s">
        <v>29</v>
      </c>
      <c r="E253" t="s">
        <v>317</v>
      </c>
      <c r="G253">
        <v>16</v>
      </c>
      <c r="H253" t="s">
        <v>204</v>
      </c>
      <c r="I253" t="s">
        <v>234</v>
      </c>
      <c r="J253" t="s">
        <v>228</v>
      </c>
      <c r="K253" s="27">
        <v>46070.524872685186</v>
      </c>
    </row>
    <row r="254" spans="1:11" x14ac:dyDescent="0.25">
      <c r="A254" t="s">
        <v>569</v>
      </c>
      <c r="B254" s="26">
        <v>46046</v>
      </c>
      <c r="C254">
        <v>1</v>
      </c>
      <c r="D254" t="s">
        <v>29</v>
      </c>
      <c r="E254" t="s">
        <v>317</v>
      </c>
      <c r="G254">
        <v>41</v>
      </c>
      <c r="H254" t="s">
        <v>204</v>
      </c>
      <c r="I254" t="s">
        <v>234</v>
      </c>
      <c r="J254" t="s">
        <v>228</v>
      </c>
      <c r="K254" s="27">
        <v>46070.524895833332</v>
      </c>
    </row>
    <row r="255" spans="1:11" x14ac:dyDescent="0.25">
      <c r="A255" t="s">
        <v>570</v>
      </c>
      <c r="B255" s="26">
        <v>46046</v>
      </c>
      <c r="C255">
        <v>1</v>
      </c>
      <c r="D255" t="s">
        <v>29</v>
      </c>
      <c r="E255" t="s">
        <v>317</v>
      </c>
      <c r="G255">
        <v>33</v>
      </c>
      <c r="H255" t="s">
        <v>204</v>
      </c>
      <c r="I255" t="s">
        <v>234</v>
      </c>
      <c r="J255" t="s">
        <v>228</v>
      </c>
      <c r="K255" s="27">
        <v>46070.524918981479</v>
      </c>
    </row>
    <row r="256" spans="1:11" x14ac:dyDescent="0.25">
      <c r="A256" t="s">
        <v>571</v>
      </c>
      <c r="B256" s="26">
        <v>46047</v>
      </c>
      <c r="C256">
        <v>1</v>
      </c>
      <c r="D256" t="s">
        <v>29</v>
      </c>
      <c r="E256" t="s">
        <v>317</v>
      </c>
      <c r="G256">
        <v>47</v>
      </c>
      <c r="H256" t="s">
        <v>204</v>
      </c>
      <c r="I256" t="s">
        <v>234</v>
      </c>
      <c r="J256" t="s">
        <v>228</v>
      </c>
      <c r="K256" s="27">
        <v>46070.525335648148</v>
      </c>
    </row>
    <row r="257" spans="1:11" x14ac:dyDescent="0.25">
      <c r="A257" t="s">
        <v>572</v>
      </c>
      <c r="B257" s="26">
        <v>46049</v>
      </c>
      <c r="C257">
        <v>1</v>
      </c>
      <c r="D257" t="s">
        <v>29</v>
      </c>
      <c r="E257" t="s">
        <v>317</v>
      </c>
      <c r="G257">
        <v>38</v>
      </c>
      <c r="H257" t="s">
        <v>204</v>
      </c>
      <c r="I257" t="s">
        <v>234</v>
      </c>
      <c r="J257" t="s">
        <v>228</v>
      </c>
      <c r="K257" s="27">
        <v>46070.525729166664</v>
      </c>
    </row>
    <row r="258" spans="1:11" x14ac:dyDescent="0.25">
      <c r="A258" t="s">
        <v>573</v>
      </c>
      <c r="B258" s="26">
        <v>46049</v>
      </c>
      <c r="C258">
        <v>1</v>
      </c>
      <c r="D258" t="s">
        <v>29</v>
      </c>
      <c r="E258" t="s">
        <v>317</v>
      </c>
      <c r="G258">
        <v>14</v>
      </c>
      <c r="H258" t="s">
        <v>204</v>
      </c>
      <c r="I258" t="s">
        <v>234</v>
      </c>
      <c r="J258" t="s">
        <v>228</v>
      </c>
      <c r="K258" s="27">
        <v>46070.525763888887</v>
      </c>
    </row>
    <row r="259" spans="1:11" x14ac:dyDescent="0.25">
      <c r="A259" t="s">
        <v>574</v>
      </c>
      <c r="B259" s="26">
        <v>46050</v>
      </c>
      <c r="C259">
        <v>1</v>
      </c>
      <c r="D259" t="s">
        <v>29</v>
      </c>
      <c r="E259" t="s">
        <v>317</v>
      </c>
      <c r="G259">
        <v>50</v>
      </c>
      <c r="H259" t="s">
        <v>204</v>
      </c>
      <c r="I259" t="s">
        <v>234</v>
      </c>
      <c r="J259" t="s">
        <v>228</v>
      </c>
      <c r="K259" s="27">
        <v>46070.526018518518</v>
      </c>
    </row>
    <row r="260" spans="1:11" x14ac:dyDescent="0.25">
      <c r="A260" t="s">
        <v>575</v>
      </c>
      <c r="B260" s="26">
        <v>46050</v>
      </c>
      <c r="C260">
        <v>1</v>
      </c>
      <c r="D260" t="s">
        <v>29</v>
      </c>
      <c r="E260" t="s">
        <v>317</v>
      </c>
      <c r="G260">
        <v>32</v>
      </c>
      <c r="H260" t="s">
        <v>204</v>
      </c>
      <c r="I260" t="s">
        <v>234</v>
      </c>
      <c r="J260" t="s">
        <v>228</v>
      </c>
      <c r="K260" s="27">
        <v>46070.526041666664</v>
      </c>
    </row>
    <row r="261" spans="1:11" x14ac:dyDescent="0.25">
      <c r="A261" t="s">
        <v>576</v>
      </c>
      <c r="B261" s="26">
        <v>46050</v>
      </c>
      <c r="C261">
        <v>1</v>
      </c>
      <c r="D261" t="s">
        <v>29</v>
      </c>
      <c r="E261" t="s">
        <v>317</v>
      </c>
      <c r="G261">
        <v>48</v>
      </c>
      <c r="H261" t="s">
        <v>204</v>
      </c>
      <c r="I261" t="s">
        <v>234</v>
      </c>
      <c r="J261" t="s">
        <v>228</v>
      </c>
      <c r="K261" s="27">
        <v>46070.526087962964</v>
      </c>
    </row>
    <row r="262" spans="1:11" x14ac:dyDescent="0.25">
      <c r="A262" t="s">
        <v>577</v>
      </c>
      <c r="B262" s="26">
        <v>46051</v>
      </c>
      <c r="C262">
        <v>1</v>
      </c>
      <c r="D262" t="s">
        <v>29</v>
      </c>
      <c r="E262" t="s">
        <v>317</v>
      </c>
      <c r="G262">
        <v>17</v>
      </c>
      <c r="H262" t="s">
        <v>204</v>
      </c>
      <c r="I262" t="s">
        <v>234</v>
      </c>
      <c r="J262" t="s">
        <v>228</v>
      </c>
      <c r="K262" s="27">
        <v>46070.526296296295</v>
      </c>
    </row>
    <row r="263" spans="1:11" x14ac:dyDescent="0.25">
      <c r="A263" t="s">
        <v>578</v>
      </c>
      <c r="B263" s="26">
        <v>46053</v>
      </c>
      <c r="C263">
        <v>1</v>
      </c>
      <c r="D263" t="s">
        <v>29</v>
      </c>
      <c r="E263" t="s">
        <v>317</v>
      </c>
      <c r="G263">
        <v>44</v>
      </c>
      <c r="H263" t="s">
        <v>204</v>
      </c>
      <c r="I263" t="s">
        <v>234</v>
      </c>
      <c r="J263" t="s">
        <v>228</v>
      </c>
      <c r="K263" s="27">
        <v>46070.526712962965</v>
      </c>
    </row>
    <row r="264" spans="1:11" x14ac:dyDescent="0.25">
      <c r="A264" t="s">
        <v>579</v>
      </c>
      <c r="B264" s="26">
        <v>46053</v>
      </c>
      <c r="C264">
        <v>1</v>
      </c>
      <c r="D264" t="s">
        <v>29</v>
      </c>
      <c r="E264" t="s">
        <v>317</v>
      </c>
      <c r="G264">
        <v>43</v>
      </c>
      <c r="H264" t="s">
        <v>204</v>
      </c>
      <c r="I264" t="s">
        <v>234</v>
      </c>
      <c r="J264" t="s">
        <v>228</v>
      </c>
      <c r="K264" s="27">
        <v>46070.526724537034</v>
      </c>
    </row>
    <row r="265" spans="1:11" x14ac:dyDescent="0.25">
      <c r="A265" t="s">
        <v>580</v>
      </c>
      <c r="B265" s="26">
        <v>46053</v>
      </c>
      <c r="C265">
        <v>1</v>
      </c>
      <c r="D265" t="s">
        <v>29</v>
      </c>
      <c r="E265" t="s">
        <v>317</v>
      </c>
      <c r="G265">
        <v>31</v>
      </c>
      <c r="H265" t="s">
        <v>204</v>
      </c>
      <c r="I265" t="s">
        <v>234</v>
      </c>
      <c r="J265" t="s">
        <v>228</v>
      </c>
      <c r="K265" s="27">
        <v>46070.526747685188</v>
      </c>
    </row>
    <row r="266" spans="1:11" x14ac:dyDescent="0.25">
      <c r="A266" t="s">
        <v>581</v>
      </c>
      <c r="B266" s="26">
        <v>46025</v>
      </c>
      <c r="C266">
        <v>1</v>
      </c>
      <c r="D266" t="s">
        <v>41</v>
      </c>
      <c r="E266" t="s">
        <v>317</v>
      </c>
      <c r="G266">
        <v>0</v>
      </c>
      <c r="H266" t="s">
        <v>295</v>
      </c>
      <c r="I266" t="s">
        <v>234</v>
      </c>
      <c r="J266" t="s">
        <v>228</v>
      </c>
      <c r="K266" s="27">
        <v>46070.528703703705</v>
      </c>
    </row>
    <row r="267" spans="1:11" x14ac:dyDescent="0.25">
      <c r="A267" t="s">
        <v>582</v>
      </c>
      <c r="B267" s="26">
        <v>46027</v>
      </c>
      <c r="C267">
        <v>1</v>
      </c>
      <c r="D267" t="s">
        <v>41</v>
      </c>
      <c r="E267" t="s">
        <v>317</v>
      </c>
      <c r="G267">
        <v>1</v>
      </c>
      <c r="H267" t="s">
        <v>295</v>
      </c>
      <c r="I267" t="s">
        <v>234</v>
      </c>
      <c r="J267" t="s">
        <v>228</v>
      </c>
      <c r="K267" s="27">
        <v>46070.529363425929</v>
      </c>
    </row>
    <row r="268" spans="1:11" x14ac:dyDescent="0.25">
      <c r="A268" t="s">
        <v>583</v>
      </c>
      <c r="B268" s="26">
        <v>46027</v>
      </c>
      <c r="C268">
        <v>1</v>
      </c>
      <c r="D268" t="s">
        <v>41</v>
      </c>
      <c r="E268" t="s">
        <v>317</v>
      </c>
      <c r="G268">
        <v>1</v>
      </c>
      <c r="H268" t="s">
        <v>295</v>
      </c>
      <c r="I268" t="s">
        <v>205</v>
      </c>
      <c r="J268" t="s">
        <v>228</v>
      </c>
      <c r="K268" s="27">
        <v>46070.529490740744</v>
      </c>
    </row>
    <row r="269" spans="1:11" x14ac:dyDescent="0.25">
      <c r="A269" t="s">
        <v>584</v>
      </c>
      <c r="B269" s="26">
        <v>46028</v>
      </c>
      <c r="C269">
        <v>1</v>
      </c>
      <c r="D269" t="s">
        <v>41</v>
      </c>
      <c r="E269" t="s">
        <v>317</v>
      </c>
      <c r="G269">
        <v>0</v>
      </c>
      <c r="H269" t="s">
        <v>295</v>
      </c>
      <c r="I269" t="s">
        <v>234</v>
      </c>
      <c r="J269" t="s">
        <v>228</v>
      </c>
      <c r="K269" s="27">
        <v>46070.529745370368</v>
      </c>
    </row>
    <row r="270" spans="1:11" x14ac:dyDescent="0.25">
      <c r="A270" t="s">
        <v>585</v>
      </c>
      <c r="B270" s="26">
        <v>46028</v>
      </c>
      <c r="C270">
        <v>1</v>
      </c>
      <c r="D270" t="s">
        <v>41</v>
      </c>
      <c r="E270" t="s">
        <v>317</v>
      </c>
      <c r="G270">
        <v>0</v>
      </c>
      <c r="H270" t="s">
        <v>295</v>
      </c>
      <c r="I270" t="s">
        <v>234</v>
      </c>
      <c r="J270" t="s">
        <v>228</v>
      </c>
      <c r="K270" s="27">
        <v>46070.529895833337</v>
      </c>
    </row>
    <row r="271" spans="1:11" x14ac:dyDescent="0.25">
      <c r="A271" t="s">
        <v>586</v>
      </c>
      <c r="B271" s="26">
        <v>46028</v>
      </c>
      <c r="C271">
        <v>1</v>
      </c>
      <c r="D271" t="s">
        <v>41</v>
      </c>
      <c r="E271" t="s">
        <v>317</v>
      </c>
      <c r="G271">
        <v>0</v>
      </c>
      <c r="H271" t="s">
        <v>295</v>
      </c>
      <c r="I271" t="s">
        <v>234</v>
      </c>
      <c r="J271" t="s">
        <v>228</v>
      </c>
      <c r="K271" s="27">
        <v>46070.530057870368</v>
      </c>
    </row>
    <row r="272" spans="1:11" x14ac:dyDescent="0.25">
      <c r="A272" t="s">
        <v>587</v>
      </c>
      <c r="B272" s="26">
        <v>46028</v>
      </c>
      <c r="C272">
        <v>1</v>
      </c>
      <c r="D272" t="s">
        <v>41</v>
      </c>
      <c r="E272" t="s">
        <v>317</v>
      </c>
      <c r="G272">
        <v>0</v>
      </c>
      <c r="H272" t="s">
        <v>295</v>
      </c>
      <c r="I272" t="s">
        <v>205</v>
      </c>
      <c r="J272" t="s">
        <v>228</v>
      </c>
      <c r="K272" s="27">
        <v>46070.530185185184</v>
      </c>
    </row>
    <row r="273" spans="1:11" x14ac:dyDescent="0.25">
      <c r="A273" t="s">
        <v>588</v>
      </c>
      <c r="B273" s="26">
        <v>46029</v>
      </c>
      <c r="C273">
        <v>1</v>
      </c>
      <c r="D273" t="s">
        <v>41</v>
      </c>
      <c r="E273" t="s">
        <v>317</v>
      </c>
      <c r="G273">
        <v>0</v>
      </c>
      <c r="H273" t="s">
        <v>295</v>
      </c>
      <c r="I273" t="s">
        <v>205</v>
      </c>
      <c r="J273" t="s">
        <v>228</v>
      </c>
      <c r="K273" s="27">
        <v>46070.53052083333</v>
      </c>
    </row>
    <row r="274" spans="1:11" x14ac:dyDescent="0.25">
      <c r="A274" t="s">
        <v>589</v>
      </c>
      <c r="B274" s="26">
        <v>46029</v>
      </c>
      <c r="C274">
        <v>1</v>
      </c>
      <c r="D274" t="s">
        <v>41</v>
      </c>
      <c r="E274" t="s">
        <v>317</v>
      </c>
      <c r="G274">
        <v>0</v>
      </c>
      <c r="H274" t="s">
        <v>295</v>
      </c>
      <c r="I274" t="s">
        <v>205</v>
      </c>
      <c r="J274" t="s">
        <v>228</v>
      </c>
      <c r="K274" s="27">
        <v>46070.530648148146</v>
      </c>
    </row>
    <row r="275" spans="1:11" x14ac:dyDescent="0.25">
      <c r="A275" t="s">
        <v>590</v>
      </c>
      <c r="B275" s="26">
        <v>46029</v>
      </c>
      <c r="C275">
        <v>1</v>
      </c>
      <c r="D275" t="s">
        <v>41</v>
      </c>
      <c r="E275" t="s">
        <v>317</v>
      </c>
      <c r="G275">
        <v>1</v>
      </c>
      <c r="H275" t="s">
        <v>295</v>
      </c>
      <c r="I275" t="s">
        <v>234</v>
      </c>
      <c r="J275" t="s">
        <v>228</v>
      </c>
      <c r="K275" s="27">
        <v>46070.530844907407</v>
      </c>
    </row>
    <row r="276" spans="1:11" x14ac:dyDescent="0.25">
      <c r="A276" t="s">
        <v>591</v>
      </c>
      <c r="B276" s="26">
        <v>46029</v>
      </c>
      <c r="C276">
        <v>1</v>
      </c>
      <c r="D276" t="s">
        <v>41</v>
      </c>
      <c r="E276" t="s">
        <v>317</v>
      </c>
      <c r="G276">
        <v>0</v>
      </c>
      <c r="H276" t="s">
        <v>295</v>
      </c>
      <c r="I276" t="s">
        <v>234</v>
      </c>
      <c r="J276" t="s">
        <v>228</v>
      </c>
      <c r="K276" s="27">
        <v>46070.531539351854</v>
      </c>
    </row>
    <row r="277" spans="1:11" x14ac:dyDescent="0.25">
      <c r="A277" t="s">
        <v>592</v>
      </c>
      <c r="B277" s="26">
        <v>46030</v>
      </c>
      <c r="C277">
        <v>1</v>
      </c>
      <c r="D277" t="s">
        <v>41</v>
      </c>
      <c r="E277" t="s">
        <v>317</v>
      </c>
      <c r="G277">
        <v>0</v>
      </c>
      <c r="H277" t="s">
        <v>295</v>
      </c>
      <c r="I277" t="s">
        <v>205</v>
      </c>
      <c r="J277" t="s">
        <v>228</v>
      </c>
      <c r="K277" s="27">
        <v>46070.531805555554</v>
      </c>
    </row>
    <row r="278" spans="1:11" x14ac:dyDescent="0.25">
      <c r="A278" t="s">
        <v>593</v>
      </c>
      <c r="B278" s="26">
        <v>46030</v>
      </c>
      <c r="C278">
        <v>1</v>
      </c>
      <c r="D278" t="s">
        <v>41</v>
      </c>
      <c r="E278" t="s">
        <v>317</v>
      </c>
      <c r="G278">
        <v>0</v>
      </c>
      <c r="H278" t="s">
        <v>295</v>
      </c>
      <c r="I278" t="s">
        <v>205</v>
      </c>
      <c r="J278" t="s">
        <v>228</v>
      </c>
      <c r="K278" s="27">
        <v>46070.531909722224</v>
      </c>
    </row>
    <row r="279" spans="1:11" x14ac:dyDescent="0.25">
      <c r="A279" t="s">
        <v>594</v>
      </c>
      <c r="B279" s="26">
        <v>46031</v>
      </c>
      <c r="C279">
        <v>1</v>
      </c>
      <c r="D279" t="s">
        <v>41</v>
      </c>
      <c r="E279" t="s">
        <v>317</v>
      </c>
      <c r="G279">
        <v>0</v>
      </c>
      <c r="H279" t="s">
        <v>295</v>
      </c>
      <c r="I279" t="s">
        <v>234</v>
      </c>
      <c r="J279" t="s">
        <v>228</v>
      </c>
      <c r="K279" s="27">
        <v>46070.532106481478</v>
      </c>
    </row>
    <row r="280" spans="1:11" x14ac:dyDescent="0.25">
      <c r="A280" t="s">
        <v>595</v>
      </c>
      <c r="B280" s="26">
        <v>46031</v>
      </c>
      <c r="C280">
        <v>1</v>
      </c>
      <c r="D280" t="s">
        <v>41</v>
      </c>
      <c r="E280" t="s">
        <v>317</v>
      </c>
      <c r="G280">
        <v>2</v>
      </c>
      <c r="H280" t="s">
        <v>295</v>
      </c>
      <c r="I280" t="s">
        <v>205</v>
      </c>
      <c r="J280" t="s">
        <v>228</v>
      </c>
      <c r="K280" s="27">
        <v>46070.53229166667</v>
      </c>
    </row>
    <row r="281" spans="1:11" x14ac:dyDescent="0.25">
      <c r="A281" t="s">
        <v>596</v>
      </c>
      <c r="B281" s="26">
        <v>46032</v>
      </c>
      <c r="C281">
        <v>1</v>
      </c>
      <c r="D281" t="s">
        <v>41</v>
      </c>
      <c r="E281" t="s">
        <v>317</v>
      </c>
      <c r="G281">
        <v>2</v>
      </c>
      <c r="H281" t="s">
        <v>295</v>
      </c>
      <c r="I281" t="s">
        <v>234</v>
      </c>
      <c r="J281" t="s">
        <v>228</v>
      </c>
      <c r="K281" s="27">
        <v>46070.532546296294</v>
      </c>
    </row>
    <row r="282" spans="1:11" x14ac:dyDescent="0.25">
      <c r="A282" t="s">
        <v>597</v>
      </c>
      <c r="B282" s="26">
        <v>46033</v>
      </c>
      <c r="C282">
        <v>1</v>
      </c>
      <c r="D282" t="s">
        <v>41</v>
      </c>
      <c r="E282" t="s">
        <v>317</v>
      </c>
      <c r="G282">
        <v>0</v>
      </c>
      <c r="H282" t="s">
        <v>295</v>
      </c>
      <c r="I282" t="s">
        <v>234</v>
      </c>
      <c r="J282" t="s">
        <v>228</v>
      </c>
      <c r="K282" s="27">
        <v>46070.532824074071</v>
      </c>
    </row>
    <row r="283" spans="1:11" x14ac:dyDescent="0.25">
      <c r="A283" t="s">
        <v>598</v>
      </c>
      <c r="B283" s="26">
        <v>46034</v>
      </c>
      <c r="C283">
        <v>1</v>
      </c>
      <c r="D283" t="s">
        <v>41</v>
      </c>
      <c r="E283" t="s">
        <v>317</v>
      </c>
      <c r="G283">
        <v>0</v>
      </c>
      <c r="H283" t="s">
        <v>295</v>
      </c>
      <c r="I283" t="s">
        <v>205</v>
      </c>
      <c r="J283" t="s">
        <v>228</v>
      </c>
      <c r="K283" s="27">
        <v>46070.533171296294</v>
      </c>
    </row>
    <row r="284" spans="1:11" x14ac:dyDescent="0.25">
      <c r="A284" t="s">
        <v>599</v>
      </c>
      <c r="B284" s="26">
        <v>46034</v>
      </c>
      <c r="C284">
        <v>1</v>
      </c>
      <c r="D284" t="s">
        <v>41</v>
      </c>
      <c r="E284" t="s">
        <v>317</v>
      </c>
      <c r="G284">
        <v>8</v>
      </c>
      <c r="H284" t="s">
        <v>295</v>
      </c>
      <c r="I284" t="s">
        <v>205</v>
      </c>
      <c r="J284" t="s">
        <v>228</v>
      </c>
      <c r="K284" s="27">
        <v>46070.533321759256</v>
      </c>
    </row>
    <row r="285" spans="1:11" x14ac:dyDescent="0.25">
      <c r="A285" t="s">
        <v>600</v>
      </c>
      <c r="B285" s="26">
        <v>46034</v>
      </c>
      <c r="C285">
        <v>1</v>
      </c>
      <c r="D285" t="s">
        <v>41</v>
      </c>
      <c r="E285" t="s">
        <v>317</v>
      </c>
      <c r="G285">
        <v>0</v>
      </c>
      <c r="H285" t="s">
        <v>295</v>
      </c>
      <c r="I285" t="s">
        <v>234</v>
      </c>
      <c r="J285" t="s">
        <v>228</v>
      </c>
      <c r="K285" s="27">
        <v>46070.533460648148</v>
      </c>
    </row>
    <row r="286" spans="1:11" x14ac:dyDescent="0.25">
      <c r="A286" t="s">
        <v>601</v>
      </c>
      <c r="B286" s="26">
        <v>46034</v>
      </c>
      <c r="C286">
        <v>1</v>
      </c>
      <c r="D286" t="s">
        <v>41</v>
      </c>
      <c r="E286" t="s">
        <v>317</v>
      </c>
      <c r="G286">
        <v>0</v>
      </c>
      <c r="H286" t="s">
        <v>295</v>
      </c>
      <c r="I286" t="s">
        <v>234</v>
      </c>
      <c r="J286" t="s">
        <v>228</v>
      </c>
      <c r="K286" s="27">
        <v>46070.533460648148</v>
      </c>
    </row>
    <row r="287" spans="1:11" x14ac:dyDescent="0.25">
      <c r="A287" t="s">
        <v>602</v>
      </c>
      <c r="B287" s="26">
        <v>46035</v>
      </c>
      <c r="C287">
        <v>1</v>
      </c>
      <c r="D287" t="s">
        <v>41</v>
      </c>
      <c r="E287" t="s">
        <v>317</v>
      </c>
      <c r="G287">
        <v>0</v>
      </c>
      <c r="H287" t="s">
        <v>295</v>
      </c>
      <c r="I287" t="s">
        <v>234</v>
      </c>
      <c r="J287" t="s">
        <v>228</v>
      </c>
      <c r="K287" s="27">
        <v>46070.533854166664</v>
      </c>
    </row>
    <row r="288" spans="1:11" x14ac:dyDescent="0.25">
      <c r="A288" t="s">
        <v>603</v>
      </c>
      <c r="B288" s="26">
        <v>46035</v>
      </c>
      <c r="C288">
        <v>1</v>
      </c>
      <c r="D288" t="s">
        <v>41</v>
      </c>
      <c r="E288" t="s">
        <v>317</v>
      </c>
      <c r="G288">
        <v>0</v>
      </c>
      <c r="H288" t="s">
        <v>295</v>
      </c>
      <c r="I288" t="s">
        <v>205</v>
      </c>
      <c r="J288" t="s">
        <v>228</v>
      </c>
      <c r="K288" s="27">
        <v>46070.533958333333</v>
      </c>
    </row>
    <row r="289" spans="1:11" x14ac:dyDescent="0.25">
      <c r="A289" t="s">
        <v>604</v>
      </c>
      <c r="B289" s="26">
        <v>46035</v>
      </c>
      <c r="C289">
        <v>1</v>
      </c>
      <c r="D289" t="s">
        <v>41</v>
      </c>
      <c r="E289" t="s">
        <v>317</v>
      </c>
      <c r="G289">
        <v>3</v>
      </c>
      <c r="H289" t="s">
        <v>295</v>
      </c>
      <c r="I289" t="s">
        <v>205</v>
      </c>
      <c r="J289" t="s">
        <v>228</v>
      </c>
      <c r="K289" s="27">
        <v>46070.534166666665</v>
      </c>
    </row>
    <row r="290" spans="1:11" x14ac:dyDescent="0.25">
      <c r="A290" t="s">
        <v>605</v>
      </c>
      <c r="B290" s="26">
        <v>46035</v>
      </c>
      <c r="C290">
        <v>1</v>
      </c>
      <c r="D290" t="s">
        <v>41</v>
      </c>
      <c r="E290" t="s">
        <v>317</v>
      </c>
      <c r="G290">
        <v>2</v>
      </c>
      <c r="H290" t="s">
        <v>295</v>
      </c>
      <c r="I290" t="s">
        <v>234</v>
      </c>
      <c r="J290" t="s">
        <v>228</v>
      </c>
      <c r="K290" s="27">
        <v>46070.534409722219</v>
      </c>
    </row>
    <row r="291" spans="1:11" x14ac:dyDescent="0.25">
      <c r="A291" t="s">
        <v>606</v>
      </c>
      <c r="B291" s="26">
        <v>46036</v>
      </c>
      <c r="C291">
        <v>1</v>
      </c>
      <c r="D291" t="s">
        <v>41</v>
      </c>
      <c r="E291" t="s">
        <v>317</v>
      </c>
      <c r="G291">
        <v>1</v>
      </c>
      <c r="H291" t="s">
        <v>295</v>
      </c>
      <c r="I291" t="s">
        <v>234</v>
      </c>
      <c r="J291" t="s">
        <v>228</v>
      </c>
      <c r="K291" s="27">
        <v>46070.534699074073</v>
      </c>
    </row>
    <row r="292" spans="1:11" x14ac:dyDescent="0.25">
      <c r="A292" t="s">
        <v>607</v>
      </c>
      <c r="B292" s="26">
        <v>46036</v>
      </c>
      <c r="C292">
        <v>1</v>
      </c>
      <c r="D292" t="s">
        <v>41</v>
      </c>
      <c r="E292" t="s">
        <v>317</v>
      </c>
      <c r="G292">
        <v>0</v>
      </c>
      <c r="H292" t="s">
        <v>295</v>
      </c>
      <c r="I292" t="s">
        <v>234</v>
      </c>
      <c r="J292" t="s">
        <v>228</v>
      </c>
      <c r="K292" s="27">
        <v>46070.534826388888</v>
      </c>
    </row>
    <row r="293" spans="1:11" x14ac:dyDescent="0.25">
      <c r="A293" t="s">
        <v>608</v>
      </c>
      <c r="B293" s="26">
        <v>46036</v>
      </c>
      <c r="C293">
        <v>1</v>
      </c>
      <c r="D293" t="s">
        <v>41</v>
      </c>
      <c r="E293" t="s">
        <v>317</v>
      </c>
      <c r="G293">
        <v>0</v>
      </c>
      <c r="H293" t="s">
        <v>295</v>
      </c>
      <c r="I293" t="s">
        <v>234</v>
      </c>
      <c r="J293" t="s">
        <v>228</v>
      </c>
      <c r="K293" s="27">
        <v>46070.534942129627</v>
      </c>
    </row>
    <row r="294" spans="1:11" x14ac:dyDescent="0.25">
      <c r="A294" t="s">
        <v>609</v>
      </c>
      <c r="B294" s="26">
        <v>46039</v>
      </c>
      <c r="C294">
        <v>1</v>
      </c>
      <c r="D294" t="s">
        <v>41</v>
      </c>
      <c r="E294" t="s">
        <v>317</v>
      </c>
      <c r="G294">
        <v>0</v>
      </c>
      <c r="H294" t="s">
        <v>295</v>
      </c>
      <c r="I294" t="s">
        <v>234</v>
      </c>
      <c r="J294" t="s">
        <v>228</v>
      </c>
      <c r="K294" s="27">
        <v>46070.535370370373</v>
      </c>
    </row>
    <row r="295" spans="1:11" x14ac:dyDescent="0.25">
      <c r="A295" t="s">
        <v>610</v>
      </c>
      <c r="B295" s="26">
        <v>46040</v>
      </c>
      <c r="C295">
        <v>1</v>
      </c>
      <c r="D295" t="s">
        <v>41</v>
      </c>
      <c r="E295" t="s">
        <v>317</v>
      </c>
      <c r="G295">
        <v>1</v>
      </c>
      <c r="H295" t="s">
        <v>295</v>
      </c>
      <c r="I295" t="s">
        <v>205</v>
      </c>
      <c r="J295" t="s">
        <v>228</v>
      </c>
      <c r="K295" s="27">
        <v>46070.535671296297</v>
      </c>
    </row>
    <row r="296" spans="1:11" x14ac:dyDescent="0.25">
      <c r="A296" t="s">
        <v>611</v>
      </c>
      <c r="B296" s="26">
        <v>46040</v>
      </c>
      <c r="C296">
        <v>1</v>
      </c>
      <c r="D296" t="s">
        <v>41</v>
      </c>
      <c r="E296" t="s">
        <v>317</v>
      </c>
      <c r="G296">
        <v>6</v>
      </c>
      <c r="H296" t="s">
        <v>295</v>
      </c>
      <c r="I296" t="s">
        <v>205</v>
      </c>
      <c r="J296" t="s">
        <v>228</v>
      </c>
      <c r="K296" s="27">
        <v>46070.535787037035</v>
      </c>
    </row>
    <row r="297" spans="1:11" x14ac:dyDescent="0.25">
      <c r="A297" t="s">
        <v>612</v>
      </c>
      <c r="B297" s="26">
        <v>46041</v>
      </c>
      <c r="C297">
        <v>1</v>
      </c>
      <c r="D297" t="s">
        <v>41</v>
      </c>
      <c r="E297" t="s">
        <v>317</v>
      </c>
      <c r="G297">
        <v>1</v>
      </c>
      <c r="H297" t="s">
        <v>295</v>
      </c>
      <c r="I297" t="s">
        <v>205</v>
      </c>
      <c r="J297" t="s">
        <v>228</v>
      </c>
      <c r="K297" s="27">
        <v>46070.536354166667</v>
      </c>
    </row>
    <row r="298" spans="1:11" x14ac:dyDescent="0.25">
      <c r="A298" t="s">
        <v>613</v>
      </c>
      <c r="B298" s="26">
        <v>46042</v>
      </c>
      <c r="C298">
        <v>1</v>
      </c>
      <c r="D298" t="s">
        <v>41</v>
      </c>
      <c r="E298" t="s">
        <v>317</v>
      </c>
      <c r="G298">
        <v>7</v>
      </c>
      <c r="H298" t="s">
        <v>295</v>
      </c>
      <c r="I298" t="s">
        <v>205</v>
      </c>
      <c r="J298" t="s">
        <v>228</v>
      </c>
      <c r="K298" s="27">
        <v>46070.538402777776</v>
      </c>
    </row>
    <row r="299" spans="1:11" x14ac:dyDescent="0.25">
      <c r="A299" t="s">
        <v>614</v>
      </c>
      <c r="B299" s="26">
        <v>46043</v>
      </c>
      <c r="C299">
        <v>1</v>
      </c>
      <c r="D299" t="s">
        <v>41</v>
      </c>
      <c r="E299" t="s">
        <v>317</v>
      </c>
      <c r="G299">
        <v>0</v>
      </c>
      <c r="H299" t="s">
        <v>295</v>
      </c>
      <c r="I299" t="s">
        <v>234</v>
      </c>
      <c r="J299" t="s">
        <v>228</v>
      </c>
      <c r="K299" s="27">
        <v>46070.539004629631</v>
      </c>
    </row>
    <row r="300" spans="1:11" x14ac:dyDescent="0.25">
      <c r="A300" t="s">
        <v>615</v>
      </c>
      <c r="B300" s="26">
        <v>46044</v>
      </c>
      <c r="C300">
        <v>1</v>
      </c>
      <c r="D300" t="s">
        <v>41</v>
      </c>
      <c r="E300" t="s">
        <v>317</v>
      </c>
      <c r="G300">
        <v>7</v>
      </c>
      <c r="H300" t="s">
        <v>295</v>
      </c>
      <c r="I300" t="s">
        <v>234</v>
      </c>
      <c r="J300" t="s">
        <v>228</v>
      </c>
      <c r="K300" s="27">
        <v>46070.539699074077</v>
      </c>
    </row>
    <row r="301" spans="1:11" x14ac:dyDescent="0.25">
      <c r="A301" t="s">
        <v>616</v>
      </c>
      <c r="B301" s="26">
        <v>46044</v>
      </c>
      <c r="C301">
        <v>1</v>
      </c>
      <c r="D301" t="s">
        <v>41</v>
      </c>
      <c r="E301" t="s">
        <v>317</v>
      </c>
      <c r="G301">
        <v>0</v>
      </c>
      <c r="H301" t="s">
        <v>295</v>
      </c>
      <c r="I301" t="s">
        <v>234</v>
      </c>
      <c r="J301" t="s">
        <v>228</v>
      </c>
      <c r="K301" s="27">
        <v>46070.539930555555</v>
      </c>
    </row>
    <row r="302" spans="1:11" x14ac:dyDescent="0.25">
      <c r="A302" t="s">
        <v>617</v>
      </c>
      <c r="B302" s="26">
        <v>46044</v>
      </c>
      <c r="C302">
        <v>1</v>
      </c>
      <c r="D302" t="s">
        <v>41</v>
      </c>
      <c r="E302" t="s">
        <v>317</v>
      </c>
      <c r="G302">
        <v>7</v>
      </c>
      <c r="H302" t="s">
        <v>295</v>
      </c>
      <c r="I302" t="s">
        <v>234</v>
      </c>
      <c r="J302" t="s">
        <v>228</v>
      </c>
      <c r="K302" s="27">
        <v>46070.54011574074</v>
      </c>
    </row>
    <row r="303" spans="1:11" x14ac:dyDescent="0.25">
      <c r="A303" t="s">
        <v>618</v>
      </c>
      <c r="B303" s="26">
        <v>46044</v>
      </c>
      <c r="C303">
        <v>1</v>
      </c>
      <c r="D303" t="s">
        <v>41</v>
      </c>
      <c r="E303" t="s">
        <v>317</v>
      </c>
      <c r="G303">
        <v>7</v>
      </c>
      <c r="H303" t="s">
        <v>295</v>
      </c>
      <c r="I303" t="s">
        <v>234</v>
      </c>
      <c r="J303" t="s">
        <v>228</v>
      </c>
      <c r="K303" s="27">
        <v>46070.540277777778</v>
      </c>
    </row>
    <row r="304" spans="1:11" x14ac:dyDescent="0.25">
      <c r="A304" t="s">
        <v>619</v>
      </c>
      <c r="B304" s="26">
        <v>46045</v>
      </c>
      <c r="C304">
        <v>1</v>
      </c>
      <c r="D304" t="s">
        <v>41</v>
      </c>
      <c r="E304" t="s">
        <v>317</v>
      </c>
      <c r="G304">
        <v>10</v>
      </c>
      <c r="H304" t="s">
        <v>295</v>
      </c>
      <c r="I304" t="s">
        <v>234</v>
      </c>
      <c r="J304" t="s">
        <v>228</v>
      </c>
      <c r="K304" s="27">
        <v>46070.540555555555</v>
      </c>
    </row>
    <row r="305" spans="1:11" x14ac:dyDescent="0.25">
      <c r="A305" t="s">
        <v>620</v>
      </c>
      <c r="B305" s="26">
        <v>46045</v>
      </c>
      <c r="C305">
        <v>1</v>
      </c>
      <c r="D305" t="s">
        <v>41</v>
      </c>
      <c r="E305" t="s">
        <v>317</v>
      </c>
      <c r="G305">
        <v>10</v>
      </c>
      <c r="H305" t="s">
        <v>295</v>
      </c>
      <c r="I305" t="s">
        <v>234</v>
      </c>
      <c r="J305" t="s">
        <v>228</v>
      </c>
      <c r="K305" s="27">
        <v>46070.540717592594</v>
      </c>
    </row>
    <row r="306" spans="1:11" x14ac:dyDescent="0.25">
      <c r="A306" t="s">
        <v>621</v>
      </c>
      <c r="B306" s="26">
        <v>46048</v>
      </c>
      <c r="C306">
        <v>1</v>
      </c>
      <c r="D306" t="s">
        <v>41</v>
      </c>
      <c r="E306" t="s">
        <v>317</v>
      </c>
      <c r="G306">
        <v>1</v>
      </c>
      <c r="H306" t="s">
        <v>622</v>
      </c>
      <c r="I306" t="s">
        <v>205</v>
      </c>
      <c r="J306" t="s">
        <v>228</v>
      </c>
      <c r="K306" s="27">
        <v>46070.54210648148</v>
      </c>
    </row>
    <row r="307" spans="1:11" x14ac:dyDescent="0.25">
      <c r="A307" t="s">
        <v>623</v>
      </c>
      <c r="B307" s="26">
        <v>46048</v>
      </c>
      <c r="C307">
        <v>1</v>
      </c>
      <c r="D307" t="s">
        <v>41</v>
      </c>
      <c r="E307" t="s">
        <v>317</v>
      </c>
      <c r="G307">
        <v>12</v>
      </c>
      <c r="H307" t="s">
        <v>295</v>
      </c>
      <c r="I307" t="s">
        <v>234</v>
      </c>
      <c r="J307" t="s">
        <v>228</v>
      </c>
      <c r="K307" s="27">
        <v>46070.542291666665</v>
      </c>
    </row>
    <row r="308" spans="1:11" x14ac:dyDescent="0.25">
      <c r="A308" t="s">
        <v>624</v>
      </c>
      <c r="B308" s="26">
        <v>46049</v>
      </c>
      <c r="C308">
        <v>1</v>
      </c>
      <c r="D308" t="s">
        <v>41</v>
      </c>
      <c r="E308" t="s">
        <v>317</v>
      </c>
      <c r="G308">
        <v>0</v>
      </c>
      <c r="H308" t="s">
        <v>295</v>
      </c>
      <c r="I308" t="s">
        <v>205</v>
      </c>
      <c r="J308" t="s">
        <v>228</v>
      </c>
      <c r="K308" s="27">
        <v>46070.542916666665</v>
      </c>
    </row>
    <row r="309" spans="1:11" x14ac:dyDescent="0.25">
      <c r="A309" t="s">
        <v>625</v>
      </c>
      <c r="B309" s="26">
        <v>46049</v>
      </c>
      <c r="C309">
        <v>1</v>
      </c>
      <c r="D309" t="s">
        <v>41</v>
      </c>
      <c r="E309" t="s">
        <v>317</v>
      </c>
      <c r="G309">
        <v>0</v>
      </c>
      <c r="H309" t="s">
        <v>295</v>
      </c>
      <c r="I309" t="s">
        <v>205</v>
      </c>
      <c r="J309" t="s">
        <v>228</v>
      </c>
      <c r="K309" s="27">
        <v>46070.543055555558</v>
      </c>
    </row>
    <row r="310" spans="1:11" x14ac:dyDescent="0.25">
      <c r="A310" t="s">
        <v>626</v>
      </c>
      <c r="B310" s="26">
        <v>46049</v>
      </c>
      <c r="C310">
        <v>1</v>
      </c>
      <c r="D310" t="s">
        <v>41</v>
      </c>
      <c r="E310" t="s">
        <v>317</v>
      </c>
      <c r="G310">
        <v>0</v>
      </c>
      <c r="H310" t="s">
        <v>295</v>
      </c>
      <c r="I310" t="s">
        <v>205</v>
      </c>
      <c r="J310" t="s">
        <v>228</v>
      </c>
      <c r="K310" s="27">
        <v>46070.543194444443</v>
      </c>
    </row>
    <row r="311" spans="1:11" x14ac:dyDescent="0.25">
      <c r="A311" t="s">
        <v>627</v>
      </c>
      <c r="B311" s="26">
        <v>46050</v>
      </c>
      <c r="C311">
        <v>1</v>
      </c>
      <c r="D311" t="s">
        <v>41</v>
      </c>
      <c r="E311" t="s">
        <v>317</v>
      </c>
      <c r="G311">
        <v>0</v>
      </c>
      <c r="H311" t="s">
        <v>204</v>
      </c>
      <c r="I311" t="s">
        <v>205</v>
      </c>
      <c r="J311" t="s">
        <v>228</v>
      </c>
      <c r="K311" s="27">
        <v>46070.545104166667</v>
      </c>
    </row>
    <row r="312" spans="1:11" x14ac:dyDescent="0.25">
      <c r="A312" t="s">
        <v>628</v>
      </c>
      <c r="B312" s="26">
        <v>46052</v>
      </c>
      <c r="C312">
        <v>1</v>
      </c>
      <c r="D312" t="s">
        <v>41</v>
      </c>
      <c r="E312" t="s">
        <v>317</v>
      </c>
      <c r="G312">
        <v>8</v>
      </c>
      <c r="H312" t="s">
        <v>295</v>
      </c>
      <c r="I312" t="s">
        <v>234</v>
      </c>
      <c r="J312" t="s">
        <v>228</v>
      </c>
      <c r="K312" s="27">
        <v>46070.546886574077</v>
      </c>
    </row>
    <row r="313" spans="1:11" x14ac:dyDescent="0.25">
      <c r="A313" t="s">
        <v>629</v>
      </c>
      <c r="B313" s="26">
        <v>46023</v>
      </c>
      <c r="C313">
        <v>1</v>
      </c>
      <c r="D313" t="s">
        <v>43</v>
      </c>
      <c r="E313" t="s">
        <v>317</v>
      </c>
      <c r="G313">
        <v>33</v>
      </c>
      <c r="H313" t="s">
        <v>204</v>
      </c>
      <c r="I313" t="s">
        <v>234</v>
      </c>
      <c r="J313" t="s">
        <v>228</v>
      </c>
      <c r="K313" s="27">
        <v>46070.680254629631</v>
      </c>
    </row>
    <row r="314" spans="1:11" x14ac:dyDescent="0.25">
      <c r="A314" t="s">
        <v>630</v>
      </c>
      <c r="B314" s="26">
        <v>46023</v>
      </c>
      <c r="C314">
        <v>1</v>
      </c>
      <c r="D314" t="s">
        <v>43</v>
      </c>
      <c r="E314" t="s">
        <v>317</v>
      </c>
      <c r="G314">
        <v>40</v>
      </c>
      <c r="H314" t="s">
        <v>204</v>
      </c>
      <c r="I314" t="s">
        <v>234</v>
      </c>
      <c r="J314" t="s">
        <v>228</v>
      </c>
      <c r="K314" s="27">
        <v>46070.680277777778</v>
      </c>
    </row>
    <row r="315" spans="1:11" x14ac:dyDescent="0.25">
      <c r="A315" t="s">
        <v>631</v>
      </c>
      <c r="B315" s="26">
        <v>46023</v>
      </c>
      <c r="C315">
        <v>1</v>
      </c>
      <c r="D315" t="s">
        <v>43</v>
      </c>
      <c r="E315" t="s">
        <v>317</v>
      </c>
      <c r="G315">
        <v>34</v>
      </c>
      <c r="H315" t="s">
        <v>204</v>
      </c>
      <c r="I315" t="s">
        <v>234</v>
      </c>
      <c r="J315" t="s">
        <v>228</v>
      </c>
      <c r="K315" s="27">
        <v>46070.680324074077</v>
      </c>
    </row>
    <row r="316" spans="1:11" x14ac:dyDescent="0.25">
      <c r="A316" t="s">
        <v>632</v>
      </c>
      <c r="B316" s="26">
        <v>46024</v>
      </c>
      <c r="C316">
        <v>1</v>
      </c>
      <c r="D316" t="s">
        <v>43</v>
      </c>
      <c r="E316" t="s">
        <v>317</v>
      </c>
      <c r="G316">
        <v>66</v>
      </c>
      <c r="H316" t="s">
        <v>204</v>
      </c>
      <c r="I316" t="s">
        <v>205</v>
      </c>
      <c r="J316" t="s">
        <v>228</v>
      </c>
      <c r="K316" s="27">
        <v>46071.382939814815</v>
      </c>
    </row>
    <row r="317" spans="1:11" x14ac:dyDescent="0.25">
      <c r="A317" t="s">
        <v>633</v>
      </c>
      <c r="B317" s="26">
        <v>46024</v>
      </c>
      <c r="C317">
        <v>1</v>
      </c>
      <c r="D317" t="s">
        <v>43</v>
      </c>
      <c r="E317" t="s">
        <v>317</v>
      </c>
      <c r="G317">
        <v>45</v>
      </c>
      <c r="H317" t="s">
        <v>204</v>
      </c>
      <c r="I317" t="s">
        <v>234</v>
      </c>
      <c r="J317" t="s">
        <v>228</v>
      </c>
      <c r="K317" s="27">
        <v>46071.383206018516</v>
      </c>
    </row>
    <row r="318" spans="1:11" x14ac:dyDescent="0.25">
      <c r="A318" t="s">
        <v>634</v>
      </c>
      <c r="B318" s="26">
        <v>46024</v>
      </c>
      <c r="C318">
        <v>1</v>
      </c>
      <c r="D318" t="s">
        <v>43</v>
      </c>
      <c r="E318" t="s">
        <v>317</v>
      </c>
      <c r="G318">
        <v>35</v>
      </c>
      <c r="H318" t="s">
        <v>204</v>
      </c>
      <c r="I318" t="s">
        <v>234</v>
      </c>
      <c r="J318" t="s">
        <v>228</v>
      </c>
      <c r="K318" s="27">
        <v>46071.383252314816</v>
      </c>
    </row>
    <row r="319" spans="1:11" x14ac:dyDescent="0.25">
      <c r="A319" t="s">
        <v>635</v>
      </c>
      <c r="B319" s="26">
        <v>46024</v>
      </c>
      <c r="C319">
        <v>1</v>
      </c>
      <c r="D319" t="s">
        <v>43</v>
      </c>
      <c r="E319" t="s">
        <v>317</v>
      </c>
      <c r="G319">
        <v>18</v>
      </c>
      <c r="H319" t="s">
        <v>204</v>
      </c>
      <c r="I319" t="s">
        <v>234</v>
      </c>
      <c r="J319" t="s">
        <v>228</v>
      </c>
      <c r="K319" s="27">
        <v>46071.383263888885</v>
      </c>
    </row>
    <row r="320" spans="1:11" x14ac:dyDescent="0.25">
      <c r="A320" t="s">
        <v>636</v>
      </c>
      <c r="B320" s="26">
        <v>46024</v>
      </c>
      <c r="C320">
        <v>1</v>
      </c>
      <c r="D320" t="s">
        <v>43</v>
      </c>
      <c r="E320" t="s">
        <v>317</v>
      </c>
      <c r="G320">
        <v>43</v>
      </c>
      <c r="H320" t="s">
        <v>204</v>
      </c>
      <c r="I320" t="s">
        <v>234</v>
      </c>
      <c r="J320" t="s">
        <v>228</v>
      </c>
      <c r="K320" s="27">
        <v>46071.383298611108</v>
      </c>
    </row>
    <row r="321" spans="1:11" x14ac:dyDescent="0.25">
      <c r="A321" t="s">
        <v>637</v>
      </c>
      <c r="B321" s="26">
        <v>46025</v>
      </c>
      <c r="C321">
        <v>1</v>
      </c>
      <c r="D321" t="s">
        <v>43</v>
      </c>
      <c r="E321" t="s">
        <v>317</v>
      </c>
      <c r="G321">
        <v>41</v>
      </c>
      <c r="H321" t="s">
        <v>204</v>
      </c>
      <c r="I321" t="s">
        <v>234</v>
      </c>
      <c r="J321" t="s">
        <v>228</v>
      </c>
      <c r="K321" s="27">
        <v>46071.384918981479</v>
      </c>
    </row>
    <row r="322" spans="1:11" x14ac:dyDescent="0.25">
      <c r="A322" t="s">
        <v>638</v>
      </c>
      <c r="B322" s="26">
        <v>46025</v>
      </c>
      <c r="C322">
        <v>1</v>
      </c>
      <c r="D322" t="s">
        <v>43</v>
      </c>
      <c r="E322" t="s">
        <v>317</v>
      </c>
      <c r="G322">
        <v>24</v>
      </c>
      <c r="H322" t="s">
        <v>204</v>
      </c>
      <c r="I322" t="s">
        <v>234</v>
      </c>
      <c r="J322" t="s">
        <v>228</v>
      </c>
      <c r="K322" s="27">
        <v>46071.384988425925</v>
      </c>
    </row>
    <row r="323" spans="1:11" x14ac:dyDescent="0.25">
      <c r="A323" t="s">
        <v>639</v>
      </c>
      <c r="B323" s="26">
        <v>46025</v>
      </c>
      <c r="C323">
        <v>1</v>
      </c>
      <c r="D323" t="s">
        <v>43</v>
      </c>
      <c r="E323" t="s">
        <v>317</v>
      </c>
      <c r="G323">
        <v>22</v>
      </c>
      <c r="H323" t="s">
        <v>204</v>
      </c>
      <c r="I323" t="s">
        <v>234</v>
      </c>
      <c r="J323" t="s">
        <v>228</v>
      </c>
      <c r="K323" s="27">
        <v>46071.385023148148</v>
      </c>
    </row>
    <row r="324" spans="1:11" x14ac:dyDescent="0.25">
      <c r="A324" t="s">
        <v>640</v>
      </c>
      <c r="B324" s="26">
        <v>46025</v>
      </c>
      <c r="C324">
        <v>1</v>
      </c>
      <c r="D324" t="s">
        <v>43</v>
      </c>
      <c r="E324" t="s">
        <v>317</v>
      </c>
      <c r="G324">
        <v>17</v>
      </c>
      <c r="H324" t="s">
        <v>204</v>
      </c>
      <c r="I324" t="s">
        <v>234</v>
      </c>
      <c r="J324" t="s">
        <v>228</v>
      </c>
      <c r="K324" s="27">
        <v>46071.385081018518</v>
      </c>
    </row>
    <row r="325" spans="1:11" x14ac:dyDescent="0.25">
      <c r="A325" t="s">
        <v>641</v>
      </c>
      <c r="B325" s="26">
        <v>46025</v>
      </c>
      <c r="C325">
        <v>1</v>
      </c>
      <c r="D325" t="s">
        <v>43</v>
      </c>
      <c r="E325" t="s">
        <v>317</v>
      </c>
      <c r="G325">
        <v>40</v>
      </c>
      <c r="H325" t="s">
        <v>204</v>
      </c>
      <c r="I325" t="s">
        <v>234</v>
      </c>
      <c r="J325" t="s">
        <v>228</v>
      </c>
      <c r="K325" s="27">
        <v>46071.385150462964</v>
      </c>
    </row>
    <row r="326" spans="1:11" x14ac:dyDescent="0.25">
      <c r="A326" t="s">
        <v>642</v>
      </c>
      <c r="B326" s="26">
        <v>46026</v>
      </c>
      <c r="C326">
        <v>1</v>
      </c>
      <c r="D326" t="s">
        <v>43</v>
      </c>
      <c r="E326" t="s">
        <v>317</v>
      </c>
      <c r="G326">
        <v>58</v>
      </c>
      <c r="H326" t="s">
        <v>204</v>
      </c>
      <c r="I326" t="s">
        <v>234</v>
      </c>
      <c r="J326" t="s">
        <v>228</v>
      </c>
      <c r="K326" s="27">
        <v>46071.385474537034</v>
      </c>
    </row>
    <row r="327" spans="1:11" x14ac:dyDescent="0.25">
      <c r="A327" t="s">
        <v>643</v>
      </c>
      <c r="B327" s="26">
        <v>46026</v>
      </c>
      <c r="C327">
        <v>1</v>
      </c>
      <c r="D327" t="s">
        <v>43</v>
      </c>
      <c r="E327" t="s">
        <v>317</v>
      </c>
      <c r="G327">
        <v>72</v>
      </c>
      <c r="H327" t="s">
        <v>204</v>
      </c>
      <c r="I327" t="s">
        <v>234</v>
      </c>
      <c r="J327" t="s">
        <v>228</v>
      </c>
      <c r="K327" s="27">
        <v>46071.38548611111</v>
      </c>
    </row>
    <row r="328" spans="1:11" x14ac:dyDescent="0.25">
      <c r="A328" t="s">
        <v>644</v>
      </c>
      <c r="B328" s="26">
        <v>46026</v>
      </c>
      <c r="C328">
        <v>1</v>
      </c>
      <c r="D328" t="s">
        <v>43</v>
      </c>
      <c r="E328" t="s">
        <v>317</v>
      </c>
      <c r="G328">
        <v>15</v>
      </c>
      <c r="H328" t="s">
        <v>204</v>
      </c>
      <c r="I328" t="s">
        <v>234</v>
      </c>
      <c r="J328" t="s">
        <v>228</v>
      </c>
      <c r="K328" s="27">
        <v>46071.385497685187</v>
      </c>
    </row>
    <row r="329" spans="1:11" x14ac:dyDescent="0.25">
      <c r="A329" t="s">
        <v>645</v>
      </c>
      <c r="B329" s="26">
        <v>46026</v>
      </c>
      <c r="C329">
        <v>1</v>
      </c>
      <c r="D329" t="s">
        <v>43</v>
      </c>
      <c r="E329" t="s">
        <v>317</v>
      </c>
      <c r="G329">
        <v>54</v>
      </c>
      <c r="H329" t="s">
        <v>204</v>
      </c>
      <c r="I329" t="s">
        <v>234</v>
      </c>
      <c r="J329" t="s">
        <v>228</v>
      </c>
      <c r="K329" s="27">
        <v>46071.385520833333</v>
      </c>
    </row>
    <row r="330" spans="1:11" x14ac:dyDescent="0.25">
      <c r="A330" t="s">
        <v>646</v>
      </c>
      <c r="B330" s="26">
        <v>46027</v>
      </c>
      <c r="C330">
        <v>1</v>
      </c>
      <c r="D330" t="s">
        <v>43</v>
      </c>
      <c r="E330" t="s">
        <v>317</v>
      </c>
      <c r="G330">
        <v>20</v>
      </c>
      <c r="H330" t="s">
        <v>204</v>
      </c>
      <c r="I330" t="s">
        <v>205</v>
      </c>
      <c r="J330" t="s">
        <v>228</v>
      </c>
      <c r="K330" s="27">
        <v>46071.385729166665</v>
      </c>
    </row>
    <row r="331" spans="1:11" x14ac:dyDescent="0.25">
      <c r="A331" t="s">
        <v>647</v>
      </c>
      <c r="B331" s="26">
        <v>46027</v>
      </c>
      <c r="C331">
        <v>1</v>
      </c>
      <c r="D331" t="s">
        <v>43</v>
      </c>
      <c r="E331" t="s">
        <v>317</v>
      </c>
      <c r="G331">
        <v>46</v>
      </c>
      <c r="H331" t="s">
        <v>204</v>
      </c>
      <c r="I331" t="s">
        <v>205</v>
      </c>
      <c r="J331" t="s">
        <v>228</v>
      </c>
      <c r="K331" s="27">
        <v>46071.385752314818</v>
      </c>
    </row>
    <row r="332" spans="1:11" x14ac:dyDescent="0.25">
      <c r="A332" t="s">
        <v>648</v>
      </c>
      <c r="B332" s="26">
        <v>46027</v>
      </c>
      <c r="C332">
        <v>1</v>
      </c>
      <c r="D332" t="s">
        <v>43</v>
      </c>
      <c r="E332" t="s">
        <v>317</v>
      </c>
      <c r="G332">
        <v>70</v>
      </c>
      <c r="H332" t="s">
        <v>204</v>
      </c>
      <c r="I332" t="s">
        <v>205</v>
      </c>
      <c r="J332" t="s">
        <v>228</v>
      </c>
      <c r="K332" s="27">
        <v>46071.385787037034</v>
      </c>
    </row>
    <row r="333" spans="1:11" x14ac:dyDescent="0.25">
      <c r="A333" t="s">
        <v>649</v>
      </c>
      <c r="B333" s="26">
        <v>46027</v>
      </c>
      <c r="C333">
        <v>1</v>
      </c>
      <c r="D333" t="s">
        <v>43</v>
      </c>
      <c r="E333" t="s">
        <v>317</v>
      </c>
      <c r="G333">
        <v>24</v>
      </c>
      <c r="H333" t="s">
        <v>204</v>
      </c>
      <c r="I333" t="s">
        <v>205</v>
      </c>
      <c r="J333" t="s">
        <v>228</v>
      </c>
      <c r="K333" s="27">
        <v>46071.385810185187</v>
      </c>
    </row>
    <row r="334" spans="1:11" x14ac:dyDescent="0.25">
      <c r="A334" t="s">
        <v>650</v>
      </c>
      <c r="B334" s="26">
        <v>46027</v>
      </c>
      <c r="C334">
        <v>1</v>
      </c>
      <c r="D334" t="s">
        <v>43</v>
      </c>
      <c r="E334" t="s">
        <v>317</v>
      </c>
      <c r="G334">
        <v>34</v>
      </c>
      <c r="H334" t="s">
        <v>204</v>
      </c>
      <c r="I334" t="s">
        <v>234</v>
      </c>
      <c r="J334" t="s">
        <v>228</v>
      </c>
      <c r="K334" s="27">
        <v>46071.385949074072</v>
      </c>
    </row>
    <row r="335" spans="1:11" x14ac:dyDescent="0.25">
      <c r="A335" t="s">
        <v>651</v>
      </c>
      <c r="B335" s="26">
        <v>46028</v>
      </c>
      <c r="C335">
        <v>1</v>
      </c>
      <c r="D335" t="s">
        <v>43</v>
      </c>
      <c r="E335" t="s">
        <v>317</v>
      </c>
      <c r="G335">
        <v>16</v>
      </c>
      <c r="H335" t="s">
        <v>204</v>
      </c>
      <c r="I335" t="s">
        <v>234</v>
      </c>
      <c r="J335" t="s">
        <v>228</v>
      </c>
      <c r="K335" s="27">
        <v>46071.38616898148</v>
      </c>
    </row>
    <row r="336" spans="1:11" x14ac:dyDescent="0.25">
      <c r="A336" t="s">
        <v>652</v>
      </c>
      <c r="B336" s="26">
        <v>46028</v>
      </c>
      <c r="C336">
        <v>1</v>
      </c>
      <c r="D336" t="s">
        <v>43</v>
      </c>
      <c r="E336" t="s">
        <v>317</v>
      </c>
      <c r="G336">
        <v>46</v>
      </c>
      <c r="H336" t="s">
        <v>204</v>
      </c>
      <c r="I336" t="s">
        <v>205</v>
      </c>
      <c r="J336" t="s">
        <v>228</v>
      </c>
      <c r="K336" s="27">
        <v>46071.386250000003</v>
      </c>
    </row>
    <row r="337" spans="1:11" x14ac:dyDescent="0.25">
      <c r="A337" t="s">
        <v>653</v>
      </c>
      <c r="B337" s="26">
        <v>46028</v>
      </c>
      <c r="C337">
        <v>1</v>
      </c>
      <c r="D337" t="s">
        <v>43</v>
      </c>
      <c r="E337" t="s">
        <v>317</v>
      </c>
      <c r="G337">
        <v>38</v>
      </c>
      <c r="H337" t="s">
        <v>204</v>
      </c>
      <c r="I337" t="s">
        <v>234</v>
      </c>
      <c r="J337" t="s">
        <v>228</v>
      </c>
      <c r="K337" s="27">
        <v>46071.386342592596</v>
      </c>
    </row>
    <row r="338" spans="1:11" x14ac:dyDescent="0.25">
      <c r="A338" t="s">
        <v>654</v>
      </c>
      <c r="B338" s="26">
        <v>46029</v>
      </c>
      <c r="C338">
        <v>1</v>
      </c>
      <c r="D338" t="s">
        <v>43</v>
      </c>
      <c r="E338" t="s">
        <v>317</v>
      </c>
      <c r="G338">
        <v>41</v>
      </c>
      <c r="H338" t="s">
        <v>204</v>
      </c>
      <c r="I338" t="s">
        <v>234</v>
      </c>
      <c r="J338" t="s">
        <v>228</v>
      </c>
      <c r="K338" s="27">
        <v>46071.386562500003</v>
      </c>
    </row>
    <row r="339" spans="1:11" x14ac:dyDescent="0.25">
      <c r="A339" t="s">
        <v>655</v>
      </c>
      <c r="B339" s="26">
        <v>46029</v>
      </c>
      <c r="C339">
        <v>1</v>
      </c>
      <c r="D339" t="s">
        <v>43</v>
      </c>
      <c r="E339" t="s">
        <v>317</v>
      </c>
      <c r="G339">
        <v>70</v>
      </c>
      <c r="H339" t="s">
        <v>204</v>
      </c>
      <c r="I339" t="s">
        <v>234</v>
      </c>
      <c r="J339" t="s">
        <v>228</v>
      </c>
      <c r="K339" s="27">
        <v>46071.386655092596</v>
      </c>
    </row>
    <row r="340" spans="1:11" x14ac:dyDescent="0.25">
      <c r="A340" t="s">
        <v>656</v>
      </c>
      <c r="B340" s="26">
        <v>46029</v>
      </c>
      <c r="C340">
        <v>1</v>
      </c>
      <c r="D340" t="s">
        <v>43</v>
      </c>
      <c r="E340" t="s">
        <v>317</v>
      </c>
      <c r="G340">
        <v>22</v>
      </c>
      <c r="H340" t="s">
        <v>204</v>
      </c>
      <c r="I340" t="s">
        <v>234</v>
      </c>
      <c r="J340" t="s">
        <v>228</v>
      </c>
      <c r="K340" s="27">
        <v>46071.386678240742</v>
      </c>
    </row>
    <row r="341" spans="1:11" x14ac:dyDescent="0.25">
      <c r="A341" t="s">
        <v>657</v>
      </c>
      <c r="B341" s="26">
        <v>46030</v>
      </c>
      <c r="C341">
        <v>1</v>
      </c>
      <c r="D341" t="s">
        <v>43</v>
      </c>
      <c r="E341" t="s">
        <v>317</v>
      </c>
      <c r="G341">
        <v>77</v>
      </c>
      <c r="H341" t="s">
        <v>204</v>
      </c>
      <c r="I341" t="s">
        <v>234</v>
      </c>
      <c r="J341" t="s">
        <v>228</v>
      </c>
      <c r="K341" s="27">
        <v>46071.386770833335</v>
      </c>
    </row>
    <row r="342" spans="1:11" x14ac:dyDescent="0.25">
      <c r="A342" t="s">
        <v>658</v>
      </c>
      <c r="B342" s="26">
        <v>46030</v>
      </c>
      <c r="C342">
        <v>1</v>
      </c>
      <c r="D342" t="s">
        <v>43</v>
      </c>
      <c r="E342" t="s">
        <v>317</v>
      </c>
      <c r="G342">
        <v>67</v>
      </c>
      <c r="H342" t="s">
        <v>204</v>
      </c>
      <c r="I342" t="s">
        <v>234</v>
      </c>
      <c r="J342" t="s">
        <v>228</v>
      </c>
      <c r="K342" s="27">
        <v>46071.386793981481</v>
      </c>
    </row>
    <row r="343" spans="1:11" x14ac:dyDescent="0.25">
      <c r="A343" t="s">
        <v>659</v>
      </c>
      <c r="B343" s="26">
        <v>46030</v>
      </c>
      <c r="C343">
        <v>1</v>
      </c>
      <c r="D343" t="s">
        <v>43</v>
      </c>
      <c r="E343" t="s">
        <v>317</v>
      </c>
      <c r="G343">
        <v>4</v>
      </c>
      <c r="H343" t="s">
        <v>622</v>
      </c>
      <c r="I343" t="s">
        <v>234</v>
      </c>
      <c r="J343" t="s">
        <v>228</v>
      </c>
      <c r="K343" s="27">
        <v>46071.387071759258</v>
      </c>
    </row>
    <row r="344" spans="1:11" x14ac:dyDescent="0.25">
      <c r="A344" t="s">
        <v>660</v>
      </c>
      <c r="B344" s="26">
        <v>46030</v>
      </c>
      <c r="C344">
        <v>1</v>
      </c>
      <c r="D344" t="s">
        <v>43</v>
      </c>
      <c r="E344" t="s">
        <v>317</v>
      </c>
      <c r="G344">
        <v>30</v>
      </c>
      <c r="H344" t="s">
        <v>204</v>
      </c>
      <c r="I344" t="s">
        <v>234</v>
      </c>
      <c r="J344" t="s">
        <v>228</v>
      </c>
      <c r="K344" s="27">
        <v>46071.387094907404</v>
      </c>
    </row>
    <row r="345" spans="1:11" x14ac:dyDescent="0.25">
      <c r="A345" t="s">
        <v>661</v>
      </c>
      <c r="B345" s="26">
        <v>46030</v>
      </c>
      <c r="C345">
        <v>1</v>
      </c>
      <c r="D345" t="s">
        <v>43</v>
      </c>
      <c r="E345" t="s">
        <v>317</v>
      </c>
      <c r="G345">
        <v>58</v>
      </c>
      <c r="H345" t="s">
        <v>204</v>
      </c>
      <c r="I345" t="s">
        <v>234</v>
      </c>
      <c r="J345" t="s">
        <v>228</v>
      </c>
      <c r="K345" s="27">
        <v>46071.387118055558</v>
      </c>
    </row>
    <row r="346" spans="1:11" x14ac:dyDescent="0.25">
      <c r="A346" t="s">
        <v>662</v>
      </c>
      <c r="B346" s="26">
        <v>46031</v>
      </c>
      <c r="C346">
        <v>1</v>
      </c>
      <c r="D346" t="s">
        <v>43</v>
      </c>
      <c r="E346" t="s">
        <v>317</v>
      </c>
      <c r="G346">
        <v>16</v>
      </c>
      <c r="H346" t="s">
        <v>204</v>
      </c>
      <c r="I346" t="s">
        <v>205</v>
      </c>
      <c r="J346" t="s">
        <v>228</v>
      </c>
      <c r="K346" s="27">
        <v>46071.387280092589</v>
      </c>
    </row>
    <row r="347" spans="1:11" x14ac:dyDescent="0.25">
      <c r="A347" t="s">
        <v>663</v>
      </c>
      <c r="B347" s="26">
        <v>46032</v>
      </c>
      <c r="C347">
        <v>1</v>
      </c>
      <c r="D347" t="s">
        <v>43</v>
      </c>
      <c r="E347" t="s">
        <v>317</v>
      </c>
      <c r="G347">
        <v>53</v>
      </c>
      <c r="H347" t="s">
        <v>204</v>
      </c>
      <c r="I347" t="s">
        <v>205</v>
      </c>
      <c r="J347" t="s">
        <v>228</v>
      </c>
      <c r="K347" s="27">
        <v>46071.387442129628</v>
      </c>
    </row>
    <row r="348" spans="1:11" x14ac:dyDescent="0.25">
      <c r="A348" t="s">
        <v>664</v>
      </c>
      <c r="B348" s="26">
        <v>46032</v>
      </c>
      <c r="C348">
        <v>1</v>
      </c>
      <c r="D348" t="s">
        <v>43</v>
      </c>
      <c r="E348" t="s">
        <v>317</v>
      </c>
      <c r="G348">
        <v>40</v>
      </c>
      <c r="H348" t="s">
        <v>204</v>
      </c>
      <c r="I348" t="s">
        <v>234</v>
      </c>
      <c r="J348" t="s">
        <v>228</v>
      </c>
      <c r="K348" s="27">
        <v>46071.387511574074</v>
      </c>
    </row>
    <row r="349" spans="1:11" x14ac:dyDescent="0.25">
      <c r="A349" t="s">
        <v>665</v>
      </c>
      <c r="B349" s="26">
        <v>46032</v>
      </c>
      <c r="C349">
        <v>1</v>
      </c>
      <c r="D349" t="s">
        <v>43</v>
      </c>
      <c r="E349" t="s">
        <v>317</v>
      </c>
      <c r="G349">
        <v>57</v>
      </c>
      <c r="H349" t="s">
        <v>204</v>
      </c>
      <c r="I349" t="s">
        <v>205</v>
      </c>
      <c r="J349" t="s">
        <v>228</v>
      </c>
      <c r="K349" s="27">
        <v>46071.387569444443</v>
      </c>
    </row>
    <row r="350" spans="1:11" x14ac:dyDescent="0.25">
      <c r="A350" t="s">
        <v>666</v>
      </c>
      <c r="B350" s="26">
        <v>46032</v>
      </c>
      <c r="C350">
        <v>1</v>
      </c>
      <c r="D350" t="s">
        <v>43</v>
      </c>
      <c r="E350" t="s">
        <v>317</v>
      </c>
      <c r="G350">
        <v>64</v>
      </c>
      <c r="H350" t="s">
        <v>204</v>
      </c>
      <c r="I350" t="s">
        <v>205</v>
      </c>
      <c r="J350" t="s">
        <v>228</v>
      </c>
      <c r="K350" s="27">
        <v>46071.387592592589</v>
      </c>
    </row>
    <row r="351" spans="1:11" x14ac:dyDescent="0.25">
      <c r="A351" t="s">
        <v>667</v>
      </c>
      <c r="B351" s="26">
        <v>46032</v>
      </c>
      <c r="C351">
        <v>1</v>
      </c>
      <c r="D351" t="s">
        <v>43</v>
      </c>
      <c r="E351" t="s">
        <v>317</v>
      </c>
      <c r="G351">
        <v>89</v>
      </c>
      <c r="H351" t="s">
        <v>204</v>
      </c>
      <c r="I351" t="s">
        <v>234</v>
      </c>
      <c r="J351" t="s">
        <v>228</v>
      </c>
      <c r="K351" s="27">
        <v>46071.387662037036</v>
      </c>
    </row>
    <row r="352" spans="1:11" x14ac:dyDescent="0.25">
      <c r="A352" t="s">
        <v>668</v>
      </c>
      <c r="B352" s="26">
        <v>46033</v>
      </c>
      <c r="C352">
        <v>1</v>
      </c>
      <c r="D352" t="s">
        <v>43</v>
      </c>
      <c r="E352" t="s">
        <v>317</v>
      </c>
      <c r="G352">
        <v>40</v>
      </c>
      <c r="H352" t="s">
        <v>204</v>
      </c>
      <c r="I352" t="s">
        <v>234</v>
      </c>
      <c r="J352" t="s">
        <v>228</v>
      </c>
      <c r="K352" s="27">
        <v>46071.387881944444</v>
      </c>
    </row>
    <row r="353" spans="1:11" x14ac:dyDescent="0.25">
      <c r="A353" t="s">
        <v>669</v>
      </c>
      <c r="B353" s="26">
        <v>46033</v>
      </c>
      <c r="C353">
        <v>1</v>
      </c>
      <c r="D353" t="s">
        <v>43</v>
      </c>
      <c r="E353" t="s">
        <v>317</v>
      </c>
      <c r="G353">
        <v>75</v>
      </c>
      <c r="H353" t="s">
        <v>204</v>
      </c>
      <c r="I353" t="s">
        <v>234</v>
      </c>
      <c r="J353" t="s">
        <v>228</v>
      </c>
      <c r="K353" s="27">
        <v>46071.38790509259</v>
      </c>
    </row>
    <row r="354" spans="1:11" x14ac:dyDescent="0.25">
      <c r="A354" t="s">
        <v>670</v>
      </c>
      <c r="B354" s="26">
        <v>46033</v>
      </c>
      <c r="C354">
        <v>1</v>
      </c>
      <c r="D354" t="s">
        <v>43</v>
      </c>
      <c r="E354" t="s">
        <v>317</v>
      </c>
      <c r="G354">
        <v>41</v>
      </c>
      <c r="H354" t="s">
        <v>204</v>
      </c>
      <c r="I354" t="s">
        <v>234</v>
      </c>
      <c r="J354" t="s">
        <v>228</v>
      </c>
      <c r="K354" s="27">
        <v>46071.387962962966</v>
      </c>
    </row>
    <row r="355" spans="1:11" x14ac:dyDescent="0.25">
      <c r="A355" t="s">
        <v>671</v>
      </c>
      <c r="B355" s="26">
        <v>46033</v>
      </c>
      <c r="C355">
        <v>1</v>
      </c>
      <c r="D355" t="s">
        <v>43</v>
      </c>
      <c r="E355" t="s">
        <v>317</v>
      </c>
      <c r="G355">
        <v>75</v>
      </c>
      <c r="H355" t="s">
        <v>204</v>
      </c>
      <c r="I355" t="s">
        <v>234</v>
      </c>
      <c r="J355" t="s">
        <v>228</v>
      </c>
      <c r="K355" s="27">
        <v>46071.387997685182</v>
      </c>
    </row>
    <row r="356" spans="1:11" x14ac:dyDescent="0.25">
      <c r="A356" t="s">
        <v>672</v>
      </c>
      <c r="B356" s="26">
        <v>46034</v>
      </c>
      <c r="C356">
        <v>1</v>
      </c>
      <c r="D356" t="s">
        <v>43</v>
      </c>
      <c r="E356" t="s">
        <v>317</v>
      </c>
      <c r="G356">
        <v>60</v>
      </c>
      <c r="H356" t="s">
        <v>204</v>
      </c>
      <c r="I356" t="s">
        <v>234</v>
      </c>
      <c r="J356" t="s">
        <v>228</v>
      </c>
      <c r="K356" s="27">
        <v>46071.388124999998</v>
      </c>
    </row>
    <row r="357" spans="1:11" x14ac:dyDescent="0.25">
      <c r="A357" t="s">
        <v>673</v>
      </c>
      <c r="B357" s="26">
        <v>46035</v>
      </c>
      <c r="C357">
        <v>1</v>
      </c>
      <c r="D357" t="s">
        <v>43</v>
      </c>
      <c r="E357" t="s">
        <v>317</v>
      </c>
      <c r="G357">
        <v>31</v>
      </c>
      <c r="H357" t="s">
        <v>204</v>
      </c>
      <c r="I357" t="s">
        <v>234</v>
      </c>
      <c r="J357" t="s">
        <v>228</v>
      </c>
      <c r="K357" s="27">
        <v>46071.388495370367</v>
      </c>
    </row>
    <row r="358" spans="1:11" x14ac:dyDescent="0.25">
      <c r="A358" t="s">
        <v>674</v>
      </c>
      <c r="B358" s="26">
        <v>46035</v>
      </c>
      <c r="C358">
        <v>1</v>
      </c>
      <c r="D358" t="s">
        <v>43</v>
      </c>
      <c r="E358" t="s">
        <v>317</v>
      </c>
      <c r="G358">
        <v>64</v>
      </c>
      <c r="H358" t="s">
        <v>204</v>
      </c>
      <c r="I358" t="s">
        <v>205</v>
      </c>
      <c r="J358" t="s">
        <v>228</v>
      </c>
      <c r="K358" s="27">
        <v>46071.38857638889</v>
      </c>
    </row>
    <row r="359" spans="1:11" x14ac:dyDescent="0.25">
      <c r="A359" t="s">
        <v>675</v>
      </c>
      <c r="B359" s="26">
        <v>46035</v>
      </c>
      <c r="C359">
        <v>1</v>
      </c>
      <c r="D359" t="s">
        <v>43</v>
      </c>
      <c r="E359" t="s">
        <v>317</v>
      </c>
      <c r="G359">
        <v>9</v>
      </c>
      <c r="H359" t="s">
        <v>204</v>
      </c>
      <c r="I359" t="s">
        <v>205</v>
      </c>
      <c r="J359" t="s">
        <v>228</v>
      </c>
      <c r="K359" s="27">
        <v>46071.388611111113</v>
      </c>
    </row>
    <row r="360" spans="1:11" x14ac:dyDescent="0.25">
      <c r="A360" t="s">
        <v>676</v>
      </c>
      <c r="B360" s="26">
        <v>46035</v>
      </c>
      <c r="C360">
        <v>1</v>
      </c>
      <c r="D360" t="s">
        <v>43</v>
      </c>
      <c r="E360" t="s">
        <v>317</v>
      </c>
      <c r="G360">
        <v>38</v>
      </c>
      <c r="H360" t="s">
        <v>204</v>
      </c>
      <c r="I360" t="s">
        <v>205</v>
      </c>
      <c r="J360" t="s">
        <v>228</v>
      </c>
      <c r="K360" s="27">
        <v>46071.388645833336</v>
      </c>
    </row>
    <row r="361" spans="1:11" x14ac:dyDescent="0.25">
      <c r="A361" t="s">
        <v>677</v>
      </c>
      <c r="B361" s="26">
        <v>46035</v>
      </c>
      <c r="C361">
        <v>1</v>
      </c>
      <c r="D361" t="s">
        <v>43</v>
      </c>
      <c r="E361" t="s">
        <v>317</v>
      </c>
      <c r="G361">
        <v>19</v>
      </c>
      <c r="H361" t="s">
        <v>204</v>
      </c>
      <c r="I361" t="s">
        <v>205</v>
      </c>
      <c r="J361" t="s">
        <v>228</v>
      </c>
      <c r="K361" s="27">
        <v>46071.388668981483</v>
      </c>
    </row>
    <row r="362" spans="1:11" x14ac:dyDescent="0.25">
      <c r="A362" t="s">
        <v>678</v>
      </c>
      <c r="B362" s="26">
        <v>46036</v>
      </c>
      <c r="C362">
        <v>1</v>
      </c>
      <c r="D362" t="s">
        <v>43</v>
      </c>
      <c r="E362" t="s">
        <v>317</v>
      </c>
      <c r="G362">
        <v>19</v>
      </c>
      <c r="H362" t="s">
        <v>204</v>
      </c>
      <c r="I362" t="s">
        <v>234</v>
      </c>
      <c r="J362" t="s">
        <v>228</v>
      </c>
      <c r="K362" s="27">
        <v>46071.388877314814</v>
      </c>
    </row>
    <row r="363" spans="1:11" x14ac:dyDescent="0.25">
      <c r="A363" t="s">
        <v>679</v>
      </c>
      <c r="B363" s="26">
        <v>46036</v>
      </c>
      <c r="C363">
        <v>1</v>
      </c>
      <c r="D363" t="s">
        <v>43</v>
      </c>
      <c r="E363" t="s">
        <v>317</v>
      </c>
      <c r="G363">
        <v>48</v>
      </c>
      <c r="H363" t="s">
        <v>204</v>
      </c>
      <c r="I363" t="s">
        <v>205</v>
      </c>
      <c r="J363" t="s">
        <v>228</v>
      </c>
      <c r="K363" s="27">
        <v>46071.388923611114</v>
      </c>
    </row>
    <row r="364" spans="1:11" x14ac:dyDescent="0.25">
      <c r="A364" t="s">
        <v>680</v>
      </c>
      <c r="B364" s="26">
        <v>46036</v>
      </c>
      <c r="C364">
        <v>1</v>
      </c>
      <c r="D364" t="s">
        <v>43</v>
      </c>
      <c r="E364" t="s">
        <v>317</v>
      </c>
      <c r="G364">
        <v>8</v>
      </c>
      <c r="H364" t="s">
        <v>204</v>
      </c>
      <c r="I364" t="s">
        <v>234</v>
      </c>
      <c r="J364" t="s">
        <v>228</v>
      </c>
      <c r="K364" s="27">
        <v>46071.388981481483</v>
      </c>
    </row>
    <row r="365" spans="1:11" x14ac:dyDescent="0.25">
      <c r="A365" t="s">
        <v>681</v>
      </c>
      <c r="B365" s="26">
        <v>46036</v>
      </c>
      <c r="C365">
        <v>1</v>
      </c>
      <c r="D365" t="s">
        <v>43</v>
      </c>
      <c r="E365" t="s">
        <v>317</v>
      </c>
      <c r="G365">
        <v>88</v>
      </c>
      <c r="H365" t="s">
        <v>204</v>
      </c>
      <c r="I365" t="s">
        <v>234</v>
      </c>
      <c r="J365" t="s">
        <v>228</v>
      </c>
      <c r="K365" s="27">
        <v>46071.389016203706</v>
      </c>
    </row>
    <row r="366" spans="1:11" x14ac:dyDescent="0.25">
      <c r="A366" t="s">
        <v>682</v>
      </c>
      <c r="B366" s="26">
        <v>46036</v>
      </c>
      <c r="C366">
        <v>1</v>
      </c>
      <c r="D366" t="s">
        <v>43</v>
      </c>
      <c r="E366" t="s">
        <v>317</v>
      </c>
      <c r="G366">
        <v>47</v>
      </c>
      <c r="H366" t="s">
        <v>204</v>
      </c>
      <c r="I366" t="s">
        <v>234</v>
      </c>
      <c r="J366" t="s">
        <v>228</v>
      </c>
      <c r="K366" s="27">
        <v>46071.389027777775</v>
      </c>
    </row>
    <row r="367" spans="1:11" x14ac:dyDescent="0.25">
      <c r="A367" t="s">
        <v>683</v>
      </c>
      <c r="B367" s="26">
        <v>46036</v>
      </c>
      <c r="C367">
        <v>1</v>
      </c>
      <c r="D367" t="s">
        <v>43</v>
      </c>
      <c r="E367" t="s">
        <v>317</v>
      </c>
      <c r="G367">
        <v>5</v>
      </c>
      <c r="H367" t="s">
        <v>204</v>
      </c>
      <c r="I367" t="s">
        <v>205</v>
      </c>
      <c r="J367" t="s">
        <v>228</v>
      </c>
      <c r="K367" s="27">
        <v>46071.389097222222</v>
      </c>
    </row>
    <row r="368" spans="1:11" x14ac:dyDescent="0.25">
      <c r="A368" t="s">
        <v>684</v>
      </c>
      <c r="B368" s="26">
        <v>46036</v>
      </c>
      <c r="C368">
        <v>1</v>
      </c>
      <c r="D368" t="s">
        <v>43</v>
      </c>
      <c r="E368" t="s">
        <v>317</v>
      </c>
      <c r="G368">
        <v>23</v>
      </c>
      <c r="H368" t="s">
        <v>204</v>
      </c>
      <c r="I368" t="s">
        <v>234</v>
      </c>
      <c r="J368" t="s">
        <v>228</v>
      </c>
      <c r="K368" s="27">
        <v>46071.389618055553</v>
      </c>
    </row>
    <row r="369" spans="1:11" x14ac:dyDescent="0.25">
      <c r="A369" t="s">
        <v>685</v>
      </c>
      <c r="B369" s="26">
        <v>46036</v>
      </c>
      <c r="C369">
        <v>1</v>
      </c>
      <c r="D369" t="s">
        <v>43</v>
      </c>
      <c r="E369" t="s">
        <v>317</v>
      </c>
      <c r="G369">
        <v>23</v>
      </c>
      <c r="H369" t="s">
        <v>204</v>
      </c>
      <c r="I369" t="s">
        <v>234</v>
      </c>
      <c r="J369" t="s">
        <v>228</v>
      </c>
      <c r="K369" s="27">
        <v>46071.38962962963</v>
      </c>
    </row>
    <row r="370" spans="1:11" x14ac:dyDescent="0.25">
      <c r="A370" t="s">
        <v>686</v>
      </c>
      <c r="B370" s="26">
        <v>46037</v>
      </c>
      <c r="C370">
        <v>1</v>
      </c>
      <c r="D370" t="s">
        <v>43</v>
      </c>
      <c r="E370" t="s">
        <v>317</v>
      </c>
      <c r="G370">
        <v>86</v>
      </c>
      <c r="H370" t="s">
        <v>204</v>
      </c>
      <c r="I370" t="s">
        <v>234</v>
      </c>
      <c r="J370" t="s">
        <v>228</v>
      </c>
      <c r="K370" s="27">
        <v>46071.389791666668</v>
      </c>
    </row>
    <row r="371" spans="1:11" x14ac:dyDescent="0.25">
      <c r="A371" t="s">
        <v>687</v>
      </c>
      <c r="B371" s="26">
        <v>46037</v>
      </c>
      <c r="C371">
        <v>1</v>
      </c>
      <c r="D371" t="s">
        <v>43</v>
      </c>
      <c r="E371" t="s">
        <v>317</v>
      </c>
      <c r="G371">
        <v>58</v>
      </c>
      <c r="H371" t="s">
        <v>204</v>
      </c>
      <c r="I371" t="s">
        <v>205</v>
      </c>
      <c r="J371" t="s">
        <v>228</v>
      </c>
      <c r="K371" s="27">
        <v>46071.389884259261</v>
      </c>
    </row>
    <row r="372" spans="1:11" x14ac:dyDescent="0.25">
      <c r="A372" t="s">
        <v>688</v>
      </c>
      <c r="B372" s="26">
        <v>46037</v>
      </c>
      <c r="C372">
        <v>1</v>
      </c>
      <c r="D372" t="s">
        <v>43</v>
      </c>
      <c r="E372" t="s">
        <v>317</v>
      </c>
      <c r="G372">
        <v>14</v>
      </c>
      <c r="H372" t="s">
        <v>204</v>
      </c>
      <c r="I372" t="s">
        <v>205</v>
      </c>
      <c r="J372" t="s">
        <v>228</v>
      </c>
      <c r="K372" s="27">
        <v>46071.389918981484</v>
      </c>
    </row>
    <row r="373" spans="1:11" x14ac:dyDescent="0.25">
      <c r="A373" t="s">
        <v>689</v>
      </c>
      <c r="B373" s="26">
        <v>46037</v>
      </c>
      <c r="C373">
        <v>1</v>
      </c>
      <c r="D373" t="s">
        <v>43</v>
      </c>
      <c r="E373" t="s">
        <v>317</v>
      </c>
      <c r="G373">
        <v>73</v>
      </c>
      <c r="H373" t="s">
        <v>204</v>
      </c>
      <c r="I373" t="s">
        <v>205</v>
      </c>
      <c r="J373" t="s">
        <v>228</v>
      </c>
      <c r="K373" s="27">
        <v>46071.38994212963</v>
      </c>
    </row>
    <row r="374" spans="1:11" x14ac:dyDescent="0.25">
      <c r="A374" t="s">
        <v>690</v>
      </c>
      <c r="B374" s="26">
        <v>46038</v>
      </c>
      <c r="C374">
        <v>1</v>
      </c>
      <c r="D374" t="s">
        <v>43</v>
      </c>
      <c r="E374" t="s">
        <v>317</v>
      </c>
      <c r="G374">
        <v>60</v>
      </c>
      <c r="H374" t="s">
        <v>204</v>
      </c>
      <c r="I374" t="s">
        <v>205</v>
      </c>
      <c r="J374" t="s">
        <v>228</v>
      </c>
      <c r="K374" s="27">
        <v>46071.390034722222</v>
      </c>
    </row>
    <row r="375" spans="1:11" x14ac:dyDescent="0.25">
      <c r="A375" t="s">
        <v>691</v>
      </c>
      <c r="B375" s="26">
        <v>46038</v>
      </c>
      <c r="C375">
        <v>1</v>
      </c>
      <c r="D375" t="s">
        <v>43</v>
      </c>
      <c r="E375" t="s">
        <v>317</v>
      </c>
      <c r="G375">
        <v>72</v>
      </c>
      <c r="H375" t="s">
        <v>204</v>
      </c>
      <c r="I375" t="s">
        <v>234</v>
      </c>
      <c r="J375" t="s">
        <v>228</v>
      </c>
      <c r="K375" s="27">
        <v>46071.390162037038</v>
      </c>
    </row>
    <row r="376" spans="1:11" x14ac:dyDescent="0.25">
      <c r="A376" t="s">
        <v>692</v>
      </c>
      <c r="B376" s="26">
        <v>46038</v>
      </c>
      <c r="C376">
        <v>1</v>
      </c>
      <c r="D376" t="s">
        <v>43</v>
      </c>
      <c r="E376" t="s">
        <v>317</v>
      </c>
      <c r="G376">
        <v>63</v>
      </c>
      <c r="H376" t="s">
        <v>204</v>
      </c>
      <c r="I376" t="s">
        <v>234</v>
      </c>
      <c r="J376" t="s">
        <v>228</v>
      </c>
      <c r="K376" s="27">
        <v>46071.390162037038</v>
      </c>
    </row>
    <row r="377" spans="1:11" x14ac:dyDescent="0.25">
      <c r="A377" t="s">
        <v>693</v>
      </c>
      <c r="B377" s="26">
        <v>46038</v>
      </c>
      <c r="C377">
        <v>1</v>
      </c>
      <c r="D377" t="s">
        <v>43</v>
      </c>
      <c r="E377" t="s">
        <v>317</v>
      </c>
      <c r="G377">
        <v>70</v>
      </c>
      <c r="H377" t="s">
        <v>204</v>
      </c>
      <c r="I377" t="s">
        <v>234</v>
      </c>
      <c r="J377" t="s">
        <v>228</v>
      </c>
      <c r="K377" s="27">
        <v>46071.390196759261</v>
      </c>
    </row>
    <row r="378" spans="1:11" x14ac:dyDescent="0.25">
      <c r="A378" t="s">
        <v>694</v>
      </c>
      <c r="B378" s="26">
        <v>46038</v>
      </c>
      <c r="C378">
        <v>1</v>
      </c>
      <c r="D378" t="s">
        <v>43</v>
      </c>
      <c r="E378" t="s">
        <v>317</v>
      </c>
      <c r="G378">
        <v>32</v>
      </c>
      <c r="H378" t="s">
        <v>204</v>
      </c>
      <c r="I378" t="s">
        <v>234</v>
      </c>
      <c r="J378" t="s">
        <v>228</v>
      </c>
      <c r="K378" s="27">
        <v>46071.390219907407</v>
      </c>
    </row>
    <row r="379" spans="1:11" x14ac:dyDescent="0.25">
      <c r="A379" t="s">
        <v>695</v>
      </c>
      <c r="B379" s="26">
        <v>46038</v>
      </c>
      <c r="C379">
        <v>1</v>
      </c>
      <c r="D379" t="s">
        <v>43</v>
      </c>
      <c r="E379" t="s">
        <v>317</v>
      </c>
      <c r="G379">
        <v>73</v>
      </c>
      <c r="H379" t="s">
        <v>204</v>
      </c>
      <c r="I379" t="s">
        <v>234</v>
      </c>
      <c r="J379" t="s">
        <v>228</v>
      </c>
      <c r="K379" s="27">
        <v>46071.390243055554</v>
      </c>
    </row>
    <row r="380" spans="1:11" x14ac:dyDescent="0.25">
      <c r="A380" t="s">
        <v>696</v>
      </c>
      <c r="B380" s="26">
        <v>46038</v>
      </c>
      <c r="C380">
        <v>1</v>
      </c>
      <c r="D380" t="s">
        <v>43</v>
      </c>
      <c r="E380" t="s">
        <v>317</v>
      </c>
      <c r="G380">
        <v>25</v>
      </c>
      <c r="H380" t="s">
        <v>204</v>
      </c>
      <c r="I380" t="s">
        <v>234</v>
      </c>
      <c r="J380" t="s">
        <v>228</v>
      </c>
      <c r="K380" s="27">
        <v>46071.390266203707</v>
      </c>
    </row>
    <row r="381" spans="1:11" x14ac:dyDescent="0.25">
      <c r="A381" t="s">
        <v>697</v>
      </c>
      <c r="B381" s="26">
        <v>46039</v>
      </c>
      <c r="C381">
        <v>1</v>
      </c>
      <c r="D381" t="s">
        <v>43</v>
      </c>
      <c r="E381" t="s">
        <v>317</v>
      </c>
      <c r="G381">
        <v>86</v>
      </c>
      <c r="H381" t="s">
        <v>204</v>
      </c>
      <c r="I381" t="s">
        <v>234</v>
      </c>
      <c r="J381" t="s">
        <v>228</v>
      </c>
      <c r="K381" s="27">
        <v>46071.390520833331</v>
      </c>
    </row>
    <row r="382" spans="1:11" x14ac:dyDescent="0.25">
      <c r="A382" t="s">
        <v>698</v>
      </c>
      <c r="B382" s="26">
        <v>46039</v>
      </c>
      <c r="C382">
        <v>1</v>
      </c>
      <c r="D382" t="s">
        <v>43</v>
      </c>
      <c r="E382" t="s">
        <v>317</v>
      </c>
      <c r="G382">
        <v>52</v>
      </c>
      <c r="H382" t="s">
        <v>204</v>
      </c>
      <c r="I382" t="s">
        <v>234</v>
      </c>
      <c r="J382" t="s">
        <v>228</v>
      </c>
      <c r="K382" s="27">
        <v>46071.390543981484</v>
      </c>
    </row>
    <row r="383" spans="1:11" x14ac:dyDescent="0.25">
      <c r="A383" t="s">
        <v>699</v>
      </c>
      <c r="B383" s="26">
        <v>46039</v>
      </c>
      <c r="C383">
        <v>1</v>
      </c>
      <c r="D383" t="s">
        <v>43</v>
      </c>
      <c r="E383" t="s">
        <v>317</v>
      </c>
      <c r="G383">
        <v>2</v>
      </c>
      <c r="H383" t="s">
        <v>204</v>
      </c>
      <c r="I383" t="s">
        <v>234</v>
      </c>
      <c r="J383" t="s">
        <v>228</v>
      </c>
      <c r="K383" s="27">
        <v>46071.390601851854</v>
      </c>
    </row>
    <row r="384" spans="1:11" x14ac:dyDescent="0.25">
      <c r="A384" t="s">
        <v>700</v>
      </c>
      <c r="B384" s="26">
        <v>46039</v>
      </c>
      <c r="C384">
        <v>1</v>
      </c>
      <c r="D384" t="s">
        <v>43</v>
      </c>
      <c r="E384" t="s">
        <v>317</v>
      </c>
      <c r="G384">
        <v>16</v>
      </c>
      <c r="H384" t="s">
        <v>204</v>
      </c>
      <c r="I384" t="s">
        <v>234</v>
      </c>
      <c r="J384" t="s">
        <v>228</v>
      </c>
      <c r="K384" s="27">
        <v>46071.3906712963</v>
      </c>
    </row>
    <row r="385" spans="1:11" x14ac:dyDescent="0.25">
      <c r="A385" t="s">
        <v>701</v>
      </c>
      <c r="B385" s="26">
        <v>46039</v>
      </c>
      <c r="C385">
        <v>1</v>
      </c>
      <c r="D385" t="s">
        <v>43</v>
      </c>
      <c r="E385" t="s">
        <v>317</v>
      </c>
      <c r="G385">
        <v>17</v>
      </c>
      <c r="H385" t="s">
        <v>204</v>
      </c>
      <c r="I385" t="s">
        <v>234</v>
      </c>
      <c r="J385" t="s">
        <v>228</v>
      </c>
      <c r="K385" s="27">
        <v>46071.390694444446</v>
      </c>
    </row>
    <row r="386" spans="1:11" x14ac:dyDescent="0.25">
      <c r="A386" t="s">
        <v>702</v>
      </c>
      <c r="B386" s="26">
        <v>46039</v>
      </c>
      <c r="C386">
        <v>1</v>
      </c>
      <c r="D386" t="s">
        <v>43</v>
      </c>
      <c r="E386" t="s">
        <v>317</v>
      </c>
      <c r="G386">
        <v>93</v>
      </c>
      <c r="H386" t="s">
        <v>204</v>
      </c>
      <c r="I386" t="s">
        <v>205</v>
      </c>
      <c r="J386" t="s">
        <v>228</v>
      </c>
      <c r="K386" s="27">
        <v>46071.390960648147</v>
      </c>
    </row>
    <row r="387" spans="1:11" x14ac:dyDescent="0.25">
      <c r="A387" t="s">
        <v>703</v>
      </c>
      <c r="B387" s="26">
        <v>46040</v>
      </c>
      <c r="C387">
        <v>1</v>
      </c>
      <c r="D387" t="s">
        <v>43</v>
      </c>
      <c r="E387" t="s">
        <v>317</v>
      </c>
      <c r="G387">
        <v>90</v>
      </c>
      <c r="H387" t="s">
        <v>204</v>
      </c>
      <c r="I387" t="s">
        <v>205</v>
      </c>
      <c r="J387" t="s">
        <v>228</v>
      </c>
      <c r="K387" s="27">
        <v>46071.391805555555</v>
      </c>
    </row>
    <row r="388" spans="1:11" x14ac:dyDescent="0.25">
      <c r="A388" t="s">
        <v>704</v>
      </c>
      <c r="B388" s="26">
        <v>46040</v>
      </c>
      <c r="C388">
        <v>1</v>
      </c>
      <c r="D388" t="s">
        <v>43</v>
      </c>
      <c r="E388" t="s">
        <v>317</v>
      </c>
      <c r="G388">
        <v>66</v>
      </c>
      <c r="H388" t="s">
        <v>204</v>
      </c>
      <c r="I388" t="s">
        <v>205</v>
      </c>
      <c r="J388" t="s">
        <v>228</v>
      </c>
      <c r="K388" s="27">
        <v>46071.392407407409</v>
      </c>
    </row>
    <row r="389" spans="1:11" x14ac:dyDescent="0.25">
      <c r="A389" t="s">
        <v>705</v>
      </c>
      <c r="B389" s="26">
        <v>46040</v>
      </c>
      <c r="C389">
        <v>1</v>
      </c>
      <c r="D389" t="s">
        <v>43</v>
      </c>
      <c r="E389" t="s">
        <v>317</v>
      </c>
      <c r="G389">
        <v>90</v>
      </c>
      <c r="H389" t="s">
        <v>204</v>
      </c>
      <c r="I389" t="s">
        <v>205</v>
      </c>
      <c r="J389" t="s">
        <v>228</v>
      </c>
      <c r="K389" s="27">
        <v>46071.392488425925</v>
      </c>
    </row>
    <row r="390" spans="1:11" x14ac:dyDescent="0.25">
      <c r="A390" t="s">
        <v>706</v>
      </c>
      <c r="B390" s="26">
        <v>46040</v>
      </c>
      <c r="C390">
        <v>1</v>
      </c>
      <c r="D390" t="s">
        <v>43</v>
      </c>
      <c r="E390" t="s">
        <v>317</v>
      </c>
      <c r="G390">
        <v>68</v>
      </c>
      <c r="H390" t="s">
        <v>204</v>
      </c>
      <c r="I390" t="s">
        <v>205</v>
      </c>
      <c r="J390" t="s">
        <v>228</v>
      </c>
      <c r="K390" s="27">
        <v>46071.392523148148</v>
      </c>
    </row>
    <row r="391" spans="1:11" x14ac:dyDescent="0.25">
      <c r="A391" t="s">
        <v>707</v>
      </c>
      <c r="B391" s="26">
        <v>46041</v>
      </c>
      <c r="C391">
        <v>1</v>
      </c>
      <c r="D391" t="s">
        <v>43</v>
      </c>
      <c r="E391" t="s">
        <v>317</v>
      </c>
      <c r="G391">
        <v>81</v>
      </c>
      <c r="H391" t="s">
        <v>204</v>
      </c>
      <c r="I391" t="s">
        <v>205</v>
      </c>
      <c r="J391" t="s">
        <v>228</v>
      </c>
      <c r="K391" s="27">
        <v>46071.392893518518</v>
      </c>
    </row>
    <row r="392" spans="1:11" x14ac:dyDescent="0.25">
      <c r="A392" t="s">
        <v>708</v>
      </c>
      <c r="B392" s="26">
        <v>46041</v>
      </c>
      <c r="C392">
        <v>1</v>
      </c>
      <c r="D392" t="s">
        <v>43</v>
      </c>
      <c r="E392" t="s">
        <v>317</v>
      </c>
      <c r="G392">
        <v>60</v>
      </c>
      <c r="H392" t="s">
        <v>204</v>
      </c>
      <c r="I392" t="s">
        <v>234</v>
      </c>
      <c r="J392" t="s">
        <v>228</v>
      </c>
      <c r="K392" s="27">
        <v>46071.393136574072</v>
      </c>
    </row>
    <row r="393" spans="1:11" x14ac:dyDescent="0.25">
      <c r="A393" t="s">
        <v>709</v>
      </c>
      <c r="B393" s="26">
        <v>46041</v>
      </c>
      <c r="C393">
        <v>1</v>
      </c>
      <c r="D393" t="s">
        <v>43</v>
      </c>
      <c r="E393" t="s">
        <v>317</v>
      </c>
      <c r="G393">
        <v>60</v>
      </c>
      <c r="H393" t="s">
        <v>204</v>
      </c>
      <c r="I393" t="s">
        <v>234</v>
      </c>
      <c r="J393" t="s">
        <v>228</v>
      </c>
      <c r="K393" s="27">
        <v>46071.393148148149</v>
      </c>
    </row>
    <row r="394" spans="1:11" x14ac:dyDescent="0.25">
      <c r="A394" t="s">
        <v>710</v>
      </c>
      <c r="B394" s="26">
        <v>46042</v>
      </c>
      <c r="C394">
        <v>1</v>
      </c>
      <c r="D394" t="s">
        <v>43</v>
      </c>
      <c r="E394" t="s">
        <v>317</v>
      </c>
      <c r="G394">
        <v>25</v>
      </c>
      <c r="H394" t="s">
        <v>204</v>
      </c>
      <c r="I394" t="s">
        <v>234</v>
      </c>
      <c r="J394" t="s">
        <v>228</v>
      </c>
      <c r="K394" s="27">
        <v>46071.393449074072</v>
      </c>
    </row>
    <row r="395" spans="1:11" x14ac:dyDescent="0.25">
      <c r="A395" t="s">
        <v>711</v>
      </c>
      <c r="B395" s="26">
        <v>46042</v>
      </c>
      <c r="C395">
        <v>1</v>
      </c>
      <c r="D395" t="s">
        <v>43</v>
      </c>
      <c r="E395" t="s">
        <v>317</v>
      </c>
      <c r="G395">
        <v>26</v>
      </c>
      <c r="H395" t="s">
        <v>204</v>
      </c>
      <c r="I395" t="s">
        <v>234</v>
      </c>
      <c r="J395" t="s">
        <v>228</v>
      </c>
      <c r="K395" s="27">
        <v>46071.393460648149</v>
      </c>
    </row>
    <row r="396" spans="1:11" x14ac:dyDescent="0.25">
      <c r="A396" t="s">
        <v>712</v>
      </c>
      <c r="B396" s="26">
        <v>46042</v>
      </c>
      <c r="C396">
        <v>1</v>
      </c>
      <c r="D396" t="s">
        <v>43</v>
      </c>
      <c r="E396" t="s">
        <v>317</v>
      </c>
      <c r="G396">
        <v>74</v>
      </c>
      <c r="H396" t="s">
        <v>204</v>
      </c>
      <c r="I396" t="s">
        <v>234</v>
      </c>
      <c r="J396" t="s">
        <v>228</v>
      </c>
      <c r="K396" s="27">
        <v>46071.393483796295</v>
      </c>
    </row>
    <row r="397" spans="1:11" x14ac:dyDescent="0.25">
      <c r="A397" t="s">
        <v>713</v>
      </c>
      <c r="B397" s="26">
        <v>46042</v>
      </c>
      <c r="C397">
        <v>1</v>
      </c>
      <c r="D397" t="s">
        <v>43</v>
      </c>
      <c r="E397" t="s">
        <v>317</v>
      </c>
      <c r="G397">
        <v>73</v>
      </c>
      <c r="H397" t="s">
        <v>204</v>
      </c>
      <c r="I397" t="s">
        <v>234</v>
      </c>
      <c r="J397" t="s">
        <v>228</v>
      </c>
      <c r="K397" s="27">
        <v>46071.393576388888</v>
      </c>
    </row>
    <row r="398" spans="1:11" x14ac:dyDescent="0.25">
      <c r="A398" t="s">
        <v>714</v>
      </c>
      <c r="B398" s="26">
        <v>46042</v>
      </c>
      <c r="C398">
        <v>1</v>
      </c>
      <c r="D398" t="s">
        <v>43</v>
      </c>
      <c r="E398" t="s">
        <v>317</v>
      </c>
      <c r="G398">
        <v>30</v>
      </c>
      <c r="H398" t="s">
        <v>204</v>
      </c>
      <c r="I398" t="s">
        <v>234</v>
      </c>
      <c r="J398" t="s">
        <v>228</v>
      </c>
      <c r="K398" s="27">
        <v>46071.393599537034</v>
      </c>
    </row>
    <row r="399" spans="1:11" x14ac:dyDescent="0.25">
      <c r="A399" t="s">
        <v>715</v>
      </c>
      <c r="B399" s="26">
        <v>46042</v>
      </c>
      <c r="C399">
        <v>1</v>
      </c>
      <c r="D399" t="s">
        <v>43</v>
      </c>
      <c r="E399" t="s">
        <v>317</v>
      </c>
      <c r="G399">
        <v>70</v>
      </c>
      <c r="H399" t="s">
        <v>204</v>
      </c>
      <c r="I399" t="s">
        <v>234</v>
      </c>
      <c r="J399" t="s">
        <v>228</v>
      </c>
      <c r="K399" s="27">
        <v>46071.393645833334</v>
      </c>
    </row>
    <row r="400" spans="1:11" x14ac:dyDescent="0.25">
      <c r="A400" t="s">
        <v>716</v>
      </c>
      <c r="B400" s="26">
        <v>46042</v>
      </c>
      <c r="C400">
        <v>1</v>
      </c>
      <c r="D400" t="s">
        <v>43</v>
      </c>
      <c r="E400" t="s">
        <v>317</v>
      </c>
      <c r="G400">
        <v>29</v>
      </c>
      <c r="H400" t="s">
        <v>204</v>
      </c>
      <c r="I400" t="s">
        <v>234</v>
      </c>
      <c r="J400" t="s">
        <v>228</v>
      </c>
      <c r="K400" s="27">
        <v>46071.39366898148</v>
      </c>
    </row>
    <row r="401" spans="1:11" x14ac:dyDescent="0.25">
      <c r="A401" t="s">
        <v>717</v>
      </c>
      <c r="B401" s="26">
        <v>46042</v>
      </c>
      <c r="C401">
        <v>1</v>
      </c>
      <c r="D401" t="s">
        <v>43</v>
      </c>
      <c r="E401" t="s">
        <v>317</v>
      </c>
      <c r="G401">
        <v>77</v>
      </c>
      <c r="H401" t="s">
        <v>204</v>
      </c>
      <c r="I401" t="s">
        <v>205</v>
      </c>
      <c r="J401" t="s">
        <v>228</v>
      </c>
      <c r="K401" s="27">
        <v>46071.393854166665</v>
      </c>
    </row>
    <row r="402" spans="1:11" x14ac:dyDescent="0.25">
      <c r="A402" t="s">
        <v>718</v>
      </c>
      <c r="B402" s="26">
        <v>46043</v>
      </c>
      <c r="C402">
        <v>1</v>
      </c>
      <c r="D402" t="s">
        <v>43</v>
      </c>
      <c r="E402" t="s">
        <v>317</v>
      </c>
      <c r="G402">
        <v>73</v>
      </c>
      <c r="H402" t="s">
        <v>204</v>
      </c>
      <c r="I402" t="s">
        <v>205</v>
      </c>
      <c r="J402" t="s">
        <v>228</v>
      </c>
      <c r="K402" s="27">
        <v>46071.39402777778</v>
      </c>
    </row>
    <row r="403" spans="1:11" x14ac:dyDescent="0.25">
      <c r="A403" t="s">
        <v>719</v>
      </c>
      <c r="B403" s="26">
        <v>46043</v>
      </c>
      <c r="C403">
        <v>1</v>
      </c>
      <c r="D403" t="s">
        <v>43</v>
      </c>
      <c r="E403" t="s">
        <v>317</v>
      </c>
      <c r="G403">
        <v>56</v>
      </c>
      <c r="H403" t="s">
        <v>204</v>
      </c>
      <c r="I403" t="s">
        <v>234</v>
      </c>
      <c r="J403" t="s">
        <v>228</v>
      </c>
      <c r="K403" s="27">
        <v>46071.394108796296</v>
      </c>
    </row>
    <row r="404" spans="1:11" x14ac:dyDescent="0.25">
      <c r="A404" t="s">
        <v>720</v>
      </c>
      <c r="B404" s="26">
        <v>46044</v>
      </c>
      <c r="C404">
        <v>1</v>
      </c>
      <c r="D404" t="s">
        <v>43</v>
      </c>
      <c r="E404" t="s">
        <v>317</v>
      </c>
      <c r="G404">
        <v>27</v>
      </c>
      <c r="H404" t="s">
        <v>204</v>
      </c>
      <c r="I404" t="s">
        <v>234</v>
      </c>
      <c r="J404" t="s">
        <v>228</v>
      </c>
      <c r="K404" s="27">
        <v>46071.394259259258</v>
      </c>
    </row>
    <row r="405" spans="1:11" x14ac:dyDescent="0.25">
      <c r="A405" t="s">
        <v>721</v>
      </c>
      <c r="B405" s="26">
        <v>46044</v>
      </c>
      <c r="C405">
        <v>1</v>
      </c>
      <c r="D405" t="s">
        <v>43</v>
      </c>
      <c r="E405" t="s">
        <v>317</v>
      </c>
      <c r="G405">
        <v>70</v>
      </c>
      <c r="H405" t="s">
        <v>204</v>
      </c>
      <c r="I405" t="s">
        <v>234</v>
      </c>
      <c r="J405" t="s">
        <v>228</v>
      </c>
      <c r="K405" s="27">
        <v>46071.394293981481</v>
      </c>
    </row>
    <row r="406" spans="1:11" x14ac:dyDescent="0.25">
      <c r="A406" t="s">
        <v>722</v>
      </c>
      <c r="B406" s="26">
        <v>46044</v>
      </c>
      <c r="C406">
        <v>1</v>
      </c>
      <c r="D406" t="s">
        <v>43</v>
      </c>
      <c r="E406" t="s">
        <v>317</v>
      </c>
      <c r="G406">
        <v>42</v>
      </c>
      <c r="H406" t="s">
        <v>204</v>
      </c>
      <c r="I406" t="s">
        <v>234</v>
      </c>
      <c r="J406" t="s">
        <v>228</v>
      </c>
      <c r="K406" s="27">
        <v>46071.394317129627</v>
      </c>
    </row>
    <row r="407" spans="1:11" x14ac:dyDescent="0.25">
      <c r="A407" t="s">
        <v>723</v>
      </c>
      <c r="B407" s="26">
        <v>46044</v>
      </c>
      <c r="C407">
        <v>1</v>
      </c>
      <c r="D407" t="s">
        <v>43</v>
      </c>
      <c r="E407" t="s">
        <v>317</v>
      </c>
      <c r="G407">
        <v>73</v>
      </c>
      <c r="H407" t="s">
        <v>204</v>
      </c>
      <c r="I407" t="s">
        <v>234</v>
      </c>
      <c r="J407" t="s">
        <v>228</v>
      </c>
      <c r="K407" s="27">
        <v>46071.39435185185</v>
      </c>
    </row>
    <row r="408" spans="1:11" x14ac:dyDescent="0.25">
      <c r="A408" t="s">
        <v>724</v>
      </c>
      <c r="B408" s="26">
        <v>46044</v>
      </c>
      <c r="C408">
        <v>1</v>
      </c>
      <c r="D408" t="s">
        <v>43</v>
      </c>
      <c r="E408" t="s">
        <v>317</v>
      </c>
      <c r="G408">
        <v>78</v>
      </c>
      <c r="H408" t="s">
        <v>204</v>
      </c>
      <c r="I408" t="s">
        <v>234</v>
      </c>
      <c r="J408" t="s">
        <v>228</v>
      </c>
      <c r="K408" s="27">
        <v>46071.394375000003</v>
      </c>
    </row>
    <row r="409" spans="1:11" x14ac:dyDescent="0.25">
      <c r="A409" t="s">
        <v>725</v>
      </c>
      <c r="B409" s="26">
        <v>46044</v>
      </c>
      <c r="C409">
        <v>1</v>
      </c>
      <c r="D409" t="s">
        <v>43</v>
      </c>
      <c r="E409" t="s">
        <v>317</v>
      </c>
      <c r="G409">
        <v>56</v>
      </c>
      <c r="H409" t="s">
        <v>204</v>
      </c>
      <c r="I409" t="s">
        <v>205</v>
      </c>
      <c r="J409" t="s">
        <v>228</v>
      </c>
      <c r="K409" s="27">
        <v>46071.394525462965</v>
      </c>
    </row>
    <row r="410" spans="1:11" x14ac:dyDescent="0.25">
      <c r="A410" t="s">
        <v>726</v>
      </c>
      <c r="B410" s="26">
        <v>46044</v>
      </c>
      <c r="C410">
        <v>1</v>
      </c>
      <c r="D410" t="s">
        <v>43</v>
      </c>
      <c r="E410" t="s">
        <v>317</v>
      </c>
      <c r="G410">
        <v>16</v>
      </c>
      <c r="H410" t="s">
        <v>204</v>
      </c>
      <c r="I410" t="s">
        <v>205</v>
      </c>
      <c r="J410" t="s">
        <v>228</v>
      </c>
      <c r="K410" s="27">
        <v>46071.394537037035</v>
      </c>
    </row>
    <row r="411" spans="1:11" x14ac:dyDescent="0.25">
      <c r="A411" t="s">
        <v>727</v>
      </c>
      <c r="B411" s="26">
        <v>46045</v>
      </c>
      <c r="C411">
        <v>1</v>
      </c>
      <c r="D411" t="s">
        <v>43</v>
      </c>
      <c r="E411" t="s">
        <v>317</v>
      </c>
      <c r="G411">
        <v>60</v>
      </c>
      <c r="H411" t="s">
        <v>204</v>
      </c>
      <c r="I411" t="s">
        <v>205</v>
      </c>
      <c r="J411" t="s">
        <v>228</v>
      </c>
      <c r="K411" s="27">
        <v>46071.394780092596</v>
      </c>
    </row>
    <row r="412" spans="1:11" x14ac:dyDescent="0.25">
      <c r="A412" t="s">
        <v>728</v>
      </c>
      <c r="B412" s="26">
        <v>46045</v>
      </c>
      <c r="C412">
        <v>1</v>
      </c>
      <c r="D412" t="s">
        <v>43</v>
      </c>
      <c r="E412" t="s">
        <v>317</v>
      </c>
      <c r="G412">
        <v>29</v>
      </c>
      <c r="H412" t="s">
        <v>204</v>
      </c>
      <c r="I412" t="s">
        <v>234</v>
      </c>
      <c r="J412" t="s">
        <v>228</v>
      </c>
      <c r="K412" s="27">
        <v>46071.395370370374</v>
      </c>
    </row>
    <row r="413" spans="1:11" x14ac:dyDescent="0.25">
      <c r="A413" t="s">
        <v>729</v>
      </c>
      <c r="B413" s="26">
        <v>46045</v>
      </c>
      <c r="C413">
        <v>1</v>
      </c>
      <c r="D413" t="s">
        <v>43</v>
      </c>
      <c r="E413" t="s">
        <v>317</v>
      </c>
      <c r="G413">
        <v>31</v>
      </c>
      <c r="H413" t="s">
        <v>204</v>
      </c>
      <c r="I413" t="s">
        <v>234</v>
      </c>
      <c r="J413" t="s">
        <v>228</v>
      </c>
      <c r="K413" s="27">
        <v>46071.394918981481</v>
      </c>
    </row>
    <row r="414" spans="1:11" x14ac:dyDescent="0.25">
      <c r="A414" t="s">
        <v>730</v>
      </c>
      <c r="B414" s="26">
        <v>46045</v>
      </c>
      <c r="C414">
        <v>1</v>
      </c>
      <c r="D414" t="s">
        <v>43</v>
      </c>
      <c r="E414" t="s">
        <v>317</v>
      </c>
      <c r="G414">
        <v>56</v>
      </c>
      <c r="H414" t="s">
        <v>204</v>
      </c>
      <c r="I414" t="s">
        <v>234</v>
      </c>
      <c r="J414" t="s">
        <v>228</v>
      </c>
      <c r="K414" s="27">
        <v>46071.394930555558</v>
      </c>
    </row>
    <row r="415" spans="1:11" x14ac:dyDescent="0.25">
      <c r="A415" t="s">
        <v>731</v>
      </c>
      <c r="B415" s="26">
        <v>46045</v>
      </c>
      <c r="C415">
        <v>1</v>
      </c>
      <c r="D415" t="s">
        <v>43</v>
      </c>
      <c r="E415" t="s">
        <v>317</v>
      </c>
      <c r="G415">
        <v>14</v>
      </c>
      <c r="H415" t="s">
        <v>204</v>
      </c>
      <c r="I415" t="s">
        <v>234</v>
      </c>
      <c r="J415" t="s">
        <v>228</v>
      </c>
      <c r="K415" s="27">
        <v>46071.394942129627</v>
      </c>
    </row>
    <row r="416" spans="1:11" x14ac:dyDescent="0.25">
      <c r="A416" t="s">
        <v>732</v>
      </c>
      <c r="B416" s="26">
        <v>46046</v>
      </c>
      <c r="C416">
        <v>1</v>
      </c>
      <c r="D416" t="s">
        <v>43</v>
      </c>
      <c r="E416" t="s">
        <v>317</v>
      </c>
      <c r="G416">
        <v>6</v>
      </c>
      <c r="H416" t="s">
        <v>204</v>
      </c>
      <c r="I416" t="s">
        <v>234</v>
      </c>
      <c r="J416" t="s">
        <v>228</v>
      </c>
      <c r="K416" s="27">
        <v>46071.396319444444</v>
      </c>
    </row>
    <row r="417" spans="1:11" x14ac:dyDescent="0.25">
      <c r="A417" t="s">
        <v>733</v>
      </c>
      <c r="B417" s="26">
        <v>46046</v>
      </c>
      <c r="C417">
        <v>1</v>
      </c>
      <c r="D417" t="s">
        <v>43</v>
      </c>
      <c r="E417" t="s">
        <v>317</v>
      </c>
      <c r="G417">
        <v>69</v>
      </c>
      <c r="H417" t="s">
        <v>204</v>
      </c>
      <c r="I417" t="s">
        <v>234</v>
      </c>
      <c r="J417" t="s">
        <v>228</v>
      </c>
      <c r="K417" s="27">
        <v>46071.39571759259</v>
      </c>
    </row>
    <row r="418" spans="1:11" x14ac:dyDescent="0.25">
      <c r="A418" t="s">
        <v>734</v>
      </c>
      <c r="B418" s="26">
        <v>46046</v>
      </c>
      <c r="C418">
        <v>1</v>
      </c>
      <c r="D418" t="s">
        <v>43</v>
      </c>
      <c r="E418" t="s">
        <v>317</v>
      </c>
      <c r="G418">
        <v>28</v>
      </c>
      <c r="H418" t="s">
        <v>204</v>
      </c>
      <c r="I418" t="s">
        <v>234</v>
      </c>
      <c r="J418" t="s">
        <v>228</v>
      </c>
      <c r="K418" s="27">
        <v>46071.395740740743</v>
      </c>
    </row>
    <row r="419" spans="1:11" x14ac:dyDescent="0.25">
      <c r="A419" t="s">
        <v>735</v>
      </c>
      <c r="B419" s="26">
        <v>46047</v>
      </c>
      <c r="C419">
        <v>1</v>
      </c>
      <c r="D419" t="s">
        <v>43</v>
      </c>
      <c r="E419" t="s">
        <v>317</v>
      </c>
      <c r="G419">
        <v>37</v>
      </c>
      <c r="H419" t="s">
        <v>204</v>
      </c>
      <c r="I419" t="s">
        <v>205</v>
      </c>
      <c r="J419" t="s">
        <v>228</v>
      </c>
      <c r="K419" s="27">
        <v>46071.396527777775</v>
      </c>
    </row>
    <row r="420" spans="1:11" x14ac:dyDescent="0.25">
      <c r="A420" t="s">
        <v>736</v>
      </c>
      <c r="B420" s="26">
        <v>46047</v>
      </c>
      <c r="C420">
        <v>1</v>
      </c>
      <c r="D420" t="s">
        <v>43</v>
      </c>
      <c r="E420" t="s">
        <v>317</v>
      </c>
      <c r="G420">
        <v>23</v>
      </c>
      <c r="H420" t="s">
        <v>204</v>
      </c>
      <c r="I420" t="s">
        <v>205</v>
      </c>
      <c r="J420" t="s">
        <v>228</v>
      </c>
      <c r="K420" s="27">
        <v>46071.396539351852</v>
      </c>
    </row>
    <row r="421" spans="1:11" x14ac:dyDescent="0.25">
      <c r="A421" t="s">
        <v>737</v>
      </c>
      <c r="B421" s="26">
        <v>46048</v>
      </c>
      <c r="C421">
        <v>1</v>
      </c>
      <c r="D421" t="s">
        <v>43</v>
      </c>
      <c r="E421" t="s">
        <v>317</v>
      </c>
      <c r="G421">
        <v>71</v>
      </c>
      <c r="H421" t="s">
        <v>204</v>
      </c>
      <c r="I421" t="s">
        <v>234</v>
      </c>
      <c r="J421" t="s">
        <v>228</v>
      </c>
      <c r="K421" s="27">
        <v>46071.396921296298</v>
      </c>
    </row>
    <row r="422" spans="1:11" x14ac:dyDescent="0.25">
      <c r="A422" t="s">
        <v>738</v>
      </c>
      <c r="B422" s="26">
        <v>46048</v>
      </c>
      <c r="C422">
        <v>1</v>
      </c>
      <c r="D422" t="s">
        <v>43</v>
      </c>
      <c r="E422" t="s">
        <v>317</v>
      </c>
      <c r="G422">
        <v>67</v>
      </c>
      <c r="H422" t="s">
        <v>204</v>
      </c>
      <c r="I422" t="s">
        <v>234</v>
      </c>
      <c r="J422" t="s">
        <v>228</v>
      </c>
      <c r="K422" s="27">
        <v>46071.396967592591</v>
      </c>
    </row>
    <row r="423" spans="1:11" x14ac:dyDescent="0.25">
      <c r="A423" t="s">
        <v>739</v>
      </c>
      <c r="B423" s="26">
        <v>46048</v>
      </c>
      <c r="C423">
        <v>1</v>
      </c>
      <c r="D423" t="s">
        <v>43</v>
      </c>
      <c r="E423" t="s">
        <v>317</v>
      </c>
      <c r="G423">
        <v>42</v>
      </c>
      <c r="H423" t="s">
        <v>204</v>
      </c>
      <c r="I423" t="s">
        <v>234</v>
      </c>
      <c r="J423" t="s">
        <v>228</v>
      </c>
      <c r="K423" s="27">
        <v>46071.397013888891</v>
      </c>
    </row>
    <row r="424" spans="1:11" x14ac:dyDescent="0.25">
      <c r="A424" t="s">
        <v>740</v>
      </c>
      <c r="B424" s="26">
        <v>46048</v>
      </c>
      <c r="C424">
        <v>1</v>
      </c>
      <c r="D424" t="s">
        <v>43</v>
      </c>
      <c r="E424" t="s">
        <v>317</v>
      </c>
      <c r="G424">
        <v>14</v>
      </c>
      <c r="H424" t="s">
        <v>204</v>
      </c>
      <c r="I424" t="s">
        <v>234</v>
      </c>
      <c r="J424" t="s">
        <v>228</v>
      </c>
      <c r="K424" s="27">
        <v>46071.397048611114</v>
      </c>
    </row>
    <row r="425" spans="1:11" x14ac:dyDescent="0.25">
      <c r="A425" t="s">
        <v>741</v>
      </c>
      <c r="B425" s="26">
        <v>46048</v>
      </c>
      <c r="C425">
        <v>1</v>
      </c>
      <c r="D425" t="s">
        <v>43</v>
      </c>
      <c r="E425" t="s">
        <v>317</v>
      </c>
      <c r="G425">
        <v>67</v>
      </c>
      <c r="H425" t="s">
        <v>204</v>
      </c>
      <c r="I425" t="s">
        <v>234</v>
      </c>
      <c r="J425" t="s">
        <v>228</v>
      </c>
      <c r="K425" s="27">
        <v>46071.397152777776</v>
      </c>
    </row>
    <row r="426" spans="1:11" x14ac:dyDescent="0.25">
      <c r="A426" t="s">
        <v>742</v>
      </c>
      <c r="B426" s="26">
        <v>46049</v>
      </c>
      <c r="C426">
        <v>1</v>
      </c>
      <c r="D426" t="s">
        <v>43</v>
      </c>
      <c r="E426" t="s">
        <v>317</v>
      </c>
      <c r="G426">
        <v>28</v>
      </c>
      <c r="H426" t="s">
        <v>204</v>
      </c>
      <c r="I426" t="s">
        <v>234</v>
      </c>
      <c r="J426" t="s">
        <v>228</v>
      </c>
      <c r="K426" s="27">
        <v>46071.397245370368</v>
      </c>
    </row>
    <row r="427" spans="1:11" x14ac:dyDescent="0.25">
      <c r="A427" t="s">
        <v>743</v>
      </c>
      <c r="B427" s="26">
        <v>46049</v>
      </c>
      <c r="C427">
        <v>1</v>
      </c>
      <c r="D427" t="s">
        <v>43</v>
      </c>
      <c r="E427" t="s">
        <v>317</v>
      </c>
      <c r="G427">
        <v>84</v>
      </c>
      <c r="H427" t="s">
        <v>204</v>
      </c>
      <c r="I427" t="s">
        <v>234</v>
      </c>
      <c r="J427" t="s">
        <v>228</v>
      </c>
      <c r="K427" s="27">
        <v>46071.397280092591</v>
      </c>
    </row>
    <row r="428" spans="1:11" x14ac:dyDescent="0.25">
      <c r="A428" t="s">
        <v>744</v>
      </c>
      <c r="B428" s="26">
        <v>46049</v>
      </c>
      <c r="C428">
        <v>1</v>
      </c>
      <c r="D428" t="s">
        <v>43</v>
      </c>
      <c r="E428" t="s">
        <v>317</v>
      </c>
      <c r="G428">
        <v>68</v>
      </c>
      <c r="H428" t="s">
        <v>204</v>
      </c>
      <c r="I428" t="s">
        <v>234</v>
      </c>
      <c r="J428" t="s">
        <v>228</v>
      </c>
      <c r="K428" s="27">
        <v>46071.397303240738</v>
      </c>
    </row>
    <row r="429" spans="1:11" x14ac:dyDescent="0.25">
      <c r="A429" t="s">
        <v>745</v>
      </c>
      <c r="B429" s="26">
        <v>46049</v>
      </c>
      <c r="C429">
        <v>1</v>
      </c>
      <c r="D429" t="s">
        <v>43</v>
      </c>
      <c r="E429" t="s">
        <v>317</v>
      </c>
      <c r="G429">
        <v>14</v>
      </c>
      <c r="H429" t="s">
        <v>204</v>
      </c>
      <c r="I429" t="s">
        <v>234</v>
      </c>
      <c r="J429" t="s">
        <v>228</v>
      </c>
      <c r="K429" s="27">
        <v>46071.397326388891</v>
      </c>
    </row>
    <row r="430" spans="1:11" x14ac:dyDescent="0.25">
      <c r="A430" t="s">
        <v>746</v>
      </c>
      <c r="B430" s="26">
        <v>46049</v>
      </c>
      <c r="C430">
        <v>1</v>
      </c>
      <c r="D430" t="s">
        <v>43</v>
      </c>
      <c r="E430" t="s">
        <v>317</v>
      </c>
      <c r="G430">
        <v>31</v>
      </c>
      <c r="H430" t="s">
        <v>204</v>
      </c>
      <c r="I430" t="s">
        <v>234</v>
      </c>
      <c r="J430" t="s">
        <v>228</v>
      </c>
      <c r="K430" s="27">
        <v>46071.397349537037</v>
      </c>
    </row>
    <row r="431" spans="1:11" x14ac:dyDescent="0.25">
      <c r="A431" t="s">
        <v>747</v>
      </c>
      <c r="B431" s="26">
        <v>46049</v>
      </c>
      <c r="C431">
        <v>1</v>
      </c>
      <c r="D431" t="s">
        <v>43</v>
      </c>
      <c r="E431" t="s">
        <v>317</v>
      </c>
      <c r="G431">
        <v>75</v>
      </c>
      <c r="H431" t="s">
        <v>204</v>
      </c>
      <c r="I431" t="s">
        <v>205</v>
      </c>
      <c r="J431" t="s">
        <v>228</v>
      </c>
      <c r="K431" s="27">
        <v>46071.397407407407</v>
      </c>
    </row>
    <row r="432" spans="1:11" x14ac:dyDescent="0.25">
      <c r="A432" t="s">
        <v>748</v>
      </c>
      <c r="B432" s="26">
        <v>46050</v>
      </c>
      <c r="C432">
        <v>1</v>
      </c>
      <c r="D432" t="s">
        <v>43</v>
      </c>
      <c r="E432" t="s">
        <v>317</v>
      </c>
      <c r="G432">
        <v>46</v>
      </c>
      <c r="H432" t="s">
        <v>204</v>
      </c>
      <c r="I432" t="s">
        <v>205</v>
      </c>
      <c r="J432" t="s">
        <v>228</v>
      </c>
      <c r="K432" s="27">
        <v>46071.397592592592</v>
      </c>
    </row>
    <row r="433" spans="1:11" x14ac:dyDescent="0.25">
      <c r="A433" t="s">
        <v>749</v>
      </c>
      <c r="B433" s="26">
        <v>46050</v>
      </c>
      <c r="C433">
        <v>1</v>
      </c>
      <c r="D433" t="s">
        <v>43</v>
      </c>
      <c r="E433" t="s">
        <v>317</v>
      </c>
      <c r="G433">
        <v>49</v>
      </c>
      <c r="H433" t="s">
        <v>204</v>
      </c>
      <c r="I433" t="s">
        <v>205</v>
      </c>
      <c r="J433" t="s">
        <v>228</v>
      </c>
      <c r="K433" s="27">
        <v>46071.397627314815</v>
      </c>
    </row>
    <row r="434" spans="1:11" x14ac:dyDescent="0.25">
      <c r="A434" t="s">
        <v>750</v>
      </c>
      <c r="B434" s="26">
        <v>46050</v>
      </c>
      <c r="C434">
        <v>1</v>
      </c>
      <c r="D434" t="s">
        <v>43</v>
      </c>
      <c r="E434" t="s">
        <v>317</v>
      </c>
      <c r="G434">
        <v>62</v>
      </c>
      <c r="H434" t="s">
        <v>204</v>
      </c>
      <c r="I434" t="s">
        <v>205</v>
      </c>
      <c r="J434" t="s">
        <v>228</v>
      </c>
      <c r="K434" s="27">
        <v>46071.397662037038</v>
      </c>
    </row>
    <row r="435" spans="1:11" x14ac:dyDescent="0.25">
      <c r="A435" t="s">
        <v>751</v>
      </c>
      <c r="B435" s="26">
        <v>46050</v>
      </c>
      <c r="C435">
        <v>1</v>
      </c>
      <c r="D435" t="s">
        <v>43</v>
      </c>
      <c r="E435" t="s">
        <v>317</v>
      </c>
      <c r="G435">
        <v>24</v>
      </c>
      <c r="H435" t="s">
        <v>204</v>
      </c>
      <c r="I435" t="s">
        <v>205</v>
      </c>
      <c r="J435" t="s">
        <v>228</v>
      </c>
      <c r="K435" s="27">
        <v>46071.397685185184</v>
      </c>
    </row>
    <row r="436" spans="1:11" x14ac:dyDescent="0.25">
      <c r="A436" t="s">
        <v>752</v>
      </c>
      <c r="B436" s="26">
        <v>46050</v>
      </c>
      <c r="C436">
        <v>1</v>
      </c>
      <c r="D436" t="s">
        <v>43</v>
      </c>
      <c r="E436" t="s">
        <v>317</v>
      </c>
      <c r="G436">
        <v>63</v>
      </c>
      <c r="H436" t="s">
        <v>204</v>
      </c>
      <c r="I436" t="s">
        <v>234</v>
      </c>
      <c r="J436" t="s">
        <v>228</v>
      </c>
      <c r="K436" s="27">
        <v>46071.397812499999</v>
      </c>
    </row>
    <row r="437" spans="1:11" x14ac:dyDescent="0.25">
      <c r="A437" t="s">
        <v>753</v>
      </c>
      <c r="B437" s="26">
        <v>46050</v>
      </c>
      <c r="C437">
        <v>1</v>
      </c>
      <c r="D437" t="s">
        <v>43</v>
      </c>
      <c r="E437" t="s">
        <v>317</v>
      </c>
      <c r="G437">
        <v>67</v>
      </c>
      <c r="H437" t="s">
        <v>204</v>
      </c>
      <c r="I437" t="s">
        <v>234</v>
      </c>
      <c r="J437" t="s">
        <v>228</v>
      </c>
      <c r="K437" s="27">
        <v>46071.397824074076</v>
      </c>
    </row>
    <row r="438" spans="1:11" x14ac:dyDescent="0.25">
      <c r="A438" t="s">
        <v>754</v>
      </c>
      <c r="B438" s="26">
        <v>46051</v>
      </c>
      <c r="C438">
        <v>1</v>
      </c>
      <c r="D438" t="s">
        <v>43</v>
      </c>
      <c r="E438" t="s">
        <v>317</v>
      </c>
      <c r="G438">
        <v>1</v>
      </c>
      <c r="H438" t="s">
        <v>204</v>
      </c>
      <c r="I438" t="s">
        <v>234</v>
      </c>
      <c r="J438" t="s">
        <v>228</v>
      </c>
      <c r="K438" s="27">
        <v>46071.398611111108</v>
      </c>
    </row>
    <row r="439" spans="1:11" x14ac:dyDescent="0.25">
      <c r="A439" t="s">
        <v>755</v>
      </c>
      <c r="B439" s="26">
        <v>46051</v>
      </c>
      <c r="C439">
        <v>1</v>
      </c>
      <c r="D439" t="s">
        <v>43</v>
      </c>
      <c r="E439" t="s">
        <v>317</v>
      </c>
      <c r="G439">
        <v>22</v>
      </c>
      <c r="H439" t="s">
        <v>204</v>
      </c>
      <c r="I439" t="s">
        <v>205</v>
      </c>
      <c r="J439" t="s">
        <v>228</v>
      </c>
      <c r="K439" s="27">
        <v>46071.39875</v>
      </c>
    </row>
    <row r="440" spans="1:11" x14ac:dyDescent="0.25">
      <c r="A440" t="s">
        <v>756</v>
      </c>
      <c r="B440" s="26">
        <v>46051</v>
      </c>
      <c r="C440">
        <v>1</v>
      </c>
      <c r="D440" t="s">
        <v>43</v>
      </c>
      <c r="E440" t="s">
        <v>317</v>
      </c>
      <c r="G440">
        <v>22</v>
      </c>
      <c r="H440" t="s">
        <v>204</v>
      </c>
      <c r="I440" t="s">
        <v>205</v>
      </c>
      <c r="J440" t="s">
        <v>228</v>
      </c>
      <c r="K440" s="27">
        <v>46071.39875</v>
      </c>
    </row>
    <row r="441" spans="1:11" x14ac:dyDescent="0.25">
      <c r="A441" t="s">
        <v>757</v>
      </c>
      <c r="B441" s="26">
        <v>46052</v>
      </c>
      <c r="C441">
        <v>1</v>
      </c>
      <c r="D441" t="s">
        <v>43</v>
      </c>
      <c r="E441" t="s">
        <v>317</v>
      </c>
      <c r="G441">
        <v>57</v>
      </c>
      <c r="H441" t="s">
        <v>204</v>
      </c>
      <c r="I441" t="s">
        <v>205</v>
      </c>
      <c r="J441" t="s">
        <v>228</v>
      </c>
      <c r="K441" s="27">
        <v>46071.398993055554</v>
      </c>
    </row>
    <row r="442" spans="1:11" x14ac:dyDescent="0.25">
      <c r="A442" t="s">
        <v>758</v>
      </c>
      <c r="B442" s="26">
        <v>46052</v>
      </c>
      <c r="C442">
        <v>1</v>
      </c>
      <c r="D442" t="s">
        <v>43</v>
      </c>
      <c r="E442" t="s">
        <v>317</v>
      </c>
      <c r="G442">
        <v>33</v>
      </c>
      <c r="H442" t="s">
        <v>204</v>
      </c>
      <c r="I442" t="s">
        <v>205</v>
      </c>
      <c r="J442" t="s">
        <v>228</v>
      </c>
      <c r="K442" s="27">
        <v>46071.399016203701</v>
      </c>
    </row>
    <row r="443" spans="1:11" x14ac:dyDescent="0.25">
      <c r="A443" t="s">
        <v>759</v>
      </c>
      <c r="B443" s="26">
        <v>46052</v>
      </c>
      <c r="C443">
        <v>1</v>
      </c>
      <c r="D443" t="s">
        <v>43</v>
      </c>
      <c r="E443" t="s">
        <v>317</v>
      </c>
      <c r="G443">
        <v>56</v>
      </c>
      <c r="H443" t="s">
        <v>204</v>
      </c>
      <c r="I443" t="s">
        <v>205</v>
      </c>
      <c r="J443" t="s">
        <v>228</v>
      </c>
      <c r="K443" s="27">
        <v>46071.399039351854</v>
      </c>
    </row>
    <row r="444" spans="1:11" x14ac:dyDescent="0.25">
      <c r="A444" t="s">
        <v>760</v>
      </c>
      <c r="B444" s="26">
        <v>46052</v>
      </c>
      <c r="C444">
        <v>1</v>
      </c>
      <c r="D444" t="s">
        <v>43</v>
      </c>
      <c r="E444" t="s">
        <v>317</v>
      </c>
      <c r="G444">
        <v>62</v>
      </c>
      <c r="H444" t="s">
        <v>204</v>
      </c>
      <c r="I444" t="s">
        <v>205</v>
      </c>
      <c r="J444" t="s">
        <v>228</v>
      </c>
      <c r="K444" s="27">
        <v>46071.399062500001</v>
      </c>
    </row>
    <row r="445" spans="1:11" x14ac:dyDescent="0.25">
      <c r="A445" t="s">
        <v>761</v>
      </c>
      <c r="B445" s="26">
        <v>46052</v>
      </c>
      <c r="C445">
        <v>1</v>
      </c>
      <c r="D445" t="s">
        <v>43</v>
      </c>
      <c r="E445" t="s">
        <v>317</v>
      </c>
      <c r="G445">
        <v>42</v>
      </c>
      <c r="H445" t="s">
        <v>204</v>
      </c>
      <c r="I445" t="s">
        <v>205</v>
      </c>
      <c r="J445" t="s">
        <v>228</v>
      </c>
      <c r="K445" s="27">
        <v>46071.399108796293</v>
      </c>
    </row>
    <row r="446" spans="1:11" x14ac:dyDescent="0.25">
      <c r="A446" t="s">
        <v>762</v>
      </c>
      <c r="B446" s="26">
        <v>46052</v>
      </c>
      <c r="C446">
        <v>1</v>
      </c>
      <c r="D446" t="s">
        <v>43</v>
      </c>
      <c r="E446" t="s">
        <v>317</v>
      </c>
      <c r="G446">
        <v>40</v>
      </c>
      <c r="H446" t="s">
        <v>204</v>
      </c>
      <c r="I446" t="s">
        <v>234</v>
      </c>
      <c r="J446" t="s">
        <v>228</v>
      </c>
      <c r="K446" s="27">
        <v>46071.399212962962</v>
      </c>
    </row>
    <row r="447" spans="1:11" x14ac:dyDescent="0.25">
      <c r="A447" t="s">
        <v>763</v>
      </c>
      <c r="B447" s="26">
        <v>46052</v>
      </c>
      <c r="C447">
        <v>1</v>
      </c>
      <c r="D447" t="s">
        <v>43</v>
      </c>
      <c r="E447" t="s">
        <v>317</v>
      </c>
      <c r="G447">
        <v>96</v>
      </c>
      <c r="H447" t="s">
        <v>204</v>
      </c>
      <c r="I447" t="s">
        <v>234</v>
      </c>
      <c r="J447" t="s">
        <v>228</v>
      </c>
      <c r="K447" s="27">
        <v>46071.399270833332</v>
      </c>
    </row>
    <row r="448" spans="1:11" x14ac:dyDescent="0.25">
      <c r="A448" t="s">
        <v>764</v>
      </c>
      <c r="B448" s="26">
        <v>46052</v>
      </c>
      <c r="C448">
        <v>1</v>
      </c>
      <c r="D448" t="s">
        <v>43</v>
      </c>
      <c r="E448" t="s">
        <v>317</v>
      </c>
      <c r="G448">
        <v>41</v>
      </c>
      <c r="H448" t="s">
        <v>204</v>
      </c>
      <c r="I448" t="s">
        <v>234</v>
      </c>
      <c r="J448" t="s">
        <v>228</v>
      </c>
      <c r="K448" s="27">
        <v>46071.399282407408</v>
      </c>
    </row>
    <row r="449" spans="1:11" x14ac:dyDescent="0.25">
      <c r="A449" t="s">
        <v>765</v>
      </c>
      <c r="B449" s="26">
        <v>46053</v>
      </c>
      <c r="C449">
        <v>1</v>
      </c>
      <c r="D449" t="s">
        <v>43</v>
      </c>
      <c r="E449" t="s">
        <v>317</v>
      </c>
      <c r="G449">
        <v>89</v>
      </c>
      <c r="H449" t="s">
        <v>204</v>
      </c>
      <c r="I449" t="s">
        <v>234</v>
      </c>
      <c r="J449" t="s">
        <v>228</v>
      </c>
      <c r="K449" s="27">
        <v>46071.39943287037</v>
      </c>
    </row>
    <row r="450" spans="1:11" x14ac:dyDescent="0.25">
      <c r="A450" t="s">
        <v>766</v>
      </c>
      <c r="B450" s="26">
        <v>46053</v>
      </c>
      <c r="C450">
        <v>1</v>
      </c>
      <c r="D450" t="s">
        <v>43</v>
      </c>
      <c r="E450" t="s">
        <v>317</v>
      </c>
      <c r="G450">
        <v>50</v>
      </c>
      <c r="H450" t="s">
        <v>204</v>
      </c>
      <c r="I450" t="s">
        <v>205</v>
      </c>
      <c r="J450" t="s">
        <v>228</v>
      </c>
      <c r="K450" s="27">
        <v>46071.399537037039</v>
      </c>
    </row>
    <row r="451" spans="1:11" x14ac:dyDescent="0.25">
      <c r="A451" t="s">
        <v>767</v>
      </c>
      <c r="B451" s="26">
        <v>46023</v>
      </c>
      <c r="C451">
        <v>1</v>
      </c>
      <c r="D451" t="s">
        <v>31</v>
      </c>
      <c r="E451" t="s">
        <v>317</v>
      </c>
      <c r="G451">
        <v>82</v>
      </c>
      <c r="H451" t="s">
        <v>204</v>
      </c>
      <c r="I451" t="s">
        <v>205</v>
      </c>
      <c r="J451" t="s">
        <v>228</v>
      </c>
      <c r="K451" s="27">
        <v>46071.430104166669</v>
      </c>
    </row>
    <row r="452" spans="1:11" x14ac:dyDescent="0.25">
      <c r="A452" t="s">
        <v>768</v>
      </c>
      <c r="B452" s="26">
        <v>46023</v>
      </c>
      <c r="C452">
        <v>1</v>
      </c>
      <c r="D452" t="s">
        <v>31</v>
      </c>
      <c r="E452" t="s">
        <v>317</v>
      </c>
      <c r="G452">
        <v>17</v>
      </c>
      <c r="H452" t="s">
        <v>204</v>
      </c>
      <c r="I452" t="s">
        <v>205</v>
      </c>
      <c r="J452" t="s">
        <v>228</v>
      </c>
      <c r="K452" s="27">
        <v>46071.430127314816</v>
      </c>
    </row>
    <row r="453" spans="1:11" x14ac:dyDescent="0.25">
      <c r="A453" t="s">
        <v>769</v>
      </c>
      <c r="B453" s="26">
        <v>46023</v>
      </c>
      <c r="C453">
        <v>1</v>
      </c>
      <c r="D453" t="s">
        <v>31</v>
      </c>
      <c r="E453" t="s">
        <v>317</v>
      </c>
      <c r="G453">
        <v>18</v>
      </c>
      <c r="H453" t="s">
        <v>204</v>
      </c>
      <c r="I453" t="s">
        <v>205</v>
      </c>
      <c r="J453" t="s">
        <v>228</v>
      </c>
      <c r="K453" s="27">
        <v>46071.430162037039</v>
      </c>
    </row>
    <row r="454" spans="1:11" x14ac:dyDescent="0.25">
      <c r="A454" t="s">
        <v>770</v>
      </c>
      <c r="B454" s="26">
        <v>46023</v>
      </c>
      <c r="C454">
        <v>1</v>
      </c>
      <c r="D454" t="s">
        <v>31</v>
      </c>
      <c r="E454" t="s">
        <v>317</v>
      </c>
      <c r="G454">
        <v>67</v>
      </c>
      <c r="H454" t="s">
        <v>204</v>
      </c>
      <c r="I454" t="s">
        <v>205</v>
      </c>
      <c r="J454" t="s">
        <v>228</v>
      </c>
      <c r="K454" s="27">
        <v>46071.430185185185</v>
      </c>
    </row>
    <row r="455" spans="1:11" x14ac:dyDescent="0.25">
      <c r="A455" t="s">
        <v>771</v>
      </c>
      <c r="B455" s="26">
        <v>46024</v>
      </c>
      <c r="C455">
        <v>1</v>
      </c>
      <c r="D455" t="s">
        <v>31</v>
      </c>
      <c r="E455" t="s">
        <v>317</v>
      </c>
      <c r="G455">
        <v>37</v>
      </c>
      <c r="H455" t="s">
        <v>204</v>
      </c>
      <c r="I455" t="s">
        <v>205</v>
      </c>
      <c r="J455" t="s">
        <v>228</v>
      </c>
      <c r="K455" s="27">
        <v>46071.430474537039</v>
      </c>
    </row>
    <row r="456" spans="1:11" x14ac:dyDescent="0.25">
      <c r="A456" t="s">
        <v>772</v>
      </c>
      <c r="B456" s="26">
        <v>46024</v>
      </c>
      <c r="C456">
        <v>1</v>
      </c>
      <c r="D456" t="s">
        <v>31</v>
      </c>
      <c r="E456" t="s">
        <v>317</v>
      </c>
      <c r="G456">
        <v>27</v>
      </c>
      <c r="H456" t="s">
        <v>204</v>
      </c>
      <c r="I456" t="s">
        <v>205</v>
      </c>
      <c r="J456" t="s">
        <v>228</v>
      </c>
      <c r="K456" s="27">
        <v>46071.430497685185</v>
      </c>
    </row>
    <row r="457" spans="1:11" x14ac:dyDescent="0.25">
      <c r="A457" t="s">
        <v>773</v>
      </c>
      <c r="B457" s="26">
        <v>46025</v>
      </c>
      <c r="C457">
        <v>1</v>
      </c>
      <c r="D457" t="s">
        <v>31</v>
      </c>
      <c r="E457" t="s">
        <v>317</v>
      </c>
      <c r="G457">
        <v>34</v>
      </c>
      <c r="H457" t="s">
        <v>204</v>
      </c>
      <c r="I457" t="s">
        <v>205</v>
      </c>
      <c r="J457" t="s">
        <v>228</v>
      </c>
      <c r="K457" s="27">
        <v>46071.430636574078</v>
      </c>
    </row>
    <row r="458" spans="1:11" x14ac:dyDescent="0.25">
      <c r="A458" t="s">
        <v>774</v>
      </c>
      <c r="B458" s="26">
        <v>46025</v>
      </c>
      <c r="C458">
        <v>1</v>
      </c>
      <c r="D458" t="s">
        <v>31</v>
      </c>
      <c r="E458" t="s">
        <v>317</v>
      </c>
      <c r="G458">
        <v>19</v>
      </c>
      <c r="H458" t="s">
        <v>204</v>
      </c>
      <c r="I458" t="s">
        <v>205</v>
      </c>
      <c r="J458" t="s">
        <v>228</v>
      </c>
      <c r="K458" s="27">
        <v>46071.430659722224</v>
      </c>
    </row>
    <row r="459" spans="1:11" x14ac:dyDescent="0.25">
      <c r="A459" t="s">
        <v>775</v>
      </c>
      <c r="B459" s="26">
        <v>46026</v>
      </c>
      <c r="C459">
        <v>1</v>
      </c>
      <c r="D459" t="s">
        <v>31</v>
      </c>
      <c r="E459" t="s">
        <v>317</v>
      </c>
      <c r="G459">
        <v>49</v>
      </c>
      <c r="H459" t="s">
        <v>204</v>
      </c>
      <c r="I459" t="s">
        <v>205</v>
      </c>
      <c r="J459" t="s">
        <v>228</v>
      </c>
      <c r="K459" s="27">
        <v>46071.43072916667</v>
      </c>
    </row>
    <row r="460" spans="1:11" x14ac:dyDescent="0.25">
      <c r="A460" t="s">
        <v>776</v>
      </c>
      <c r="B460" s="26">
        <v>46026</v>
      </c>
      <c r="C460">
        <v>1</v>
      </c>
      <c r="D460" t="s">
        <v>31</v>
      </c>
      <c r="E460" t="s">
        <v>317</v>
      </c>
      <c r="G460">
        <v>33</v>
      </c>
      <c r="H460" t="s">
        <v>204</v>
      </c>
      <c r="I460" t="s">
        <v>205</v>
      </c>
      <c r="J460" t="s">
        <v>228</v>
      </c>
      <c r="K460" s="27">
        <v>46071.43074074074</v>
      </c>
    </row>
    <row r="461" spans="1:11" x14ac:dyDescent="0.25">
      <c r="A461" t="s">
        <v>777</v>
      </c>
      <c r="B461" s="26">
        <v>46026</v>
      </c>
      <c r="C461">
        <v>1</v>
      </c>
      <c r="D461" t="s">
        <v>31</v>
      </c>
      <c r="E461" t="s">
        <v>317</v>
      </c>
      <c r="G461">
        <v>53</v>
      </c>
      <c r="H461" t="s">
        <v>204</v>
      </c>
      <c r="I461" t="s">
        <v>205</v>
      </c>
      <c r="J461" t="s">
        <v>228</v>
      </c>
      <c r="K461" s="27">
        <v>46071.430775462963</v>
      </c>
    </row>
    <row r="462" spans="1:11" x14ac:dyDescent="0.25">
      <c r="A462" t="s">
        <v>778</v>
      </c>
      <c r="B462" s="26">
        <v>46026</v>
      </c>
      <c r="C462">
        <v>1</v>
      </c>
      <c r="D462" t="s">
        <v>31</v>
      </c>
      <c r="E462" t="s">
        <v>317</v>
      </c>
      <c r="G462">
        <v>41</v>
      </c>
      <c r="H462" t="s">
        <v>204</v>
      </c>
      <c r="I462" t="s">
        <v>205</v>
      </c>
      <c r="J462" t="s">
        <v>228</v>
      </c>
      <c r="K462" s="27">
        <v>46071.430821759262</v>
      </c>
    </row>
    <row r="463" spans="1:11" x14ac:dyDescent="0.25">
      <c r="A463" t="s">
        <v>779</v>
      </c>
      <c r="B463" s="26">
        <v>46026</v>
      </c>
      <c r="C463">
        <v>1</v>
      </c>
      <c r="D463" t="s">
        <v>31</v>
      </c>
      <c r="E463" t="s">
        <v>317</v>
      </c>
      <c r="G463">
        <v>57</v>
      </c>
      <c r="H463" t="s">
        <v>204</v>
      </c>
      <c r="I463" t="s">
        <v>205</v>
      </c>
      <c r="J463" t="s">
        <v>228</v>
      </c>
      <c r="K463" s="27">
        <v>46071.430833333332</v>
      </c>
    </row>
    <row r="464" spans="1:11" x14ac:dyDescent="0.25">
      <c r="A464" t="s">
        <v>780</v>
      </c>
      <c r="B464" s="26">
        <v>46026</v>
      </c>
      <c r="C464">
        <v>1</v>
      </c>
      <c r="D464" t="s">
        <v>31</v>
      </c>
      <c r="E464" t="s">
        <v>317</v>
      </c>
      <c r="G464">
        <v>15</v>
      </c>
      <c r="H464" t="s">
        <v>204</v>
      </c>
      <c r="I464" t="s">
        <v>205</v>
      </c>
      <c r="J464" t="s">
        <v>228</v>
      </c>
      <c r="K464" s="27">
        <v>46071.430844907409</v>
      </c>
    </row>
    <row r="465" spans="1:11" x14ac:dyDescent="0.25">
      <c r="A465" t="s">
        <v>781</v>
      </c>
      <c r="B465" s="26">
        <v>46027</v>
      </c>
      <c r="C465">
        <v>1</v>
      </c>
      <c r="D465" t="s">
        <v>31</v>
      </c>
      <c r="E465" t="s">
        <v>317</v>
      </c>
      <c r="G465">
        <v>60</v>
      </c>
      <c r="H465" t="s">
        <v>204</v>
      </c>
      <c r="I465" t="s">
        <v>205</v>
      </c>
      <c r="J465" t="s">
        <v>228</v>
      </c>
      <c r="K465" s="27">
        <v>46071.430925925924</v>
      </c>
    </row>
    <row r="466" spans="1:11" x14ac:dyDescent="0.25">
      <c r="A466" t="s">
        <v>782</v>
      </c>
      <c r="B466" s="26">
        <v>46027</v>
      </c>
      <c r="C466">
        <v>1</v>
      </c>
      <c r="D466" t="s">
        <v>31</v>
      </c>
      <c r="E466" t="s">
        <v>317</v>
      </c>
      <c r="G466">
        <v>56</v>
      </c>
      <c r="H466" t="s">
        <v>204</v>
      </c>
      <c r="I466" t="s">
        <v>205</v>
      </c>
      <c r="J466" t="s">
        <v>228</v>
      </c>
      <c r="K466" s="27">
        <v>46071.430937500001</v>
      </c>
    </row>
    <row r="467" spans="1:11" x14ac:dyDescent="0.25">
      <c r="A467" t="s">
        <v>783</v>
      </c>
      <c r="B467" s="26">
        <v>46027</v>
      </c>
      <c r="C467">
        <v>1</v>
      </c>
      <c r="D467" t="s">
        <v>31</v>
      </c>
      <c r="E467" t="s">
        <v>317</v>
      </c>
      <c r="G467">
        <v>74</v>
      </c>
      <c r="H467" t="s">
        <v>204</v>
      </c>
      <c r="I467" t="s">
        <v>205</v>
      </c>
      <c r="J467" t="s">
        <v>228</v>
      </c>
      <c r="K467" s="27">
        <v>46071.430995370371</v>
      </c>
    </row>
    <row r="468" spans="1:11" x14ac:dyDescent="0.25">
      <c r="A468" t="s">
        <v>784</v>
      </c>
      <c r="B468" s="26">
        <v>46027</v>
      </c>
      <c r="C468">
        <v>1</v>
      </c>
      <c r="D468" t="s">
        <v>31</v>
      </c>
      <c r="E468" t="s">
        <v>317</v>
      </c>
      <c r="G468">
        <v>64</v>
      </c>
      <c r="H468" t="s">
        <v>204</v>
      </c>
      <c r="I468" t="s">
        <v>205</v>
      </c>
      <c r="J468" t="s">
        <v>228</v>
      </c>
      <c r="K468" s="27">
        <v>46071.431006944447</v>
      </c>
    </row>
    <row r="469" spans="1:11" x14ac:dyDescent="0.25">
      <c r="A469" t="s">
        <v>785</v>
      </c>
      <c r="B469" s="26">
        <v>46028</v>
      </c>
      <c r="C469">
        <v>1</v>
      </c>
      <c r="D469" t="s">
        <v>31</v>
      </c>
      <c r="E469" t="s">
        <v>317</v>
      </c>
      <c r="G469">
        <v>33</v>
      </c>
      <c r="H469" t="s">
        <v>204</v>
      </c>
      <c r="I469" t="s">
        <v>205</v>
      </c>
      <c r="J469" t="s">
        <v>228</v>
      </c>
      <c r="K469" s="27">
        <v>46071.431168981479</v>
      </c>
    </row>
    <row r="470" spans="1:11" x14ac:dyDescent="0.25">
      <c r="A470" t="s">
        <v>786</v>
      </c>
      <c r="B470" s="26">
        <v>46028</v>
      </c>
      <c r="C470">
        <v>1</v>
      </c>
      <c r="D470" t="s">
        <v>31</v>
      </c>
      <c r="E470" t="s">
        <v>317</v>
      </c>
      <c r="G470">
        <v>62</v>
      </c>
      <c r="H470" t="s">
        <v>204</v>
      </c>
      <c r="I470" t="s">
        <v>205</v>
      </c>
      <c r="J470" t="s">
        <v>228</v>
      </c>
      <c r="K470" s="27">
        <v>46071.431203703702</v>
      </c>
    </row>
    <row r="471" spans="1:11" x14ac:dyDescent="0.25">
      <c r="A471" t="s">
        <v>787</v>
      </c>
      <c r="B471" s="26">
        <v>46029</v>
      </c>
      <c r="C471">
        <v>1</v>
      </c>
      <c r="D471" t="s">
        <v>31</v>
      </c>
      <c r="E471" t="s">
        <v>317</v>
      </c>
      <c r="G471">
        <v>19</v>
      </c>
      <c r="H471" t="s">
        <v>204</v>
      </c>
      <c r="I471" t="s">
        <v>205</v>
      </c>
      <c r="J471" t="s">
        <v>228</v>
      </c>
      <c r="K471" s="27">
        <v>46071.431319444448</v>
      </c>
    </row>
    <row r="472" spans="1:11" x14ac:dyDescent="0.25">
      <c r="A472" t="s">
        <v>788</v>
      </c>
      <c r="B472" s="26">
        <v>46029</v>
      </c>
      <c r="C472">
        <v>1</v>
      </c>
      <c r="D472" t="s">
        <v>31</v>
      </c>
      <c r="E472" t="s">
        <v>317</v>
      </c>
      <c r="G472">
        <v>17</v>
      </c>
      <c r="H472" t="s">
        <v>204</v>
      </c>
      <c r="I472" t="s">
        <v>205</v>
      </c>
      <c r="J472" t="s">
        <v>228</v>
      </c>
      <c r="K472" s="27">
        <v>46071.431354166663</v>
      </c>
    </row>
    <row r="473" spans="1:11" x14ac:dyDescent="0.25">
      <c r="A473" t="s">
        <v>789</v>
      </c>
      <c r="B473" s="26">
        <v>46029</v>
      </c>
      <c r="C473">
        <v>1</v>
      </c>
      <c r="D473" t="s">
        <v>31</v>
      </c>
      <c r="E473" t="s">
        <v>317</v>
      </c>
      <c r="G473">
        <v>15</v>
      </c>
      <c r="H473" t="s">
        <v>204</v>
      </c>
      <c r="I473" t="s">
        <v>205</v>
      </c>
      <c r="J473" t="s">
        <v>228</v>
      </c>
      <c r="K473" s="27">
        <v>46071.431377314817</v>
      </c>
    </row>
    <row r="474" spans="1:11" x14ac:dyDescent="0.25">
      <c r="A474" t="s">
        <v>790</v>
      </c>
      <c r="B474" s="26">
        <v>46029</v>
      </c>
      <c r="C474">
        <v>1</v>
      </c>
      <c r="D474" t="s">
        <v>31</v>
      </c>
      <c r="E474" t="s">
        <v>317</v>
      </c>
      <c r="G474">
        <v>56</v>
      </c>
      <c r="H474" t="s">
        <v>204</v>
      </c>
      <c r="I474" t="s">
        <v>205</v>
      </c>
      <c r="J474" t="s">
        <v>228</v>
      </c>
      <c r="K474" s="27">
        <v>46071.431388888886</v>
      </c>
    </row>
    <row r="475" spans="1:11" x14ac:dyDescent="0.25">
      <c r="A475" t="s">
        <v>791</v>
      </c>
      <c r="B475" s="26">
        <v>46029</v>
      </c>
      <c r="C475">
        <v>1</v>
      </c>
      <c r="D475" t="s">
        <v>31</v>
      </c>
      <c r="E475" t="s">
        <v>317</v>
      </c>
      <c r="G475">
        <v>23</v>
      </c>
      <c r="H475" t="s">
        <v>204</v>
      </c>
      <c r="I475" t="s">
        <v>205</v>
      </c>
      <c r="J475" t="s">
        <v>228</v>
      </c>
      <c r="K475" s="27">
        <v>46071.43141203704</v>
      </c>
    </row>
    <row r="476" spans="1:11" x14ac:dyDescent="0.25">
      <c r="A476" t="s">
        <v>792</v>
      </c>
      <c r="B476" s="26">
        <v>46030</v>
      </c>
      <c r="C476">
        <v>1</v>
      </c>
      <c r="D476" t="s">
        <v>31</v>
      </c>
      <c r="E476" t="s">
        <v>317</v>
      </c>
      <c r="G476">
        <v>47</v>
      </c>
      <c r="H476" t="s">
        <v>204</v>
      </c>
      <c r="I476" t="s">
        <v>205</v>
      </c>
      <c r="J476" t="s">
        <v>228</v>
      </c>
      <c r="K476" s="27">
        <v>46071.431562500002</v>
      </c>
    </row>
    <row r="477" spans="1:11" x14ac:dyDescent="0.25">
      <c r="A477" t="s">
        <v>793</v>
      </c>
      <c r="B477" s="26">
        <v>46031</v>
      </c>
      <c r="C477">
        <v>1</v>
      </c>
      <c r="D477" t="s">
        <v>31</v>
      </c>
      <c r="E477" t="s">
        <v>317</v>
      </c>
      <c r="G477">
        <v>46</v>
      </c>
      <c r="H477" t="s">
        <v>204</v>
      </c>
      <c r="I477" t="s">
        <v>205</v>
      </c>
      <c r="J477" t="s">
        <v>228</v>
      </c>
      <c r="K477" s="27">
        <v>46071.431620370371</v>
      </c>
    </row>
    <row r="478" spans="1:11" x14ac:dyDescent="0.25">
      <c r="A478" t="s">
        <v>794</v>
      </c>
      <c r="B478" s="26">
        <v>46031</v>
      </c>
      <c r="C478">
        <v>1</v>
      </c>
      <c r="D478" t="s">
        <v>31</v>
      </c>
      <c r="E478" t="s">
        <v>317</v>
      </c>
      <c r="G478">
        <v>59</v>
      </c>
      <c r="H478" t="s">
        <v>204</v>
      </c>
      <c r="I478" t="s">
        <v>205</v>
      </c>
      <c r="J478" t="s">
        <v>228</v>
      </c>
      <c r="K478" s="27">
        <v>46071.43178240741</v>
      </c>
    </row>
    <row r="479" spans="1:11" x14ac:dyDescent="0.25">
      <c r="A479" t="s">
        <v>795</v>
      </c>
      <c r="B479" s="26">
        <v>46031</v>
      </c>
      <c r="C479">
        <v>1</v>
      </c>
      <c r="D479" t="s">
        <v>31</v>
      </c>
      <c r="E479" t="s">
        <v>317</v>
      </c>
      <c r="G479">
        <v>52</v>
      </c>
      <c r="H479" t="s">
        <v>204</v>
      </c>
      <c r="I479" t="s">
        <v>205</v>
      </c>
      <c r="J479" t="s">
        <v>228</v>
      </c>
      <c r="K479" s="27">
        <v>46071.431817129633</v>
      </c>
    </row>
    <row r="480" spans="1:11" x14ac:dyDescent="0.25">
      <c r="A480" t="s">
        <v>796</v>
      </c>
      <c r="B480" s="26">
        <v>46031</v>
      </c>
      <c r="C480">
        <v>1</v>
      </c>
      <c r="D480" t="s">
        <v>31</v>
      </c>
      <c r="E480" t="s">
        <v>317</v>
      </c>
      <c r="G480">
        <v>73</v>
      </c>
      <c r="H480" t="s">
        <v>204</v>
      </c>
      <c r="I480" t="s">
        <v>205</v>
      </c>
      <c r="J480" t="s">
        <v>228</v>
      </c>
      <c r="K480" s="27">
        <v>46071.431851851848</v>
      </c>
    </row>
    <row r="481" spans="1:11" x14ac:dyDescent="0.25">
      <c r="A481" t="s">
        <v>797</v>
      </c>
      <c r="B481" s="26">
        <v>46032</v>
      </c>
      <c r="C481">
        <v>1</v>
      </c>
      <c r="D481" t="s">
        <v>31</v>
      </c>
      <c r="E481" t="s">
        <v>317</v>
      </c>
      <c r="G481">
        <v>53</v>
      </c>
      <c r="H481" t="s">
        <v>204</v>
      </c>
      <c r="I481" t="s">
        <v>205</v>
      </c>
      <c r="J481" t="s">
        <v>228</v>
      </c>
      <c r="K481" s="27">
        <v>46071.431921296295</v>
      </c>
    </row>
    <row r="482" spans="1:11" x14ac:dyDescent="0.25">
      <c r="A482" t="s">
        <v>798</v>
      </c>
      <c r="B482" s="26">
        <v>46032</v>
      </c>
      <c r="C482">
        <v>1</v>
      </c>
      <c r="D482" t="s">
        <v>31</v>
      </c>
      <c r="E482" t="s">
        <v>317</v>
      </c>
      <c r="G482">
        <v>24</v>
      </c>
      <c r="H482" t="s">
        <v>204</v>
      </c>
      <c r="I482" t="s">
        <v>205</v>
      </c>
      <c r="J482" t="s">
        <v>228</v>
      </c>
      <c r="K482" s="27">
        <v>46071.431944444441</v>
      </c>
    </row>
    <row r="483" spans="1:11" x14ac:dyDescent="0.25">
      <c r="A483" t="s">
        <v>799</v>
      </c>
      <c r="B483" s="26">
        <v>46033</v>
      </c>
      <c r="C483">
        <v>1</v>
      </c>
      <c r="D483" t="s">
        <v>31</v>
      </c>
      <c r="E483" t="s">
        <v>317</v>
      </c>
      <c r="G483">
        <v>32</v>
      </c>
      <c r="H483" t="s">
        <v>204</v>
      </c>
      <c r="I483" t="s">
        <v>205</v>
      </c>
      <c r="J483" t="s">
        <v>228</v>
      </c>
      <c r="K483" s="27">
        <v>46071.43204861111</v>
      </c>
    </row>
    <row r="484" spans="1:11" x14ac:dyDescent="0.25">
      <c r="A484" t="s">
        <v>800</v>
      </c>
      <c r="B484" s="26">
        <v>46034</v>
      </c>
      <c r="C484">
        <v>1</v>
      </c>
      <c r="D484" t="s">
        <v>31</v>
      </c>
      <c r="E484" t="s">
        <v>317</v>
      </c>
      <c r="G484">
        <v>44</v>
      </c>
      <c r="H484" t="s">
        <v>204</v>
      </c>
      <c r="I484" t="s">
        <v>205</v>
      </c>
      <c r="J484" t="s">
        <v>228</v>
      </c>
      <c r="K484" s="27">
        <v>46071.432164351849</v>
      </c>
    </row>
    <row r="485" spans="1:11" x14ac:dyDescent="0.25">
      <c r="A485" t="s">
        <v>801</v>
      </c>
      <c r="B485" s="26">
        <v>46034</v>
      </c>
      <c r="C485">
        <v>1</v>
      </c>
      <c r="D485" t="s">
        <v>31</v>
      </c>
      <c r="E485" t="s">
        <v>317</v>
      </c>
      <c r="G485">
        <v>61</v>
      </c>
      <c r="H485" t="s">
        <v>204</v>
      </c>
      <c r="I485" t="s">
        <v>205</v>
      </c>
      <c r="J485" t="s">
        <v>228</v>
      </c>
      <c r="K485" s="27">
        <v>46071.432233796295</v>
      </c>
    </row>
    <row r="486" spans="1:11" x14ac:dyDescent="0.25">
      <c r="A486" t="s">
        <v>802</v>
      </c>
      <c r="B486" s="26">
        <v>46034</v>
      </c>
      <c r="C486">
        <v>1</v>
      </c>
      <c r="D486" t="s">
        <v>31</v>
      </c>
      <c r="E486" t="s">
        <v>317</v>
      </c>
      <c r="G486">
        <v>19</v>
      </c>
      <c r="H486" t="s">
        <v>204</v>
      </c>
      <c r="I486" t="s">
        <v>205</v>
      </c>
      <c r="J486" t="s">
        <v>228</v>
      </c>
      <c r="K486" s="27">
        <v>46071.43241898148</v>
      </c>
    </row>
    <row r="487" spans="1:11" x14ac:dyDescent="0.25">
      <c r="A487" t="s">
        <v>803</v>
      </c>
      <c r="B487" s="26">
        <v>46034</v>
      </c>
      <c r="C487">
        <v>1</v>
      </c>
      <c r="D487" t="s">
        <v>31</v>
      </c>
      <c r="E487" t="s">
        <v>317</v>
      </c>
      <c r="G487">
        <v>65</v>
      </c>
      <c r="H487" t="s">
        <v>204</v>
      </c>
      <c r="I487" t="s">
        <v>205</v>
      </c>
      <c r="J487" t="s">
        <v>228</v>
      </c>
      <c r="K487" s="27">
        <v>46071.432442129626</v>
      </c>
    </row>
    <row r="488" spans="1:11" x14ac:dyDescent="0.25">
      <c r="A488" t="s">
        <v>804</v>
      </c>
      <c r="B488" s="26">
        <v>46034</v>
      </c>
      <c r="C488">
        <v>1</v>
      </c>
      <c r="D488" t="s">
        <v>31</v>
      </c>
      <c r="E488" t="s">
        <v>317</v>
      </c>
      <c r="G488">
        <v>35</v>
      </c>
      <c r="H488" t="s">
        <v>204</v>
      </c>
      <c r="I488" t="s">
        <v>205</v>
      </c>
      <c r="J488" t="s">
        <v>228</v>
      </c>
      <c r="K488" s="27">
        <v>46071.43246527778</v>
      </c>
    </row>
    <row r="489" spans="1:11" x14ac:dyDescent="0.25">
      <c r="A489" t="s">
        <v>805</v>
      </c>
      <c r="B489" s="26">
        <v>46035</v>
      </c>
      <c r="C489">
        <v>1</v>
      </c>
      <c r="D489" t="s">
        <v>31</v>
      </c>
      <c r="E489" t="s">
        <v>317</v>
      </c>
      <c r="G489">
        <v>25</v>
      </c>
      <c r="H489" t="s">
        <v>204</v>
      </c>
      <c r="I489" t="s">
        <v>205</v>
      </c>
      <c r="J489" t="s">
        <v>228</v>
      </c>
      <c r="K489" s="27">
        <v>46071.432546296295</v>
      </c>
    </row>
    <row r="490" spans="1:11" x14ac:dyDescent="0.25">
      <c r="A490" t="s">
        <v>806</v>
      </c>
      <c r="B490" s="26">
        <v>46035</v>
      </c>
      <c r="C490">
        <v>1</v>
      </c>
      <c r="D490" t="s">
        <v>31</v>
      </c>
      <c r="E490" t="s">
        <v>317</v>
      </c>
      <c r="G490">
        <v>82</v>
      </c>
      <c r="H490" t="s">
        <v>204</v>
      </c>
      <c r="I490" t="s">
        <v>205</v>
      </c>
      <c r="J490" t="s">
        <v>228</v>
      </c>
      <c r="K490" s="27">
        <v>46071.432569444441</v>
      </c>
    </row>
    <row r="491" spans="1:11" x14ac:dyDescent="0.25">
      <c r="A491" t="s">
        <v>807</v>
      </c>
      <c r="B491" s="26">
        <v>46035</v>
      </c>
      <c r="C491">
        <v>1</v>
      </c>
      <c r="D491" t="s">
        <v>31</v>
      </c>
      <c r="E491" t="s">
        <v>317</v>
      </c>
      <c r="G491">
        <v>64</v>
      </c>
      <c r="H491" t="s">
        <v>204</v>
      </c>
      <c r="I491" t="s">
        <v>205</v>
      </c>
      <c r="J491" t="s">
        <v>228</v>
      </c>
      <c r="K491" s="27">
        <v>46071.432592592595</v>
      </c>
    </row>
    <row r="492" spans="1:11" x14ac:dyDescent="0.25">
      <c r="A492" t="s">
        <v>808</v>
      </c>
      <c r="B492" s="26">
        <v>46035</v>
      </c>
      <c r="C492">
        <v>1</v>
      </c>
      <c r="D492" t="s">
        <v>31</v>
      </c>
      <c r="E492" t="s">
        <v>317</v>
      </c>
      <c r="G492">
        <v>24</v>
      </c>
      <c r="H492" t="s">
        <v>204</v>
      </c>
      <c r="I492" t="s">
        <v>205</v>
      </c>
      <c r="J492" t="s">
        <v>228</v>
      </c>
      <c r="K492" s="27">
        <v>46071.432615740741</v>
      </c>
    </row>
    <row r="493" spans="1:11" x14ac:dyDescent="0.25">
      <c r="A493" t="s">
        <v>809</v>
      </c>
      <c r="B493" s="26">
        <v>46035</v>
      </c>
      <c r="C493">
        <v>1</v>
      </c>
      <c r="D493" t="s">
        <v>31</v>
      </c>
      <c r="E493" t="s">
        <v>317</v>
      </c>
      <c r="G493">
        <v>54</v>
      </c>
      <c r="H493" t="s">
        <v>204</v>
      </c>
      <c r="I493" t="s">
        <v>205</v>
      </c>
      <c r="J493" t="s">
        <v>228</v>
      </c>
      <c r="K493" s="27">
        <v>46071.432662037034</v>
      </c>
    </row>
    <row r="494" spans="1:11" x14ac:dyDescent="0.25">
      <c r="A494" t="s">
        <v>810</v>
      </c>
      <c r="B494" s="26">
        <v>46036</v>
      </c>
      <c r="C494">
        <v>1</v>
      </c>
      <c r="D494" t="s">
        <v>31</v>
      </c>
      <c r="E494" t="s">
        <v>317</v>
      </c>
      <c r="G494">
        <v>44</v>
      </c>
      <c r="H494" t="s">
        <v>204</v>
      </c>
      <c r="I494" t="s">
        <v>205</v>
      </c>
      <c r="J494" t="s">
        <v>228</v>
      </c>
      <c r="K494" s="27">
        <v>46071.432800925926</v>
      </c>
    </row>
    <row r="495" spans="1:11" x14ac:dyDescent="0.25">
      <c r="A495" t="s">
        <v>811</v>
      </c>
      <c r="B495" s="26">
        <v>46037</v>
      </c>
      <c r="C495">
        <v>1</v>
      </c>
      <c r="D495" t="s">
        <v>31</v>
      </c>
      <c r="E495" t="s">
        <v>317</v>
      </c>
      <c r="G495">
        <v>31</v>
      </c>
      <c r="H495" t="s">
        <v>204</v>
      </c>
      <c r="I495" t="s">
        <v>205</v>
      </c>
      <c r="J495" t="s">
        <v>228</v>
      </c>
      <c r="K495" s="27">
        <v>46071.432928240742</v>
      </c>
    </row>
    <row r="496" spans="1:11" x14ac:dyDescent="0.25">
      <c r="A496" t="s">
        <v>812</v>
      </c>
      <c r="B496" s="26">
        <v>46037</v>
      </c>
      <c r="C496">
        <v>1</v>
      </c>
      <c r="D496" t="s">
        <v>31</v>
      </c>
      <c r="E496" t="s">
        <v>317</v>
      </c>
      <c r="G496">
        <v>41</v>
      </c>
      <c r="H496" t="s">
        <v>204</v>
      </c>
      <c r="I496" t="s">
        <v>205</v>
      </c>
      <c r="J496" t="s">
        <v>228</v>
      </c>
      <c r="K496" s="27">
        <v>46071.432939814818</v>
      </c>
    </row>
    <row r="497" spans="1:11" x14ac:dyDescent="0.25">
      <c r="A497" t="s">
        <v>813</v>
      </c>
      <c r="B497" s="26">
        <v>46039</v>
      </c>
      <c r="C497">
        <v>1</v>
      </c>
      <c r="D497" t="s">
        <v>31</v>
      </c>
      <c r="E497" t="s">
        <v>317</v>
      </c>
      <c r="G497">
        <v>52</v>
      </c>
      <c r="H497" t="s">
        <v>204</v>
      </c>
      <c r="I497" t="s">
        <v>205</v>
      </c>
      <c r="J497" t="s">
        <v>228</v>
      </c>
      <c r="K497" s="27">
        <v>46071.433125000003</v>
      </c>
    </row>
    <row r="498" spans="1:11" x14ac:dyDescent="0.25">
      <c r="A498" t="s">
        <v>814</v>
      </c>
      <c r="B498" s="26">
        <v>46039</v>
      </c>
      <c r="C498">
        <v>1</v>
      </c>
      <c r="D498" t="s">
        <v>31</v>
      </c>
      <c r="E498" t="s">
        <v>317</v>
      </c>
      <c r="G498">
        <v>60</v>
      </c>
      <c r="H498" t="s">
        <v>204</v>
      </c>
      <c r="I498" t="s">
        <v>205</v>
      </c>
      <c r="J498" t="s">
        <v>228</v>
      </c>
      <c r="K498" s="27">
        <v>46071.433148148149</v>
      </c>
    </row>
    <row r="499" spans="1:11" x14ac:dyDescent="0.25">
      <c r="A499" t="s">
        <v>815</v>
      </c>
      <c r="B499" s="26">
        <v>46039</v>
      </c>
      <c r="C499">
        <v>1</v>
      </c>
      <c r="D499" t="s">
        <v>31</v>
      </c>
      <c r="E499" t="s">
        <v>317</v>
      </c>
      <c r="G499">
        <v>30</v>
      </c>
      <c r="H499" t="s">
        <v>204</v>
      </c>
      <c r="I499" t="s">
        <v>205</v>
      </c>
      <c r="J499" t="s">
        <v>228</v>
      </c>
      <c r="K499" s="27">
        <v>46071.433159722219</v>
      </c>
    </row>
    <row r="500" spans="1:11" x14ac:dyDescent="0.25">
      <c r="A500" t="s">
        <v>816</v>
      </c>
      <c r="B500" s="26">
        <v>46040</v>
      </c>
      <c r="C500">
        <v>1</v>
      </c>
      <c r="D500" t="s">
        <v>31</v>
      </c>
      <c r="E500" t="s">
        <v>317</v>
      </c>
      <c r="G500">
        <v>45</v>
      </c>
      <c r="H500" t="s">
        <v>204</v>
      </c>
      <c r="I500" t="s">
        <v>205</v>
      </c>
      <c r="J500" t="s">
        <v>228</v>
      </c>
      <c r="K500" s="27">
        <v>46071.433287037034</v>
      </c>
    </row>
    <row r="501" spans="1:11" x14ac:dyDescent="0.25">
      <c r="A501" t="s">
        <v>817</v>
      </c>
      <c r="B501" s="26">
        <v>46040</v>
      </c>
      <c r="C501">
        <v>1</v>
      </c>
      <c r="D501" t="s">
        <v>31</v>
      </c>
      <c r="E501" t="s">
        <v>317</v>
      </c>
      <c r="G501">
        <v>40</v>
      </c>
      <c r="H501" t="s">
        <v>204</v>
      </c>
      <c r="I501" t="s">
        <v>205</v>
      </c>
      <c r="J501" t="s">
        <v>228</v>
      </c>
      <c r="K501" s="27">
        <v>46071.433333333334</v>
      </c>
    </row>
    <row r="502" spans="1:11" x14ac:dyDescent="0.25">
      <c r="A502" t="s">
        <v>818</v>
      </c>
      <c r="B502" s="26">
        <v>46040</v>
      </c>
      <c r="C502">
        <v>1</v>
      </c>
      <c r="D502" t="s">
        <v>31</v>
      </c>
      <c r="E502" t="s">
        <v>317</v>
      </c>
      <c r="G502">
        <v>21</v>
      </c>
      <c r="H502" t="s">
        <v>204</v>
      </c>
      <c r="I502" t="s">
        <v>205</v>
      </c>
      <c r="J502" t="s">
        <v>228</v>
      </c>
      <c r="K502" s="27">
        <v>46071.433344907404</v>
      </c>
    </row>
    <row r="503" spans="1:11" x14ac:dyDescent="0.25">
      <c r="A503" t="s">
        <v>819</v>
      </c>
      <c r="B503" s="26">
        <v>46040</v>
      </c>
      <c r="C503">
        <v>1</v>
      </c>
      <c r="D503" t="s">
        <v>31</v>
      </c>
      <c r="E503" t="s">
        <v>317</v>
      </c>
      <c r="G503">
        <v>14</v>
      </c>
      <c r="H503" t="s">
        <v>204</v>
      </c>
      <c r="I503" t="s">
        <v>205</v>
      </c>
      <c r="J503" t="s">
        <v>228</v>
      </c>
      <c r="K503" s="27">
        <v>46071.433379629627</v>
      </c>
    </row>
    <row r="504" spans="1:11" x14ac:dyDescent="0.25">
      <c r="A504" t="s">
        <v>820</v>
      </c>
      <c r="B504" s="26">
        <v>46041</v>
      </c>
      <c r="C504">
        <v>1</v>
      </c>
      <c r="D504" t="s">
        <v>31</v>
      </c>
      <c r="E504" t="s">
        <v>317</v>
      </c>
      <c r="G504">
        <v>21</v>
      </c>
      <c r="H504" t="s">
        <v>204</v>
      </c>
      <c r="I504" t="s">
        <v>205</v>
      </c>
      <c r="J504" t="s">
        <v>228</v>
      </c>
      <c r="K504" s="27">
        <v>46071.433495370373</v>
      </c>
    </row>
    <row r="505" spans="1:11" x14ac:dyDescent="0.25">
      <c r="A505" t="s">
        <v>821</v>
      </c>
      <c r="B505" s="26">
        <v>46041</v>
      </c>
      <c r="C505">
        <v>1</v>
      </c>
      <c r="D505" t="s">
        <v>31</v>
      </c>
      <c r="E505" t="s">
        <v>317</v>
      </c>
      <c r="G505">
        <v>64</v>
      </c>
      <c r="H505" t="s">
        <v>204</v>
      </c>
      <c r="I505" t="s">
        <v>205</v>
      </c>
      <c r="J505" t="s">
        <v>228</v>
      </c>
      <c r="K505" s="27">
        <v>46071.433518518519</v>
      </c>
    </row>
    <row r="506" spans="1:11" x14ac:dyDescent="0.25">
      <c r="A506" t="s">
        <v>822</v>
      </c>
      <c r="B506" s="26">
        <v>46041</v>
      </c>
      <c r="C506">
        <v>1</v>
      </c>
      <c r="D506" t="s">
        <v>31</v>
      </c>
      <c r="E506" t="s">
        <v>317</v>
      </c>
      <c r="G506">
        <v>90</v>
      </c>
      <c r="H506" t="s">
        <v>204</v>
      </c>
      <c r="I506" t="s">
        <v>205</v>
      </c>
      <c r="J506" t="s">
        <v>228</v>
      </c>
      <c r="K506" s="27">
        <v>46071.433553240742</v>
      </c>
    </row>
    <row r="507" spans="1:11" x14ac:dyDescent="0.25">
      <c r="A507" t="s">
        <v>823</v>
      </c>
      <c r="B507" s="26">
        <v>46042</v>
      </c>
      <c r="C507">
        <v>1</v>
      </c>
      <c r="D507" t="s">
        <v>31</v>
      </c>
      <c r="E507" t="s">
        <v>317</v>
      </c>
      <c r="G507">
        <v>49</v>
      </c>
      <c r="H507" t="s">
        <v>204</v>
      </c>
      <c r="I507" t="s">
        <v>205</v>
      </c>
      <c r="J507" t="s">
        <v>228</v>
      </c>
      <c r="K507" s="27">
        <v>46071.43408564815</v>
      </c>
    </row>
    <row r="508" spans="1:11" x14ac:dyDescent="0.25">
      <c r="A508" t="s">
        <v>824</v>
      </c>
      <c r="B508" s="26">
        <v>46042</v>
      </c>
      <c r="C508">
        <v>1</v>
      </c>
      <c r="D508" t="s">
        <v>31</v>
      </c>
      <c r="E508" t="s">
        <v>317</v>
      </c>
      <c r="G508">
        <v>19</v>
      </c>
      <c r="H508" t="s">
        <v>204</v>
      </c>
      <c r="I508" t="s">
        <v>205</v>
      </c>
      <c r="J508" t="s">
        <v>228</v>
      </c>
      <c r="K508" s="27">
        <v>46071.434108796297</v>
      </c>
    </row>
    <row r="509" spans="1:11" x14ac:dyDescent="0.25">
      <c r="A509" t="s">
        <v>825</v>
      </c>
      <c r="B509" s="26">
        <v>46042</v>
      </c>
      <c r="C509">
        <v>1</v>
      </c>
      <c r="D509" t="s">
        <v>31</v>
      </c>
      <c r="E509" t="s">
        <v>317</v>
      </c>
      <c r="G509">
        <v>67</v>
      </c>
      <c r="H509" t="s">
        <v>204</v>
      </c>
      <c r="I509" t="s">
        <v>205</v>
      </c>
      <c r="J509" t="s">
        <v>228</v>
      </c>
      <c r="K509" s="27">
        <v>46071.434131944443</v>
      </c>
    </row>
    <row r="510" spans="1:11" x14ac:dyDescent="0.25">
      <c r="A510" t="s">
        <v>826</v>
      </c>
      <c r="B510" s="26">
        <v>46042</v>
      </c>
      <c r="C510">
        <v>1</v>
      </c>
      <c r="D510" t="s">
        <v>31</v>
      </c>
      <c r="E510" t="s">
        <v>317</v>
      </c>
      <c r="G510">
        <v>24</v>
      </c>
      <c r="H510" t="s">
        <v>204</v>
      </c>
      <c r="I510" t="s">
        <v>205</v>
      </c>
      <c r="J510" t="s">
        <v>228</v>
      </c>
      <c r="K510" s="27">
        <v>46071.434155092589</v>
      </c>
    </row>
    <row r="511" spans="1:11" x14ac:dyDescent="0.25">
      <c r="A511" t="s">
        <v>827</v>
      </c>
      <c r="B511" s="26">
        <v>46043</v>
      </c>
      <c r="C511">
        <v>1</v>
      </c>
      <c r="D511" t="s">
        <v>31</v>
      </c>
      <c r="E511" t="s">
        <v>317</v>
      </c>
      <c r="G511">
        <v>68</v>
      </c>
      <c r="H511" t="s">
        <v>204</v>
      </c>
      <c r="I511" t="s">
        <v>205</v>
      </c>
      <c r="J511" t="s">
        <v>228</v>
      </c>
      <c r="K511" s="27">
        <v>46071.434282407405</v>
      </c>
    </row>
    <row r="512" spans="1:11" x14ac:dyDescent="0.25">
      <c r="A512" t="s">
        <v>828</v>
      </c>
      <c r="B512" s="26">
        <v>46044</v>
      </c>
      <c r="C512">
        <v>1</v>
      </c>
      <c r="D512" t="s">
        <v>31</v>
      </c>
      <c r="E512" t="s">
        <v>317</v>
      </c>
      <c r="G512">
        <v>17</v>
      </c>
      <c r="H512" t="s">
        <v>204</v>
      </c>
      <c r="I512" t="s">
        <v>205</v>
      </c>
      <c r="J512" t="s">
        <v>228</v>
      </c>
      <c r="K512" s="27">
        <v>46071.43445601852</v>
      </c>
    </row>
    <row r="513" spans="1:11" x14ac:dyDescent="0.25">
      <c r="A513" t="s">
        <v>829</v>
      </c>
      <c r="B513" s="26">
        <v>46044</v>
      </c>
      <c r="C513">
        <v>1</v>
      </c>
      <c r="D513" t="s">
        <v>31</v>
      </c>
      <c r="E513" t="s">
        <v>317</v>
      </c>
      <c r="G513">
        <v>23</v>
      </c>
      <c r="H513" t="s">
        <v>204</v>
      </c>
      <c r="I513" t="s">
        <v>205</v>
      </c>
      <c r="J513" t="s">
        <v>228</v>
      </c>
      <c r="K513" s="27">
        <v>46071.434583333335</v>
      </c>
    </row>
    <row r="514" spans="1:11" x14ac:dyDescent="0.25">
      <c r="A514" t="s">
        <v>830</v>
      </c>
      <c r="B514" s="26">
        <v>46045</v>
      </c>
      <c r="C514">
        <v>1</v>
      </c>
      <c r="D514" t="s">
        <v>31</v>
      </c>
      <c r="E514" t="s">
        <v>317</v>
      </c>
      <c r="G514">
        <v>58</v>
      </c>
      <c r="H514" t="s">
        <v>204</v>
      </c>
      <c r="I514" t="s">
        <v>205</v>
      </c>
      <c r="J514" t="s">
        <v>228</v>
      </c>
      <c r="K514" s="27">
        <v>46071.434733796297</v>
      </c>
    </row>
    <row r="515" spans="1:11" x14ac:dyDescent="0.25">
      <c r="A515" t="s">
        <v>831</v>
      </c>
      <c r="B515" s="26">
        <v>46045</v>
      </c>
      <c r="C515">
        <v>1</v>
      </c>
      <c r="D515" t="s">
        <v>31</v>
      </c>
      <c r="E515" t="s">
        <v>317</v>
      </c>
      <c r="G515">
        <v>79</v>
      </c>
      <c r="H515" t="s">
        <v>204</v>
      </c>
      <c r="I515" t="s">
        <v>205</v>
      </c>
      <c r="J515" t="s">
        <v>228</v>
      </c>
      <c r="K515" s="27">
        <v>46071.43476851852</v>
      </c>
    </row>
    <row r="516" spans="1:11" x14ac:dyDescent="0.25">
      <c r="A516" t="s">
        <v>832</v>
      </c>
      <c r="B516" s="26">
        <v>46045</v>
      </c>
      <c r="C516">
        <v>1</v>
      </c>
      <c r="D516" t="s">
        <v>31</v>
      </c>
      <c r="E516" t="s">
        <v>317</v>
      </c>
      <c r="G516">
        <v>60</v>
      </c>
      <c r="H516" t="s">
        <v>204</v>
      </c>
      <c r="I516" t="s">
        <v>205</v>
      </c>
      <c r="J516" t="s">
        <v>228</v>
      </c>
      <c r="K516" s="27">
        <v>46071.435081018521</v>
      </c>
    </row>
    <row r="517" spans="1:11" x14ac:dyDescent="0.25">
      <c r="A517" t="s">
        <v>833</v>
      </c>
      <c r="B517" s="26">
        <v>46045</v>
      </c>
      <c r="C517">
        <v>1</v>
      </c>
      <c r="D517" t="s">
        <v>31</v>
      </c>
      <c r="E517" t="s">
        <v>317</v>
      </c>
      <c r="G517">
        <v>27</v>
      </c>
      <c r="H517" t="s">
        <v>204</v>
      </c>
      <c r="I517" t="s">
        <v>205</v>
      </c>
      <c r="J517" t="s">
        <v>228</v>
      </c>
      <c r="K517" s="27">
        <v>46071.435011574074</v>
      </c>
    </row>
    <row r="518" spans="1:11" x14ac:dyDescent="0.25">
      <c r="A518" t="s">
        <v>834</v>
      </c>
      <c r="B518" s="26">
        <v>46046</v>
      </c>
      <c r="C518">
        <v>1</v>
      </c>
      <c r="D518" t="s">
        <v>31</v>
      </c>
      <c r="E518" t="s">
        <v>317</v>
      </c>
      <c r="G518">
        <v>62</v>
      </c>
      <c r="H518" t="s">
        <v>204</v>
      </c>
      <c r="I518" t="s">
        <v>205</v>
      </c>
      <c r="J518" t="s">
        <v>228</v>
      </c>
      <c r="K518" s="27">
        <v>46071.435173611113</v>
      </c>
    </row>
    <row r="519" spans="1:11" x14ac:dyDescent="0.25">
      <c r="A519" t="s">
        <v>835</v>
      </c>
      <c r="B519" s="26">
        <v>46046</v>
      </c>
      <c r="C519">
        <v>1</v>
      </c>
      <c r="D519" t="s">
        <v>31</v>
      </c>
      <c r="E519" t="s">
        <v>317</v>
      </c>
      <c r="G519">
        <v>28</v>
      </c>
      <c r="H519" t="s">
        <v>204</v>
      </c>
      <c r="I519" t="s">
        <v>205</v>
      </c>
      <c r="J519" t="s">
        <v>228</v>
      </c>
      <c r="K519" s="27">
        <v>46071.435196759259</v>
      </c>
    </row>
    <row r="520" spans="1:11" x14ac:dyDescent="0.25">
      <c r="A520" t="s">
        <v>836</v>
      </c>
      <c r="B520" s="26">
        <v>46048</v>
      </c>
      <c r="C520">
        <v>1</v>
      </c>
      <c r="D520" t="s">
        <v>31</v>
      </c>
      <c r="E520" t="s">
        <v>317</v>
      </c>
      <c r="G520">
        <v>56</v>
      </c>
      <c r="H520" t="s">
        <v>204</v>
      </c>
      <c r="I520" t="s">
        <v>205</v>
      </c>
      <c r="J520" t="s">
        <v>228</v>
      </c>
      <c r="K520" s="27">
        <v>46071.435497685183</v>
      </c>
    </row>
    <row r="521" spans="1:11" x14ac:dyDescent="0.25">
      <c r="A521" t="s">
        <v>837</v>
      </c>
      <c r="B521" s="26">
        <v>46048</v>
      </c>
      <c r="C521">
        <v>1</v>
      </c>
      <c r="D521" t="s">
        <v>31</v>
      </c>
      <c r="E521" t="s">
        <v>317</v>
      </c>
      <c r="G521">
        <v>19</v>
      </c>
      <c r="H521" t="s">
        <v>204</v>
      </c>
      <c r="I521" t="s">
        <v>205</v>
      </c>
      <c r="J521" t="s">
        <v>228</v>
      </c>
      <c r="K521" s="27">
        <v>46071.435532407406</v>
      </c>
    </row>
    <row r="522" spans="1:11" x14ac:dyDescent="0.25">
      <c r="A522" t="s">
        <v>838</v>
      </c>
      <c r="B522" s="26">
        <v>46049</v>
      </c>
      <c r="C522">
        <v>1</v>
      </c>
      <c r="D522" t="s">
        <v>31</v>
      </c>
      <c r="E522" t="s">
        <v>317</v>
      </c>
      <c r="G522">
        <v>90</v>
      </c>
      <c r="H522" t="s">
        <v>204</v>
      </c>
      <c r="I522" t="s">
        <v>205</v>
      </c>
      <c r="J522" t="s">
        <v>228</v>
      </c>
      <c r="K522" s="27">
        <v>46071.435613425929</v>
      </c>
    </row>
    <row r="523" spans="1:11" x14ac:dyDescent="0.25">
      <c r="A523" t="s">
        <v>839</v>
      </c>
      <c r="B523" s="26">
        <v>46049</v>
      </c>
      <c r="C523">
        <v>1</v>
      </c>
      <c r="D523" t="s">
        <v>31</v>
      </c>
      <c r="E523" t="s">
        <v>317</v>
      </c>
      <c r="G523">
        <v>27</v>
      </c>
      <c r="H523" t="s">
        <v>204</v>
      </c>
      <c r="I523" t="s">
        <v>205</v>
      </c>
      <c r="J523" t="s">
        <v>228</v>
      </c>
      <c r="K523" s="27">
        <v>46071.435636574075</v>
      </c>
    </row>
    <row r="524" spans="1:11" x14ac:dyDescent="0.25">
      <c r="A524" t="s">
        <v>840</v>
      </c>
      <c r="B524" s="26">
        <v>46049</v>
      </c>
      <c r="C524">
        <v>1</v>
      </c>
      <c r="D524" t="s">
        <v>31</v>
      </c>
      <c r="E524" t="s">
        <v>317</v>
      </c>
      <c r="G524">
        <v>70</v>
      </c>
      <c r="H524" t="s">
        <v>204</v>
      </c>
      <c r="I524" t="s">
        <v>205</v>
      </c>
      <c r="J524" t="s">
        <v>228</v>
      </c>
      <c r="K524" s="27">
        <v>46071.435659722221</v>
      </c>
    </row>
    <row r="525" spans="1:11" x14ac:dyDescent="0.25">
      <c r="A525" t="s">
        <v>841</v>
      </c>
      <c r="B525" s="26">
        <v>46050</v>
      </c>
      <c r="C525">
        <v>1</v>
      </c>
      <c r="D525" t="s">
        <v>31</v>
      </c>
      <c r="E525" t="s">
        <v>317</v>
      </c>
      <c r="G525">
        <v>21</v>
      </c>
      <c r="H525" t="s">
        <v>204</v>
      </c>
      <c r="I525" t="s">
        <v>205</v>
      </c>
      <c r="J525" t="s">
        <v>228</v>
      </c>
      <c r="K525" s="27">
        <v>46071.435740740744</v>
      </c>
    </row>
    <row r="526" spans="1:11" x14ac:dyDescent="0.25">
      <c r="A526" t="s">
        <v>842</v>
      </c>
      <c r="B526" s="26">
        <v>46051</v>
      </c>
      <c r="C526">
        <v>1</v>
      </c>
      <c r="D526" t="s">
        <v>31</v>
      </c>
      <c r="E526" t="s">
        <v>317</v>
      </c>
      <c r="G526">
        <v>78</v>
      </c>
      <c r="H526" t="s">
        <v>204</v>
      </c>
      <c r="I526" t="s">
        <v>205</v>
      </c>
      <c r="J526" t="s">
        <v>228</v>
      </c>
      <c r="K526" s="27">
        <v>46071.435810185183</v>
      </c>
    </row>
    <row r="527" spans="1:11" x14ac:dyDescent="0.25">
      <c r="A527" t="s">
        <v>843</v>
      </c>
      <c r="B527" s="26">
        <v>46051</v>
      </c>
      <c r="C527">
        <v>1</v>
      </c>
      <c r="D527" t="s">
        <v>31</v>
      </c>
      <c r="E527" t="s">
        <v>317</v>
      </c>
      <c r="G527">
        <v>77</v>
      </c>
      <c r="H527" t="s">
        <v>204</v>
      </c>
      <c r="I527" t="s">
        <v>205</v>
      </c>
      <c r="J527" t="s">
        <v>228</v>
      </c>
      <c r="K527" s="27">
        <v>46071.43582175926</v>
      </c>
    </row>
    <row r="528" spans="1:11" x14ac:dyDescent="0.25">
      <c r="A528" t="s">
        <v>844</v>
      </c>
      <c r="B528" s="26">
        <v>46052</v>
      </c>
      <c r="C528">
        <v>1</v>
      </c>
      <c r="D528" t="s">
        <v>31</v>
      </c>
      <c r="E528" t="s">
        <v>317</v>
      </c>
      <c r="G528">
        <v>20</v>
      </c>
      <c r="H528" t="s">
        <v>204</v>
      </c>
      <c r="I528" t="s">
        <v>205</v>
      </c>
      <c r="J528" t="s">
        <v>228</v>
      </c>
      <c r="K528" s="27">
        <v>46071.435902777775</v>
      </c>
    </row>
    <row r="529" spans="1:11" x14ac:dyDescent="0.25">
      <c r="A529" t="s">
        <v>845</v>
      </c>
      <c r="B529" s="26">
        <v>46052</v>
      </c>
      <c r="C529">
        <v>1</v>
      </c>
      <c r="D529" t="s">
        <v>31</v>
      </c>
      <c r="E529" t="s">
        <v>317</v>
      </c>
      <c r="G529">
        <v>34</v>
      </c>
      <c r="H529" t="s">
        <v>204</v>
      </c>
      <c r="I529" t="s">
        <v>205</v>
      </c>
      <c r="J529" t="s">
        <v>228</v>
      </c>
      <c r="K529" s="27">
        <v>46071.435937499999</v>
      </c>
    </row>
    <row r="530" spans="1:11" x14ac:dyDescent="0.25">
      <c r="A530" t="s">
        <v>846</v>
      </c>
      <c r="B530" s="26">
        <v>46023</v>
      </c>
      <c r="C530">
        <v>1</v>
      </c>
      <c r="D530" t="s">
        <v>33</v>
      </c>
      <c r="E530" t="s">
        <v>317</v>
      </c>
      <c r="G530">
        <v>1</v>
      </c>
      <c r="H530" t="s">
        <v>204</v>
      </c>
      <c r="I530" t="s">
        <v>234</v>
      </c>
      <c r="J530" t="s">
        <v>228</v>
      </c>
      <c r="K530" s="27">
        <v>46071.436979166669</v>
      </c>
    </row>
    <row r="531" spans="1:11" x14ac:dyDescent="0.25">
      <c r="A531" t="s">
        <v>847</v>
      </c>
      <c r="B531" s="26">
        <v>46025</v>
      </c>
      <c r="C531">
        <v>1</v>
      </c>
      <c r="D531" t="s">
        <v>33</v>
      </c>
      <c r="E531" t="s">
        <v>317</v>
      </c>
      <c r="G531">
        <v>2</v>
      </c>
      <c r="H531" t="s">
        <v>204</v>
      </c>
      <c r="I531" t="s">
        <v>234</v>
      </c>
      <c r="J531" t="s">
        <v>228</v>
      </c>
      <c r="K531" s="27">
        <v>46071.437118055554</v>
      </c>
    </row>
    <row r="532" spans="1:11" x14ac:dyDescent="0.25">
      <c r="A532" t="s">
        <v>848</v>
      </c>
      <c r="B532" s="26">
        <v>46025</v>
      </c>
      <c r="C532">
        <v>1</v>
      </c>
      <c r="D532" t="s">
        <v>33</v>
      </c>
      <c r="E532" t="s">
        <v>317</v>
      </c>
      <c r="G532">
        <v>3</v>
      </c>
      <c r="H532" t="s">
        <v>204</v>
      </c>
      <c r="I532" t="s">
        <v>234</v>
      </c>
      <c r="J532" t="s">
        <v>228</v>
      </c>
      <c r="K532" s="27">
        <v>46071.437141203707</v>
      </c>
    </row>
    <row r="533" spans="1:11" x14ac:dyDescent="0.25">
      <c r="A533" t="s">
        <v>849</v>
      </c>
      <c r="B533" s="26">
        <v>46025</v>
      </c>
      <c r="C533">
        <v>1</v>
      </c>
      <c r="D533" t="s">
        <v>33</v>
      </c>
      <c r="E533" t="s">
        <v>317</v>
      </c>
      <c r="G533">
        <v>2</v>
      </c>
      <c r="H533" t="s">
        <v>204</v>
      </c>
      <c r="I533" t="s">
        <v>234</v>
      </c>
      <c r="J533" t="s">
        <v>228</v>
      </c>
      <c r="K533" s="27">
        <v>46071.437152777777</v>
      </c>
    </row>
    <row r="534" spans="1:11" x14ac:dyDescent="0.25">
      <c r="A534" t="s">
        <v>850</v>
      </c>
      <c r="B534" s="26">
        <v>46026</v>
      </c>
      <c r="C534">
        <v>1</v>
      </c>
      <c r="D534" t="s">
        <v>33</v>
      </c>
      <c r="E534" t="s">
        <v>317</v>
      </c>
      <c r="G534">
        <v>2</v>
      </c>
      <c r="H534" t="s">
        <v>204</v>
      </c>
      <c r="I534" t="s">
        <v>234</v>
      </c>
      <c r="J534" t="s">
        <v>228</v>
      </c>
      <c r="K534" s="27">
        <v>46071.437245370369</v>
      </c>
    </row>
    <row r="535" spans="1:11" x14ac:dyDescent="0.25">
      <c r="A535" t="s">
        <v>851</v>
      </c>
      <c r="B535" s="26">
        <v>46026</v>
      </c>
      <c r="C535">
        <v>1</v>
      </c>
      <c r="D535" t="s">
        <v>33</v>
      </c>
      <c r="E535" t="s">
        <v>317</v>
      </c>
      <c r="G535">
        <v>6</v>
      </c>
      <c r="H535" t="s">
        <v>204</v>
      </c>
      <c r="I535" t="s">
        <v>205</v>
      </c>
      <c r="J535" t="s">
        <v>228</v>
      </c>
      <c r="K535" s="27">
        <v>46071.437303240738</v>
      </c>
    </row>
    <row r="536" spans="1:11" x14ac:dyDescent="0.25">
      <c r="A536" t="s">
        <v>852</v>
      </c>
      <c r="B536" s="26">
        <v>46027</v>
      </c>
      <c r="C536">
        <v>1</v>
      </c>
      <c r="D536" t="s">
        <v>33</v>
      </c>
      <c r="E536" t="s">
        <v>317</v>
      </c>
      <c r="G536">
        <v>4</v>
      </c>
      <c r="H536" t="s">
        <v>204</v>
      </c>
      <c r="I536" t="s">
        <v>205</v>
      </c>
      <c r="J536" t="s">
        <v>228</v>
      </c>
      <c r="K536" s="27">
        <v>46071.437384259261</v>
      </c>
    </row>
    <row r="537" spans="1:11" x14ac:dyDescent="0.25">
      <c r="A537" t="s">
        <v>853</v>
      </c>
      <c r="B537" s="26">
        <v>46027</v>
      </c>
      <c r="C537">
        <v>1</v>
      </c>
      <c r="D537" t="s">
        <v>33</v>
      </c>
      <c r="E537" t="s">
        <v>317</v>
      </c>
      <c r="G537">
        <v>5</v>
      </c>
      <c r="H537" t="s">
        <v>622</v>
      </c>
      <c r="I537" t="s">
        <v>205</v>
      </c>
      <c r="J537" t="s">
        <v>228</v>
      </c>
      <c r="K537" s="27">
        <v>46071.437824074077</v>
      </c>
    </row>
    <row r="538" spans="1:11" x14ac:dyDescent="0.25">
      <c r="A538" t="s">
        <v>854</v>
      </c>
      <c r="B538" s="26">
        <v>46028</v>
      </c>
      <c r="C538">
        <v>1</v>
      </c>
      <c r="D538" t="s">
        <v>33</v>
      </c>
      <c r="E538" t="s">
        <v>317</v>
      </c>
      <c r="G538">
        <v>9</v>
      </c>
      <c r="H538" t="s">
        <v>204</v>
      </c>
      <c r="I538" t="s">
        <v>234</v>
      </c>
      <c r="J538" t="s">
        <v>228</v>
      </c>
      <c r="K538" s="27">
        <v>46071.437962962962</v>
      </c>
    </row>
    <row r="539" spans="1:11" x14ac:dyDescent="0.25">
      <c r="A539" t="s">
        <v>855</v>
      </c>
      <c r="B539" s="26">
        <v>46028</v>
      </c>
      <c r="C539">
        <v>1</v>
      </c>
      <c r="D539" t="s">
        <v>33</v>
      </c>
      <c r="E539" t="s">
        <v>317</v>
      </c>
      <c r="G539">
        <v>5</v>
      </c>
      <c r="H539" t="s">
        <v>204</v>
      </c>
      <c r="I539" t="s">
        <v>205</v>
      </c>
      <c r="J539" t="s">
        <v>228</v>
      </c>
      <c r="K539" s="27">
        <v>46071.438032407408</v>
      </c>
    </row>
    <row r="540" spans="1:11" x14ac:dyDescent="0.25">
      <c r="A540" t="s">
        <v>856</v>
      </c>
      <c r="B540" s="26">
        <v>46029</v>
      </c>
      <c r="C540">
        <v>1</v>
      </c>
      <c r="D540" t="s">
        <v>33</v>
      </c>
      <c r="E540" t="s">
        <v>317</v>
      </c>
      <c r="G540">
        <v>9</v>
      </c>
      <c r="H540" t="s">
        <v>204</v>
      </c>
      <c r="I540" t="s">
        <v>205</v>
      </c>
      <c r="J540" t="s">
        <v>228</v>
      </c>
      <c r="K540" s="27">
        <v>46071.438125000001</v>
      </c>
    </row>
    <row r="541" spans="1:11" x14ac:dyDescent="0.25">
      <c r="A541" t="s">
        <v>857</v>
      </c>
      <c r="B541" s="26">
        <v>46031</v>
      </c>
      <c r="C541">
        <v>1</v>
      </c>
      <c r="D541" t="s">
        <v>33</v>
      </c>
      <c r="E541" t="s">
        <v>317</v>
      </c>
      <c r="G541">
        <v>3</v>
      </c>
      <c r="H541" t="s">
        <v>204</v>
      </c>
      <c r="I541" t="s">
        <v>205</v>
      </c>
      <c r="J541" t="s">
        <v>228</v>
      </c>
      <c r="K541" s="27">
        <v>46071.438263888886</v>
      </c>
    </row>
    <row r="542" spans="1:11" x14ac:dyDescent="0.25">
      <c r="A542" t="s">
        <v>858</v>
      </c>
      <c r="B542" s="26">
        <v>46031</v>
      </c>
      <c r="C542">
        <v>1</v>
      </c>
      <c r="D542" t="s">
        <v>33</v>
      </c>
      <c r="E542" t="s">
        <v>317</v>
      </c>
      <c r="G542">
        <v>1</v>
      </c>
      <c r="H542" t="s">
        <v>204</v>
      </c>
      <c r="I542" t="s">
        <v>234</v>
      </c>
      <c r="J542" t="s">
        <v>228</v>
      </c>
      <c r="K542" s="27">
        <v>46071.438368055555</v>
      </c>
    </row>
    <row r="543" spans="1:11" x14ac:dyDescent="0.25">
      <c r="A543" t="s">
        <v>859</v>
      </c>
      <c r="B543" s="26">
        <v>46032</v>
      </c>
      <c r="C543">
        <v>1</v>
      </c>
      <c r="D543" t="s">
        <v>33</v>
      </c>
      <c r="E543" t="s">
        <v>317</v>
      </c>
      <c r="G543">
        <v>2</v>
      </c>
      <c r="H543" t="s">
        <v>204</v>
      </c>
      <c r="I543" t="s">
        <v>205</v>
      </c>
      <c r="J543" t="s">
        <v>228</v>
      </c>
      <c r="K543" s="27">
        <v>46071.438472222224</v>
      </c>
    </row>
    <row r="544" spans="1:11" x14ac:dyDescent="0.25">
      <c r="A544" t="s">
        <v>860</v>
      </c>
      <c r="B544" s="26">
        <v>46032</v>
      </c>
      <c r="C544">
        <v>1</v>
      </c>
      <c r="D544" t="s">
        <v>33</v>
      </c>
      <c r="E544" t="s">
        <v>317</v>
      </c>
      <c r="G544">
        <v>3</v>
      </c>
      <c r="H544" t="s">
        <v>204</v>
      </c>
      <c r="I544" t="s">
        <v>205</v>
      </c>
      <c r="J544" t="s">
        <v>228</v>
      </c>
      <c r="K544" s="27">
        <v>46071.438506944447</v>
      </c>
    </row>
    <row r="545" spans="1:11" x14ac:dyDescent="0.25">
      <c r="A545" t="s">
        <v>861</v>
      </c>
      <c r="B545" s="26">
        <v>46033</v>
      </c>
      <c r="C545">
        <v>1</v>
      </c>
      <c r="D545" t="s">
        <v>33</v>
      </c>
      <c r="E545" t="s">
        <v>317</v>
      </c>
      <c r="G545">
        <v>3</v>
      </c>
      <c r="H545" t="s">
        <v>204</v>
      </c>
      <c r="I545" t="s">
        <v>205</v>
      </c>
      <c r="J545" t="s">
        <v>228</v>
      </c>
      <c r="K545" s="27">
        <v>46071.438645833332</v>
      </c>
    </row>
    <row r="546" spans="1:11" x14ac:dyDescent="0.25">
      <c r="A546" t="s">
        <v>862</v>
      </c>
      <c r="B546" s="26">
        <v>46033</v>
      </c>
      <c r="C546">
        <v>1</v>
      </c>
      <c r="D546" t="s">
        <v>33</v>
      </c>
      <c r="E546" t="s">
        <v>317</v>
      </c>
      <c r="G546">
        <v>8</v>
      </c>
      <c r="H546" t="s">
        <v>204</v>
      </c>
      <c r="I546" t="s">
        <v>205</v>
      </c>
      <c r="J546" t="s">
        <v>228</v>
      </c>
      <c r="K546" s="27">
        <v>46071.438657407409</v>
      </c>
    </row>
    <row r="547" spans="1:11" x14ac:dyDescent="0.25">
      <c r="A547" t="s">
        <v>863</v>
      </c>
      <c r="B547" s="26">
        <v>46033</v>
      </c>
      <c r="C547">
        <v>1</v>
      </c>
      <c r="D547" t="s">
        <v>33</v>
      </c>
      <c r="E547" t="s">
        <v>317</v>
      </c>
      <c r="G547">
        <v>6</v>
      </c>
      <c r="H547" t="s">
        <v>204</v>
      </c>
      <c r="I547" t="s">
        <v>234</v>
      </c>
      <c r="J547" t="s">
        <v>228</v>
      </c>
      <c r="K547" s="27">
        <v>46071.438761574071</v>
      </c>
    </row>
    <row r="548" spans="1:11" x14ac:dyDescent="0.25">
      <c r="A548" t="s">
        <v>864</v>
      </c>
      <c r="B548" s="26">
        <v>46033</v>
      </c>
      <c r="C548">
        <v>1</v>
      </c>
      <c r="D548" t="s">
        <v>33</v>
      </c>
      <c r="E548" t="s">
        <v>317</v>
      </c>
      <c r="G548">
        <v>2</v>
      </c>
      <c r="H548" t="s">
        <v>204</v>
      </c>
      <c r="I548" t="s">
        <v>234</v>
      </c>
      <c r="J548" t="s">
        <v>228</v>
      </c>
      <c r="K548" s="27">
        <v>46071.438819444447</v>
      </c>
    </row>
    <row r="549" spans="1:11" x14ac:dyDescent="0.25">
      <c r="A549" t="s">
        <v>865</v>
      </c>
      <c r="B549" s="26">
        <v>46033</v>
      </c>
      <c r="C549">
        <v>1</v>
      </c>
      <c r="D549" t="s">
        <v>33</v>
      </c>
      <c r="E549" t="s">
        <v>317</v>
      </c>
      <c r="G549">
        <v>9</v>
      </c>
      <c r="H549" t="s">
        <v>204</v>
      </c>
      <c r="I549" t="s">
        <v>234</v>
      </c>
      <c r="J549" t="s">
        <v>228</v>
      </c>
      <c r="K549" s="27">
        <v>46071.438854166663</v>
      </c>
    </row>
    <row r="550" spans="1:11" x14ac:dyDescent="0.25">
      <c r="A550" t="s">
        <v>866</v>
      </c>
      <c r="B550" s="26">
        <v>46034</v>
      </c>
      <c r="C550">
        <v>1</v>
      </c>
      <c r="D550" t="s">
        <v>33</v>
      </c>
      <c r="E550" t="s">
        <v>317</v>
      </c>
      <c r="G550">
        <v>11</v>
      </c>
      <c r="H550" t="s">
        <v>204</v>
      </c>
      <c r="I550" t="s">
        <v>234</v>
      </c>
      <c r="J550" t="s">
        <v>228</v>
      </c>
      <c r="K550" s="27">
        <v>46071.438981481479</v>
      </c>
    </row>
    <row r="551" spans="1:11" x14ac:dyDescent="0.25">
      <c r="A551" t="s">
        <v>867</v>
      </c>
      <c r="B551" s="26">
        <v>46034</v>
      </c>
      <c r="C551">
        <v>1</v>
      </c>
      <c r="D551" t="s">
        <v>33</v>
      </c>
      <c r="E551" t="s">
        <v>317</v>
      </c>
      <c r="G551">
        <v>1</v>
      </c>
      <c r="H551" t="s">
        <v>204</v>
      </c>
      <c r="I551" t="s">
        <v>234</v>
      </c>
      <c r="J551" t="s">
        <v>228</v>
      </c>
      <c r="K551" s="27">
        <v>46071.439050925925</v>
      </c>
    </row>
    <row r="552" spans="1:11" x14ac:dyDescent="0.25">
      <c r="A552" t="s">
        <v>868</v>
      </c>
      <c r="B552" s="26">
        <v>46034</v>
      </c>
      <c r="C552">
        <v>1</v>
      </c>
      <c r="D552" t="s">
        <v>33</v>
      </c>
      <c r="E552" t="s">
        <v>317</v>
      </c>
      <c r="G552">
        <v>1</v>
      </c>
      <c r="H552" t="s">
        <v>622</v>
      </c>
      <c r="I552" t="s">
        <v>234</v>
      </c>
      <c r="J552" t="s">
        <v>228</v>
      </c>
      <c r="K552" s="27">
        <v>46071.43917824074</v>
      </c>
    </row>
    <row r="553" spans="1:11" x14ac:dyDescent="0.25">
      <c r="A553" t="s">
        <v>869</v>
      </c>
      <c r="B553" s="26">
        <v>46034</v>
      </c>
      <c r="C553">
        <v>1</v>
      </c>
      <c r="D553" t="s">
        <v>33</v>
      </c>
      <c r="E553" t="s">
        <v>317</v>
      </c>
      <c r="G553">
        <v>6</v>
      </c>
      <c r="H553" t="s">
        <v>204</v>
      </c>
      <c r="I553" t="s">
        <v>205</v>
      </c>
      <c r="J553" t="s">
        <v>228</v>
      </c>
      <c r="K553" s="27">
        <v>46071.43922453704</v>
      </c>
    </row>
    <row r="554" spans="1:11" x14ac:dyDescent="0.25">
      <c r="A554" t="s">
        <v>870</v>
      </c>
      <c r="B554" s="26">
        <v>46035</v>
      </c>
      <c r="C554">
        <v>1</v>
      </c>
      <c r="D554" t="s">
        <v>33</v>
      </c>
      <c r="E554" t="s">
        <v>317</v>
      </c>
      <c r="G554">
        <v>8</v>
      </c>
      <c r="H554" t="s">
        <v>204</v>
      </c>
      <c r="I554" t="s">
        <v>205</v>
      </c>
      <c r="J554" t="s">
        <v>228</v>
      </c>
      <c r="K554" s="27">
        <v>46071.439317129632</v>
      </c>
    </row>
    <row r="555" spans="1:11" x14ac:dyDescent="0.25">
      <c r="A555" t="s">
        <v>871</v>
      </c>
      <c r="B555" s="26">
        <v>46035</v>
      </c>
      <c r="C555">
        <v>1</v>
      </c>
      <c r="D555" t="s">
        <v>33</v>
      </c>
      <c r="E555" t="s">
        <v>317</v>
      </c>
      <c r="G555">
        <v>1</v>
      </c>
      <c r="H555" t="s">
        <v>204</v>
      </c>
      <c r="I555" t="s">
        <v>205</v>
      </c>
      <c r="J555" t="s">
        <v>228</v>
      </c>
      <c r="K555" s="27">
        <v>46071.439386574071</v>
      </c>
    </row>
    <row r="556" spans="1:11" x14ac:dyDescent="0.25">
      <c r="A556" t="s">
        <v>872</v>
      </c>
      <c r="B556" s="26">
        <v>46035</v>
      </c>
      <c r="C556">
        <v>1</v>
      </c>
      <c r="D556" t="s">
        <v>33</v>
      </c>
      <c r="E556" t="s">
        <v>317</v>
      </c>
      <c r="G556">
        <v>8</v>
      </c>
      <c r="H556" t="s">
        <v>622</v>
      </c>
      <c r="I556" t="s">
        <v>205</v>
      </c>
      <c r="J556" t="s">
        <v>228</v>
      </c>
      <c r="K556" s="27">
        <v>46071.439456018517</v>
      </c>
    </row>
    <row r="557" spans="1:11" x14ac:dyDescent="0.25">
      <c r="A557" t="s">
        <v>873</v>
      </c>
      <c r="B557" s="26">
        <v>46036</v>
      </c>
      <c r="C557">
        <v>1</v>
      </c>
      <c r="D557" t="s">
        <v>33</v>
      </c>
      <c r="E557" t="s">
        <v>317</v>
      </c>
      <c r="G557">
        <v>8</v>
      </c>
      <c r="H557" t="s">
        <v>204</v>
      </c>
      <c r="I557" t="s">
        <v>234</v>
      </c>
      <c r="J557" t="s">
        <v>228</v>
      </c>
      <c r="K557" s="27">
        <v>46071.439571759256</v>
      </c>
    </row>
    <row r="558" spans="1:11" x14ac:dyDescent="0.25">
      <c r="A558" t="s">
        <v>874</v>
      </c>
      <c r="B558" s="26">
        <v>46036</v>
      </c>
      <c r="C558">
        <v>1</v>
      </c>
      <c r="D558" t="s">
        <v>33</v>
      </c>
      <c r="E558" t="s">
        <v>317</v>
      </c>
      <c r="G558">
        <v>12</v>
      </c>
      <c r="H558" t="s">
        <v>204</v>
      </c>
      <c r="I558" t="s">
        <v>234</v>
      </c>
      <c r="J558" t="s">
        <v>228</v>
      </c>
      <c r="K558" s="27">
        <v>46071.439583333333</v>
      </c>
    </row>
    <row r="559" spans="1:11" x14ac:dyDescent="0.25">
      <c r="A559" t="s">
        <v>875</v>
      </c>
      <c r="B559" s="26">
        <v>46036</v>
      </c>
      <c r="C559">
        <v>1</v>
      </c>
      <c r="D559" t="s">
        <v>33</v>
      </c>
      <c r="E559" t="s">
        <v>317</v>
      </c>
      <c r="G559">
        <v>9</v>
      </c>
      <c r="H559" t="s">
        <v>204</v>
      </c>
      <c r="I559" t="s">
        <v>234</v>
      </c>
      <c r="J559" t="s">
        <v>228</v>
      </c>
      <c r="K559" s="27">
        <v>46071.43959490741</v>
      </c>
    </row>
    <row r="560" spans="1:11" x14ac:dyDescent="0.25">
      <c r="A560" t="s">
        <v>876</v>
      </c>
      <c r="B560" s="26">
        <v>46036</v>
      </c>
      <c r="C560">
        <v>1</v>
      </c>
      <c r="D560" t="s">
        <v>33</v>
      </c>
      <c r="E560" t="s">
        <v>317</v>
      </c>
      <c r="G560">
        <v>5</v>
      </c>
      <c r="H560" t="s">
        <v>622</v>
      </c>
      <c r="I560" t="s">
        <v>234</v>
      </c>
      <c r="J560" t="s">
        <v>228</v>
      </c>
      <c r="K560" s="27">
        <v>46071.439652777779</v>
      </c>
    </row>
    <row r="561" spans="1:11" x14ac:dyDescent="0.25">
      <c r="A561" t="s">
        <v>877</v>
      </c>
      <c r="B561" s="26">
        <v>46036</v>
      </c>
      <c r="C561">
        <v>1</v>
      </c>
      <c r="D561" t="s">
        <v>33</v>
      </c>
      <c r="E561" t="s">
        <v>317</v>
      </c>
      <c r="G561">
        <v>6</v>
      </c>
      <c r="H561" t="s">
        <v>622</v>
      </c>
      <c r="I561" t="s">
        <v>234</v>
      </c>
      <c r="J561" t="s">
        <v>228</v>
      </c>
      <c r="K561" s="27">
        <v>46071.439710648148</v>
      </c>
    </row>
    <row r="562" spans="1:11" x14ac:dyDescent="0.25">
      <c r="A562" t="s">
        <v>878</v>
      </c>
      <c r="B562" s="26">
        <v>46036</v>
      </c>
      <c r="C562">
        <v>1</v>
      </c>
      <c r="D562" t="s">
        <v>33</v>
      </c>
      <c r="E562" t="s">
        <v>317</v>
      </c>
      <c r="G562">
        <v>3</v>
      </c>
      <c r="H562" t="s">
        <v>204</v>
      </c>
      <c r="I562" t="s">
        <v>234</v>
      </c>
      <c r="J562" t="s">
        <v>228</v>
      </c>
      <c r="K562" s="27">
        <v>46071.439733796295</v>
      </c>
    </row>
    <row r="563" spans="1:11" x14ac:dyDescent="0.25">
      <c r="A563" t="s">
        <v>879</v>
      </c>
      <c r="B563" s="26">
        <v>46037</v>
      </c>
      <c r="C563">
        <v>1</v>
      </c>
      <c r="D563" t="s">
        <v>33</v>
      </c>
      <c r="E563" t="s">
        <v>317</v>
      </c>
      <c r="G563">
        <v>4</v>
      </c>
      <c r="H563" t="s">
        <v>204</v>
      </c>
      <c r="I563" t="s">
        <v>234</v>
      </c>
      <c r="J563" t="s">
        <v>228</v>
      </c>
      <c r="K563" s="27">
        <v>46071.439837962964</v>
      </c>
    </row>
    <row r="564" spans="1:11" x14ac:dyDescent="0.25">
      <c r="A564" t="s">
        <v>880</v>
      </c>
      <c r="B564" s="26">
        <v>46037</v>
      </c>
      <c r="C564">
        <v>1</v>
      </c>
      <c r="D564" t="s">
        <v>33</v>
      </c>
      <c r="E564" t="s">
        <v>317</v>
      </c>
      <c r="G564">
        <v>5</v>
      </c>
      <c r="H564" t="s">
        <v>204</v>
      </c>
      <c r="I564" t="s">
        <v>234</v>
      </c>
      <c r="J564" t="s">
        <v>228</v>
      </c>
      <c r="K564" s="27">
        <v>46071.439849537041</v>
      </c>
    </row>
    <row r="565" spans="1:11" x14ac:dyDescent="0.25">
      <c r="A565" t="s">
        <v>881</v>
      </c>
      <c r="B565" s="26">
        <v>46037</v>
      </c>
      <c r="C565">
        <v>1</v>
      </c>
      <c r="D565" t="s">
        <v>33</v>
      </c>
      <c r="E565" t="s">
        <v>317</v>
      </c>
      <c r="G565">
        <v>3</v>
      </c>
      <c r="H565" t="s">
        <v>204</v>
      </c>
      <c r="I565" t="s">
        <v>205</v>
      </c>
      <c r="J565" t="s">
        <v>228</v>
      </c>
      <c r="K565" s="27">
        <v>46071.439895833333</v>
      </c>
    </row>
    <row r="566" spans="1:11" x14ac:dyDescent="0.25">
      <c r="A566" t="s">
        <v>882</v>
      </c>
      <c r="B566" s="26">
        <v>46038</v>
      </c>
      <c r="C566">
        <v>1</v>
      </c>
      <c r="D566" t="s">
        <v>33</v>
      </c>
      <c r="E566" t="s">
        <v>317</v>
      </c>
      <c r="G566">
        <v>14</v>
      </c>
      <c r="H566" t="s">
        <v>204</v>
      </c>
      <c r="I566" t="s">
        <v>205</v>
      </c>
      <c r="J566" t="s">
        <v>228</v>
      </c>
      <c r="K566" s="27">
        <v>46071.440057870372</v>
      </c>
    </row>
    <row r="567" spans="1:11" x14ac:dyDescent="0.25">
      <c r="A567" t="s">
        <v>883</v>
      </c>
      <c r="B567" s="26">
        <v>46038</v>
      </c>
      <c r="C567">
        <v>1</v>
      </c>
      <c r="D567" t="s">
        <v>33</v>
      </c>
      <c r="E567" t="s">
        <v>317</v>
      </c>
      <c r="G567">
        <v>8</v>
      </c>
      <c r="H567" t="s">
        <v>204</v>
      </c>
      <c r="I567" t="s">
        <v>234</v>
      </c>
      <c r="J567" t="s">
        <v>228</v>
      </c>
      <c r="K567" s="27">
        <v>46071.440185185187</v>
      </c>
    </row>
    <row r="568" spans="1:11" x14ac:dyDescent="0.25">
      <c r="A568" t="s">
        <v>884</v>
      </c>
      <c r="B568" s="26">
        <v>46038</v>
      </c>
      <c r="C568">
        <v>1</v>
      </c>
      <c r="D568" t="s">
        <v>33</v>
      </c>
      <c r="E568" t="s">
        <v>317</v>
      </c>
      <c r="G568">
        <v>10</v>
      </c>
      <c r="H568" t="s">
        <v>204</v>
      </c>
      <c r="I568" t="s">
        <v>234</v>
      </c>
      <c r="J568" t="s">
        <v>228</v>
      </c>
      <c r="K568" s="27">
        <v>46071.440208333333</v>
      </c>
    </row>
    <row r="569" spans="1:11" x14ac:dyDescent="0.25">
      <c r="A569" t="s">
        <v>885</v>
      </c>
      <c r="B569" s="26">
        <v>46038</v>
      </c>
      <c r="C569">
        <v>1</v>
      </c>
      <c r="D569" t="s">
        <v>33</v>
      </c>
      <c r="E569" t="s">
        <v>317</v>
      </c>
      <c r="G569">
        <v>1</v>
      </c>
      <c r="H569" t="s">
        <v>622</v>
      </c>
      <c r="I569" t="s">
        <v>234</v>
      </c>
      <c r="J569" t="s">
        <v>228</v>
      </c>
      <c r="K569" s="27">
        <v>46071.440312500003</v>
      </c>
    </row>
    <row r="570" spans="1:11" x14ac:dyDescent="0.25">
      <c r="A570" t="s">
        <v>886</v>
      </c>
      <c r="B570" s="26">
        <v>46038</v>
      </c>
      <c r="C570">
        <v>1</v>
      </c>
      <c r="D570" t="s">
        <v>33</v>
      </c>
      <c r="E570" t="s">
        <v>317</v>
      </c>
      <c r="G570">
        <v>5</v>
      </c>
      <c r="H570" t="s">
        <v>204</v>
      </c>
      <c r="I570" t="s">
        <v>234</v>
      </c>
      <c r="J570" t="s">
        <v>228</v>
      </c>
      <c r="K570" s="27">
        <v>46071.440358796295</v>
      </c>
    </row>
    <row r="571" spans="1:11" x14ac:dyDescent="0.25">
      <c r="A571" t="s">
        <v>887</v>
      </c>
      <c r="B571" s="26">
        <v>46039</v>
      </c>
      <c r="C571">
        <v>1</v>
      </c>
      <c r="D571" t="s">
        <v>33</v>
      </c>
      <c r="E571" t="s">
        <v>317</v>
      </c>
      <c r="G571">
        <v>3</v>
      </c>
      <c r="H571" t="s">
        <v>204</v>
      </c>
      <c r="I571" t="s">
        <v>234</v>
      </c>
      <c r="J571" t="s">
        <v>228</v>
      </c>
      <c r="K571" s="27">
        <v>46071.440532407411</v>
      </c>
    </row>
    <row r="572" spans="1:11" x14ac:dyDescent="0.25">
      <c r="A572" t="s">
        <v>888</v>
      </c>
      <c r="B572" s="26">
        <v>46039</v>
      </c>
      <c r="C572">
        <v>1</v>
      </c>
      <c r="D572" t="s">
        <v>33</v>
      </c>
      <c r="E572" t="s">
        <v>317</v>
      </c>
      <c r="G572">
        <v>5</v>
      </c>
      <c r="H572" t="s">
        <v>204</v>
      </c>
      <c r="I572" t="s">
        <v>234</v>
      </c>
      <c r="J572" t="s">
        <v>228</v>
      </c>
      <c r="K572" s="27">
        <v>46071.440555555557</v>
      </c>
    </row>
    <row r="573" spans="1:11" x14ac:dyDescent="0.25">
      <c r="A573" t="s">
        <v>889</v>
      </c>
      <c r="B573" s="26">
        <v>46039</v>
      </c>
      <c r="C573">
        <v>1</v>
      </c>
      <c r="D573" t="s">
        <v>33</v>
      </c>
      <c r="E573" t="s">
        <v>317</v>
      </c>
      <c r="G573">
        <v>2</v>
      </c>
      <c r="H573" t="s">
        <v>204</v>
      </c>
      <c r="I573" t="s">
        <v>234</v>
      </c>
      <c r="J573" t="s">
        <v>228</v>
      </c>
      <c r="K573" s="27">
        <v>46071.440555555557</v>
      </c>
    </row>
    <row r="574" spans="1:11" x14ac:dyDescent="0.25">
      <c r="A574" t="s">
        <v>890</v>
      </c>
      <c r="B574" s="26">
        <v>46040</v>
      </c>
      <c r="C574">
        <v>1</v>
      </c>
      <c r="D574" t="s">
        <v>33</v>
      </c>
      <c r="E574" t="s">
        <v>317</v>
      </c>
      <c r="G574">
        <v>6</v>
      </c>
      <c r="H574" t="s">
        <v>204</v>
      </c>
      <c r="I574" t="s">
        <v>234</v>
      </c>
      <c r="J574" t="s">
        <v>228</v>
      </c>
      <c r="K574" s="27">
        <v>46071.440648148149</v>
      </c>
    </row>
    <row r="575" spans="1:11" x14ac:dyDescent="0.25">
      <c r="A575" t="s">
        <v>891</v>
      </c>
      <c r="B575" s="26">
        <v>46040</v>
      </c>
      <c r="C575">
        <v>1</v>
      </c>
      <c r="D575" t="s">
        <v>33</v>
      </c>
      <c r="E575" t="s">
        <v>317</v>
      </c>
      <c r="G575">
        <v>9</v>
      </c>
      <c r="H575" t="s">
        <v>204</v>
      </c>
      <c r="I575" t="s">
        <v>234</v>
      </c>
      <c r="J575" t="s">
        <v>228</v>
      </c>
      <c r="K575" s="27">
        <v>46071.440659722219</v>
      </c>
    </row>
    <row r="576" spans="1:11" x14ac:dyDescent="0.25">
      <c r="A576" t="s">
        <v>892</v>
      </c>
      <c r="B576" s="26">
        <v>46041</v>
      </c>
      <c r="C576">
        <v>1</v>
      </c>
      <c r="D576" t="s">
        <v>33</v>
      </c>
      <c r="E576" t="s">
        <v>317</v>
      </c>
      <c r="G576">
        <v>5</v>
      </c>
      <c r="H576" t="s">
        <v>204</v>
      </c>
      <c r="I576" t="s">
        <v>234</v>
      </c>
      <c r="J576" t="s">
        <v>228</v>
      </c>
      <c r="K576" s="27">
        <v>46071.44091435185</v>
      </c>
    </row>
    <row r="577" spans="1:11" x14ac:dyDescent="0.25">
      <c r="A577" t="s">
        <v>893</v>
      </c>
      <c r="B577" s="26">
        <v>46041</v>
      </c>
      <c r="C577">
        <v>1</v>
      </c>
      <c r="D577" t="s">
        <v>33</v>
      </c>
      <c r="E577" t="s">
        <v>317</v>
      </c>
      <c r="G577">
        <v>1</v>
      </c>
      <c r="H577" t="s">
        <v>204</v>
      </c>
      <c r="I577" t="s">
        <v>205</v>
      </c>
      <c r="J577" t="s">
        <v>228</v>
      </c>
      <c r="K577" s="27">
        <v>46071.440972222219</v>
      </c>
    </row>
    <row r="578" spans="1:11" x14ac:dyDescent="0.25">
      <c r="A578" t="s">
        <v>894</v>
      </c>
      <c r="B578" s="26">
        <v>46043</v>
      </c>
      <c r="C578">
        <v>1</v>
      </c>
      <c r="D578" t="s">
        <v>33</v>
      </c>
      <c r="E578" t="s">
        <v>317</v>
      </c>
      <c r="G578">
        <v>9</v>
      </c>
      <c r="H578" t="s">
        <v>204</v>
      </c>
      <c r="I578" t="s">
        <v>205</v>
      </c>
      <c r="J578" t="s">
        <v>228</v>
      </c>
      <c r="K578" s="27">
        <v>46071.441157407404</v>
      </c>
    </row>
    <row r="579" spans="1:11" x14ac:dyDescent="0.25">
      <c r="A579" t="s">
        <v>895</v>
      </c>
      <c r="B579" s="26">
        <v>46044</v>
      </c>
      <c r="C579">
        <v>1</v>
      </c>
      <c r="D579" t="s">
        <v>33</v>
      </c>
      <c r="E579" t="s">
        <v>317</v>
      </c>
      <c r="G579">
        <v>2</v>
      </c>
      <c r="H579" t="s">
        <v>204</v>
      </c>
      <c r="I579" t="s">
        <v>234</v>
      </c>
      <c r="J579" t="s">
        <v>228</v>
      </c>
      <c r="K579" s="27">
        <v>46071.441319444442</v>
      </c>
    </row>
    <row r="580" spans="1:11" x14ac:dyDescent="0.25">
      <c r="A580" t="s">
        <v>896</v>
      </c>
      <c r="B580" s="26">
        <v>46044</v>
      </c>
      <c r="C580">
        <v>1</v>
      </c>
      <c r="D580" t="s">
        <v>33</v>
      </c>
      <c r="E580" t="s">
        <v>317</v>
      </c>
      <c r="G580">
        <v>6</v>
      </c>
      <c r="H580" t="s">
        <v>204</v>
      </c>
      <c r="I580" t="s">
        <v>234</v>
      </c>
      <c r="J580" t="s">
        <v>228</v>
      </c>
      <c r="K580" s="27">
        <v>46071.441388888888</v>
      </c>
    </row>
    <row r="581" spans="1:11" x14ac:dyDescent="0.25">
      <c r="A581" t="s">
        <v>897</v>
      </c>
      <c r="B581" s="26">
        <v>46044</v>
      </c>
      <c r="C581">
        <v>1</v>
      </c>
      <c r="D581" t="s">
        <v>33</v>
      </c>
      <c r="E581" t="s">
        <v>317</v>
      </c>
      <c r="G581">
        <v>1</v>
      </c>
      <c r="H581" t="s">
        <v>204</v>
      </c>
      <c r="I581" t="s">
        <v>234</v>
      </c>
      <c r="J581" t="s">
        <v>228</v>
      </c>
      <c r="K581" s="27">
        <v>46071.441469907404</v>
      </c>
    </row>
    <row r="582" spans="1:11" x14ac:dyDescent="0.25">
      <c r="A582" t="s">
        <v>898</v>
      </c>
      <c r="B582" s="26">
        <v>46044</v>
      </c>
      <c r="C582">
        <v>1</v>
      </c>
      <c r="D582" t="s">
        <v>33</v>
      </c>
      <c r="E582" t="s">
        <v>317</v>
      </c>
      <c r="G582">
        <v>9</v>
      </c>
      <c r="H582" t="s">
        <v>204</v>
      </c>
      <c r="I582" t="s">
        <v>205</v>
      </c>
      <c r="J582" t="s">
        <v>228</v>
      </c>
      <c r="K582" s="27">
        <v>46071.441562499997</v>
      </c>
    </row>
    <row r="583" spans="1:11" x14ac:dyDescent="0.25">
      <c r="A583" t="s">
        <v>899</v>
      </c>
      <c r="B583" s="26">
        <v>46044</v>
      </c>
      <c r="C583">
        <v>1</v>
      </c>
      <c r="D583" t="s">
        <v>33</v>
      </c>
      <c r="E583" t="s">
        <v>317</v>
      </c>
      <c r="G583">
        <v>7</v>
      </c>
      <c r="H583" t="s">
        <v>204</v>
      </c>
      <c r="I583" t="s">
        <v>205</v>
      </c>
      <c r="J583" t="s">
        <v>228</v>
      </c>
      <c r="K583" s="27">
        <v>46071.44158564815</v>
      </c>
    </row>
    <row r="584" spans="1:11" x14ac:dyDescent="0.25">
      <c r="A584" t="s">
        <v>900</v>
      </c>
      <c r="B584" s="26">
        <v>46045</v>
      </c>
      <c r="C584">
        <v>1</v>
      </c>
      <c r="D584" t="s">
        <v>33</v>
      </c>
      <c r="E584" t="s">
        <v>317</v>
      </c>
      <c r="G584">
        <v>3</v>
      </c>
      <c r="H584" t="s">
        <v>204</v>
      </c>
      <c r="I584" t="s">
        <v>205</v>
      </c>
      <c r="J584" t="s">
        <v>228</v>
      </c>
      <c r="K584" s="27">
        <v>46071.441736111112</v>
      </c>
    </row>
    <row r="585" spans="1:11" x14ac:dyDescent="0.25">
      <c r="A585" t="s">
        <v>901</v>
      </c>
      <c r="B585" s="26">
        <v>46045</v>
      </c>
      <c r="C585">
        <v>1</v>
      </c>
      <c r="D585" t="s">
        <v>33</v>
      </c>
      <c r="E585" t="s">
        <v>317</v>
      </c>
      <c r="G585">
        <v>3</v>
      </c>
      <c r="H585" t="s">
        <v>204</v>
      </c>
      <c r="I585" t="s">
        <v>205</v>
      </c>
      <c r="J585" t="s">
        <v>228</v>
      </c>
      <c r="K585" s="27">
        <v>46071.441770833335</v>
      </c>
    </row>
    <row r="586" spans="1:11" x14ac:dyDescent="0.25">
      <c r="A586" t="s">
        <v>902</v>
      </c>
      <c r="B586" s="26">
        <v>46045</v>
      </c>
      <c r="C586">
        <v>1</v>
      </c>
      <c r="D586" t="s">
        <v>33</v>
      </c>
      <c r="E586" t="s">
        <v>317</v>
      </c>
      <c r="G586">
        <v>8</v>
      </c>
      <c r="H586" t="s">
        <v>622</v>
      </c>
      <c r="I586" t="s">
        <v>234</v>
      </c>
      <c r="J586" t="s">
        <v>228</v>
      </c>
      <c r="K586" s="27">
        <v>46071.441874999997</v>
      </c>
    </row>
    <row r="587" spans="1:11" x14ac:dyDescent="0.25">
      <c r="A587" t="s">
        <v>903</v>
      </c>
      <c r="B587" s="26">
        <v>46045</v>
      </c>
      <c r="C587">
        <v>1</v>
      </c>
      <c r="D587" t="s">
        <v>33</v>
      </c>
      <c r="E587" t="s">
        <v>317</v>
      </c>
      <c r="G587">
        <v>6</v>
      </c>
      <c r="H587" t="s">
        <v>622</v>
      </c>
      <c r="I587" t="s">
        <v>234</v>
      </c>
      <c r="J587" t="s">
        <v>228</v>
      </c>
      <c r="K587" s="27">
        <v>46071.44195601852</v>
      </c>
    </row>
    <row r="588" spans="1:11" x14ac:dyDescent="0.25">
      <c r="A588" t="s">
        <v>904</v>
      </c>
      <c r="B588" s="26">
        <v>46046</v>
      </c>
      <c r="C588">
        <v>1</v>
      </c>
      <c r="D588" t="s">
        <v>33</v>
      </c>
      <c r="E588" t="s">
        <v>317</v>
      </c>
      <c r="G588">
        <v>2</v>
      </c>
      <c r="H588" t="s">
        <v>204</v>
      </c>
      <c r="I588" t="s">
        <v>205</v>
      </c>
      <c r="J588" t="s">
        <v>228</v>
      </c>
      <c r="K588" s="27">
        <v>46071.442233796297</v>
      </c>
    </row>
    <row r="589" spans="1:11" x14ac:dyDescent="0.25">
      <c r="A589" t="s">
        <v>905</v>
      </c>
      <c r="B589" s="26">
        <v>46047</v>
      </c>
      <c r="C589">
        <v>1</v>
      </c>
      <c r="D589" t="s">
        <v>33</v>
      </c>
      <c r="E589" t="s">
        <v>317</v>
      </c>
      <c r="G589">
        <v>1</v>
      </c>
      <c r="H589" t="s">
        <v>204</v>
      </c>
      <c r="I589" t="s">
        <v>205</v>
      </c>
      <c r="J589" t="s">
        <v>228</v>
      </c>
      <c r="K589" s="27">
        <v>46071.442349537036</v>
      </c>
    </row>
    <row r="590" spans="1:11" x14ac:dyDescent="0.25">
      <c r="A590" t="s">
        <v>906</v>
      </c>
      <c r="B590" s="26">
        <v>46047</v>
      </c>
      <c r="C590">
        <v>1</v>
      </c>
      <c r="D590" t="s">
        <v>33</v>
      </c>
      <c r="E590" t="s">
        <v>317</v>
      </c>
      <c r="G590">
        <v>1</v>
      </c>
      <c r="H590" t="s">
        <v>622</v>
      </c>
      <c r="I590" t="s">
        <v>234</v>
      </c>
      <c r="J590" t="s">
        <v>228</v>
      </c>
      <c r="K590" s="27">
        <v>46071.442453703705</v>
      </c>
    </row>
    <row r="591" spans="1:11" x14ac:dyDescent="0.25">
      <c r="A591" t="s">
        <v>907</v>
      </c>
      <c r="B591" s="26">
        <v>46047</v>
      </c>
      <c r="C591">
        <v>1</v>
      </c>
      <c r="D591" t="s">
        <v>33</v>
      </c>
      <c r="E591" t="s">
        <v>317</v>
      </c>
      <c r="G591">
        <v>3</v>
      </c>
      <c r="H591" t="s">
        <v>204</v>
      </c>
      <c r="I591" t="s">
        <v>234</v>
      </c>
      <c r="J591" t="s">
        <v>228</v>
      </c>
      <c r="K591" s="27">
        <v>46071.442476851851</v>
      </c>
    </row>
    <row r="592" spans="1:11" x14ac:dyDescent="0.25">
      <c r="A592" t="s">
        <v>908</v>
      </c>
      <c r="B592" s="26">
        <v>46047</v>
      </c>
      <c r="C592">
        <v>1</v>
      </c>
      <c r="D592" t="s">
        <v>33</v>
      </c>
      <c r="E592" t="s">
        <v>317</v>
      </c>
      <c r="G592">
        <v>4</v>
      </c>
      <c r="H592" t="s">
        <v>204</v>
      </c>
      <c r="I592" t="s">
        <v>234</v>
      </c>
      <c r="J592" t="s">
        <v>228</v>
      </c>
      <c r="K592" s="27">
        <v>46071.442488425928</v>
      </c>
    </row>
    <row r="593" spans="1:11" x14ac:dyDescent="0.25">
      <c r="A593" t="s">
        <v>909</v>
      </c>
      <c r="B593" s="26">
        <v>46048</v>
      </c>
      <c r="C593">
        <v>1</v>
      </c>
      <c r="D593" t="s">
        <v>33</v>
      </c>
      <c r="E593" t="s">
        <v>317</v>
      </c>
      <c r="G593">
        <v>8</v>
      </c>
      <c r="H593" t="s">
        <v>204</v>
      </c>
      <c r="I593" t="s">
        <v>234</v>
      </c>
      <c r="J593" t="s">
        <v>228</v>
      </c>
      <c r="K593" s="27">
        <v>46071.442650462966</v>
      </c>
    </row>
    <row r="594" spans="1:11" x14ac:dyDescent="0.25">
      <c r="A594" t="s">
        <v>910</v>
      </c>
      <c r="B594" s="26">
        <v>46049</v>
      </c>
      <c r="C594">
        <v>1</v>
      </c>
      <c r="D594" t="s">
        <v>33</v>
      </c>
      <c r="E594" t="s">
        <v>317</v>
      </c>
      <c r="G594">
        <v>3</v>
      </c>
      <c r="H594" t="s">
        <v>204</v>
      </c>
      <c r="I594" t="s">
        <v>234</v>
      </c>
      <c r="J594" t="s">
        <v>228</v>
      </c>
      <c r="K594" s="27">
        <v>46071.442766203705</v>
      </c>
    </row>
    <row r="595" spans="1:11" x14ac:dyDescent="0.25">
      <c r="A595" t="s">
        <v>911</v>
      </c>
      <c r="B595" s="26">
        <v>46049</v>
      </c>
      <c r="C595">
        <v>1</v>
      </c>
      <c r="D595" t="s">
        <v>33</v>
      </c>
      <c r="E595" t="s">
        <v>317</v>
      </c>
      <c r="G595">
        <v>1</v>
      </c>
      <c r="H595" t="s">
        <v>204</v>
      </c>
      <c r="I595" t="s">
        <v>234</v>
      </c>
      <c r="J595" t="s">
        <v>228</v>
      </c>
      <c r="K595" s="27">
        <v>46071.442847222221</v>
      </c>
    </row>
    <row r="596" spans="1:11" x14ac:dyDescent="0.25">
      <c r="A596" t="s">
        <v>912</v>
      </c>
      <c r="B596" s="26">
        <v>46050</v>
      </c>
      <c r="C596">
        <v>1</v>
      </c>
      <c r="D596" t="s">
        <v>33</v>
      </c>
      <c r="E596" t="s">
        <v>317</v>
      </c>
      <c r="G596">
        <v>1</v>
      </c>
      <c r="H596" t="s">
        <v>204</v>
      </c>
      <c r="I596" t="s">
        <v>234</v>
      </c>
      <c r="J596" t="s">
        <v>228</v>
      </c>
      <c r="K596" s="27">
        <v>46071.443078703705</v>
      </c>
    </row>
    <row r="597" spans="1:11" x14ac:dyDescent="0.25">
      <c r="A597" t="s">
        <v>913</v>
      </c>
      <c r="B597" s="26">
        <v>46051</v>
      </c>
      <c r="C597">
        <v>1</v>
      </c>
      <c r="D597" t="s">
        <v>33</v>
      </c>
      <c r="E597" t="s">
        <v>317</v>
      </c>
      <c r="G597">
        <v>1</v>
      </c>
      <c r="H597" t="s">
        <v>204</v>
      </c>
      <c r="I597" t="s">
        <v>234</v>
      </c>
      <c r="J597" t="s">
        <v>228</v>
      </c>
      <c r="K597" s="27">
        <v>46071.443194444444</v>
      </c>
    </row>
    <row r="598" spans="1:11" x14ac:dyDescent="0.25">
      <c r="A598" t="s">
        <v>914</v>
      </c>
      <c r="B598" s="26">
        <v>46052</v>
      </c>
      <c r="C598">
        <v>1</v>
      </c>
      <c r="D598" t="s">
        <v>33</v>
      </c>
      <c r="E598" t="s">
        <v>317</v>
      </c>
      <c r="G598">
        <v>1</v>
      </c>
      <c r="H598" t="s">
        <v>204</v>
      </c>
      <c r="I598" t="s">
        <v>234</v>
      </c>
      <c r="J598" t="s">
        <v>228</v>
      </c>
      <c r="K598" s="27">
        <v>46071.44327546296</v>
      </c>
    </row>
    <row r="599" spans="1:11" x14ac:dyDescent="0.25">
      <c r="A599" t="s">
        <v>915</v>
      </c>
      <c r="B599" s="26">
        <v>46052</v>
      </c>
      <c r="C599">
        <v>1</v>
      </c>
      <c r="D599" t="s">
        <v>33</v>
      </c>
      <c r="E599" t="s">
        <v>317</v>
      </c>
      <c r="G599">
        <v>5</v>
      </c>
      <c r="H599" t="s">
        <v>622</v>
      </c>
      <c r="I599" t="s">
        <v>234</v>
      </c>
      <c r="J599" t="s">
        <v>228</v>
      </c>
      <c r="K599" s="27">
        <v>46071.443356481483</v>
      </c>
    </row>
    <row r="600" spans="1:11" x14ac:dyDescent="0.25">
      <c r="A600" t="s">
        <v>916</v>
      </c>
      <c r="B600" s="26">
        <v>46052</v>
      </c>
      <c r="C600">
        <v>1</v>
      </c>
      <c r="D600" t="s">
        <v>33</v>
      </c>
      <c r="E600" t="s">
        <v>317</v>
      </c>
      <c r="G600">
        <v>1</v>
      </c>
      <c r="H600" t="s">
        <v>204</v>
      </c>
      <c r="I600" t="s">
        <v>205</v>
      </c>
      <c r="J600" t="s">
        <v>228</v>
      </c>
      <c r="K600" s="27">
        <v>46071.443391203706</v>
      </c>
    </row>
    <row r="601" spans="1:11" x14ac:dyDescent="0.25">
      <c r="A601" t="s">
        <v>917</v>
      </c>
      <c r="B601" s="26">
        <v>46052</v>
      </c>
      <c r="C601">
        <v>1</v>
      </c>
      <c r="D601" t="s">
        <v>33</v>
      </c>
      <c r="E601" t="s">
        <v>317</v>
      </c>
      <c r="G601">
        <v>1</v>
      </c>
      <c r="H601" t="s">
        <v>204</v>
      </c>
      <c r="I601" t="s">
        <v>205</v>
      </c>
      <c r="J601" t="s">
        <v>228</v>
      </c>
      <c r="K601" s="27">
        <v>46071.443437499998</v>
      </c>
    </row>
    <row r="602" spans="1:11" x14ac:dyDescent="0.25">
      <c r="A602" t="s">
        <v>918</v>
      </c>
      <c r="B602" s="26">
        <v>46053</v>
      </c>
      <c r="C602">
        <v>1</v>
      </c>
      <c r="D602" t="s">
        <v>33</v>
      </c>
      <c r="E602" t="s">
        <v>317</v>
      </c>
      <c r="G602">
        <v>2</v>
      </c>
      <c r="H602" t="s">
        <v>204</v>
      </c>
      <c r="I602" t="s">
        <v>234</v>
      </c>
      <c r="J602" t="s">
        <v>228</v>
      </c>
      <c r="K602" s="27">
        <v>46071.443611111114</v>
      </c>
    </row>
    <row r="603" spans="1:11" x14ac:dyDescent="0.25">
      <c r="A603" t="s">
        <v>919</v>
      </c>
      <c r="B603" s="26">
        <v>46053</v>
      </c>
      <c r="C603">
        <v>1</v>
      </c>
      <c r="D603" t="s">
        <v>33</v>
      </c>
      <c r="E603" t="s">
        <v>317</v>
      </c>
      <c r="G603">
        <v>10</v>
      </c>
      <c r="H603" t="s">
        <v>204</v>
      </c>
      <c r="I603" t="s">
        <v>234</v>
      </c>
      <c r="J603" t="s">
        <v>228</v>
      </c>
      <c r="K603" s="27">
        <v>46071.443622685183</v>
      </c>
    </row>
    <row r="604" spans="1:11" x14ac:dyDescent="0.25">
      <c r="A604" t="s">
        <v>920</v>
      </c>
      <c r="B604" s="26">
        <v>46053</v>
      </c>
      <c r="C604">
        <v>1</v>
      </c>
      <c r="D604" t="s">
        <v>33</v>
      </c>
      <c r="E604" t="s">
        <v>317</v>
      </c>
      <c r="G604">
        <v>29</v>
      </c>
      <c r="H604" t="s">
        <v>295</v>
      </c>
      <c r="I604" t="s">
        <v>234</v>
      </c>
      <c r="J604" t="s">
        <v>228</v>
      </c>
      <c r="K604" s="27">
        <v>46071.443738425929</v>
      </c>
    </row>
    <row r="605" spans="1:11" x14ac:dyDescent="0.25">
      <c r="A605" t="s">
        <v>921</v>
      </c>
      <c r="B605" s="26">
        <v>46053</v>
      </c>
      <c r="C605">
        <v>1</v>
      </c>
      <c r="D605" t="s">
        <v>33</v>
      </c>
      <c r="E605" t="s">
        <v>317</v>
      </c>
      <c r="G605">
        <v>7</v>
      </c>
      <c r="H605" t="s">
        <v>295</v>
      </c>
      <c r="I605" t="s">
        <v>234</v>
      </c>
      <c r="J605" t="s">
        <v>228</v>
      </c>
      <c r="K605" s="27">
        <v>46071.443796296298</v>
      </c>
    </row>
    <row r="606" spans="1:11" x14ac:dyDescent="0.25">
      <c r="A606" t="s">
        <v>922</v>
      </c>
      <c r="B606" s="26">
        <v>46053</v>
      </c>
      <c r="C606">
        <v>1</v>
      </c>
      <c r="D606" t="s">
        <v>33</v>
      </c>
      <c r="E606" t="s">
        <v>317</v>
      </c>
      <c r="G606">
        <v>2</v>
      </c>
      <c r="H606" t="s">
        <v>204</v>
      </c>
      <c r="I606" t="s">
        <v>205</v>
      </c>
      <c r="J606" t="s">
        <v>228</v>
      </c>
      <c r="K606" s="27">
        <v>46071.443831018521</v>
      </c>
    </row>
    <row r="607" spans="1:11" x14ac:dyDescent="0.25">
      <c r="A607" t="s">
        <v>923</v>
      </c>
      <c r="B607" s="26">
        <v>46051</v>
      </c>
      <c r="C607">
        <v>1</v>
      </c>
      <c r="D607" t="s">
        <v>33</v>
      </c>
      <c r="E607" t="s">
        <v>317</v>
      </c>
      <c r="G607">
        <v>2</v>
      </c>
      <c r="H607" t="s">
        <v>204</v>
      </c>
      <c r="I607" t="s">
        <v>234</v>
      </c>
      <c r="J607" t="s">
        <v>228</v>
      </c>
      <c r="K607" s="27">
        <v>46071.446805555555</v>
      </c>
    </row>
    <row r="608" spans="1:11" x14ac:dyDescent="0.25">
      <c r="A608" t="s">
        <v>924</v>
      </c>
      <c r="B608" s="26">
        <v>46023</v>
      </c>
      <c r="C608">
        <v>1</v>
      </c>
      <c r="D608" t="s">
        <v>35</v>
      </c>
      <c r="E608" t="s">
        <v>317</v>
      </c>
      <c r="G608">
        <v>32</v>
      </c>
      <c r="H608" t="s">
        <v>204</v>
      </c>
      <c r="I608" t="s">
        <v>205</v>
      </c>
      <c r="J608" t="s">
        <v>228</v>
      </c>
      <c r="K608" s="27">
        <v>46071.449247685188</v>
      </c>
    </row>
    <row r="609" spans="1:11" x14ac:dyDescent="0.25">
      <c r="A609" t="s">
        <v>925</v>
      </c>
      <c r="B609" s="26">
        <v>46023</v>
      </c>
      <c r="C609">
        <v>1</v>
      </c>
      <c r="D609" t="s">
        <v>35</v>
      </c>
      <c r="E609" t="s">
        <v>317</v>
      </c>
      <c r="G609">
        <v>31</v>
      </c>
      <c r="H609" t="s">
        <v>204</v>
      </c>
      <c r="I609" t="s">
        <v>205</v>
      </c>
      <c r="J609" t="s">
        <v>228</v>
      </c>
      <c r="K609" s="27">
        <v>46071.449282407404</v>
      </c>
    </row>
    <row r="610" spans="1:11" x14ac:dyDescent="0.25">
      <c r="A610" t="s">
        <v>926</v>
      </c>
      <c r="B610" s="26">
        <v>46024</v>
      </c>
      <c r="C610">
        <v>1</v>
      </c>
      <c r="D610" t="s">
        <v>35</v>
      </c>
      <c r="E610" t="s">
        <v>317</v>
      </c>
      <c r="G610">
        <v>20</v>
      </c>
      <c r="H610" t="s">
        <v>204</v>
      </c>
      <c r="I610" t="s">
        <v>205</v>
      </c>
      <c r="J610" t="s">
        <v>228</v>
      </c>
      <c r="K610" s="27">
        <v>46071.449432870373</v>
      </c>
    </row>
    <row r="611" spans="1:11" x14ac:dyDescent="0.25">
      <c r="A611" t="s">
        <v>927</v>
      </c>
      <c r="B611" s="26">
        <v>46024</v>
      </c>
      <c r="C611">
        <v>1</v>
      </c>
      <c r="D611" t="s">
        <v>35</v>
      </c>
      <c r="E611" t="s">
        <v>317</v>
      </c>
      <c r="G611">
        <v>19</v>
      </c>
      <c r="H611" t="s">
        <v>204</v>
      </c>
      <c r="I611" t="s">
        <v>205</v>
      </c>
      <c r="J611" t="s">
        <v>228</v>
      </c>
      <c r="K611" s="27">
        <v>46071.449490740742</v>
      </c>
    </row>
    <row r="612" spans="1:11" x14ac:dyDescent="0.25">
      <c r="A612" t="s">
        <v>928</v>
      </c>
      <c r="B612" s="26">
        <v>46024</v>
      </c>
      <c r="C612">
        <v>1</v>
      </c>
      <c r="D612" t="s">
        <v>35</v>
      </c>
      <c r="E612" t="s">
        <v>317</v>
      </c>
      <c r="G612">
        <v>37</v>
      </c>
      <c r="H612" t="s">
        <v>204</v>
      </c>
      <c r="I612" t="s">
        <v>205</v>
      </c>
      <c r="J612" t="s">
        <v>228</v>
      </c>
      <c r="K612" s="27">
        <v>46071.449525462966</v>
      </c>
    </row>
    <row r="613" spans="1:11" x14ac:dyDescent="0.25">
      <c r="A613" t="s">
        <v>929</v>
      </c>
      <c r="B613" s="26">
        <v>46024</v>
      </c>
      <c r="C613">
        <v>1</v>
      </c>
      <c r="D613" t="s">
        <v>35</v>
      </c>
      <c r="E613" t="s">
        <v>317</v>
      </c>
      <c r="G613">
        <v>20</v>
      </c>
      <c r="H613" t="s">
        <v>204</v>
      </c>
      <c r="I613" t="s">
        <v>205</v>
      </c>
      <c r="J613" t="s">
        <v>228</v>
      </c>
      <c r="K613" s="27">
        <v>46071.449571759258</v>
      </c>
    </row>
    <row r="614" spans="1:11" x14ac:dyDescent="0.25">
      <c r="A614" t="s">
        <v>930</v>
      </c>
      <c r="B614" s="26">
        <v>46025</v>
      </c>
      <c r="C614">
        <v>1</v>
      </c>
      <c r="D614" t="s">
        <v>35</v>
      </c>
      <c r="E614" t="s">
        <v>317</v>
      </c>
      <c r="G614">
        <v>25</v>
      </c>
      <c r="H614" t="s">
        <v>204</v>
      </c>
      <c r="I614" t="s">
        <v>205</v>
      </c>
      <c r="J614" t="s">
        <v>228</v>
      </c>
      <c r="K614" s="27">
        <v>46071.449780092589</v>
      </c>
    </row>
    <row r="615" spans="1:11" x14ac:dyDescent="0.25">
      <c r="A615" t="s">
        <v>931</v>
      </c>
      <c r="B615" s="26">
        <v>46025</v>
      </c>
      <c r="C615">
        <v>1</v>
      </c>
      <c r="D615" t="s">
        <v>35</v>
      </c>
      <c r="E615" t="s">
        <v>317</v>
      </c>
      <c r="G615">
        <v>22</v>
      </c>
      <c r="H615" t="s">
        <v>204</v>
      </c>
      <c r="I615" t="s">
        <v>205</v>
      </c>
      <c r="J615" t="s">
        <v>228</v>
      </c>
      <c r="K615" s="27">
        <v>46071.449861111112</v>
      </c>
    </row>
    <row r="616" spans="1:11" x14ac:dyDescent="0.25">
      <c r="A616" t="s">
        <v>932</v>
      </c>
      <c r="B616" s="26">
        <v>46026</v>
      </c>
      <c r="C616">
        <v>1</v>
      </c>
      <c r="D616" t="s">
        <v>35</v>
      </c>
      <c r="E616" t="s">
        <v>317</v>
      </c>
      <c r="G616">
        <v>20</v>
      </c>
      <c r="H616" t="s">
        <v>204</v>
      </c>
      <c r="I616" t="s">
        <v>205</v>
      </c>
      <c r="J616" t="s">
        <v>228</v>
      </c>
      <c r="K616" s="27">
        <v>46071.450023148151</v>
      </c>
    </row>
    <row r="617" spans="1:11" x14ac:dyDescent="0.25">
      <c r="A617" t="s">
        <v>933</v>
      </c>
      <c r="B617" s="26">
        <v>46026</v>
      </c>
      <c r="C617">
        <v>1</v>
      </c>
      <c r="D617" t="s">
        <v>35</v>
      </c>
      <c r="E617" t="s">
        <v>317</v>
      </c>
      <c r="G617">
        <v>38</v>
      </c>
      <c r="H617" t="s">
        <v>204</v>
      </c>
      <c r="I617" t="s">
        <v>205</v>
      </c>
      <c r="J617" t="s">
        <v>228</v>
      </c>
      <c r="K617" s="27">
        <v>46071.450069444443</v>
      </c>
    </row>
    <row r="618" spans="1:11" x14ac:dyDescent="0.25">
      <c r="A618" t="s">
        <v>934</v>
      </c>
      <c r="B618" s="26">
        <v>46026</v>
      </c>
      <c r="C618">
        <v>1</v>
      </c>
      <c r="D618" t="s">
        <v>35</v>
      </c>
      <c r="E618" t="s">
        <v>317</v>
      </c>
      <c r="G618">
        <v>21</v>
      </c>
      <c r="H618" t="s">
        <v>204</v>
      </c>
      <c r="I618" t="s">
        <v>205</v>
      </c>
      <c r="J618" t="s">
        <v>228</v>
      </c>
      <c r="K618" s="27">
        <v>46071.450115740743</v>
      </c>
    </row>
    <row r="619" spans="1:11" x14ac:dyDescent="0.25">
      <c r="A619" t="s">
        <v>935</v>
      </c>
      <c r="B619" s="26">
        <v>46027</v>
      </c>
      <c r="C619">
        <v>1</v>
      </c>
      <c r="D619" t="s">
        <v>35</v>
      </c>
      <c r="E619" t="s">
        <v>317</v>
      </c>
      <c r="G619">
        <v>46</v>
      </c>
      <c r="H619" t="s">
        <v>204</v>
      </c>
      <c r="I619" t="s">
        <v>205</v>
      </c>
      <c r="J619" t="s">
        <v>228</v>
      </c>
      <c r="K619" s="27">
        <v>46071.450416666667</v>
      </c>
    </row>
    <row r="620" spans="1:11" x14ac:dyDescent="0.25">
      <c r="A620" t="s">
        <v>936</v>
      </c>
      <c r="B620" s="26">
        <v>46027</v>
      </c>
      <c r="C620">
        <v>1</v>
      </c>
      <c r="D620" t="s">
        <v>35</v>
      </c>
      <c r="E620" t="s">
        <v>317</v>
      </c>
      <c r="G620">
        <v>36</v>
      </c>
      <c r="H620" t="s">
        <v>204</v>
      </c>
      <c r="I620" t="s">
        <v>205</v>
      </c>
      <c r="J620" t="s">
        <v>228</v>
      </c>
      <c r="K620" s="27">
        <v>46071.450439814813</v>
      </c>
    </row>
    <row r="621" spans="1:11" x14ac:dyDescent="0.25">
      <c r="A621" t="s">
        <v>937</v>
      </c>
      <c r="B621" s="26">
        <v>46028</v>
      </c>
      <c r="C621">
        <v>1</v>
      </c>
      <c r="D621" t="s">
        <v>35</v>
      </c>
      <c r="E621" t="s">
        <v>317</v>
      </c>
      <c r="G621">
        <v>21</v>
      </c>
      <c r="H621" t="s">
        <v>204</v>
      </c>
      <c r="I621" t="s">
        <v>205</v>
      </c>
      <c r="J621" t="s">
        <v>228</v>
      </c>
      <c r="K621" s="27">
        <v>46071.450879629629</v>
      </c>
    </row>
    <row r="622" spans="1:11" x14ac:dyDescent="0.25">
      <c r="A622" t="s">
        <v>938</v>
      </c>
      <c r="B622" s="26">
        <v>46028</v>
      </c>
      <c r="C622">
        <v>1</v>
      </c>
      <c r="D622" t="s">
        <v>35</v>
      </c>
      <c r="E622" t="s">
        <v>317</v>
      </c>
      <c r="G622">
        <v>19</v>
      </c>
      <c r="H622" t="s">
        <v>204</v>
      </c>
      <c r="I622" t="s">
        <v>205</v>
      </c>
      <c r="J622" t="s">
        <v>228</v>
      </c>
      <c r="K622" s="27">
        <v>46071.450902777775</v>
      </c>
    </row>
    <row r="623" spans="1:11" x14ac:dyDescent="0.25">
      <c r="A623" t="s">
        <v>939</v>
      </c>
      <c r="B623" s="26">
        <v>46028</v>
      </c>
      <c r="C623">
        <v>1</v>
      </c>
      <c r="D623" t="s">
        <v>35</v>
      </c>
      <c r="E623" t="s">
        <v>317</v>
      </c>
      <c r="G623">
        <v>25</v>
      </c>
      <c r="H623" t="s">
        <v>204</v>
      </c>
      <c r="I623" t="s">
        <v>205</v>
      </c>
      <c r="J623" t="s">
        <v>228</v>
      </c>
      <c r="K623" s="27">
        <v>46071.450937499998</v>
      </c>
    </row>
    <row r="624" spans="1:11" x14ac:dyDescent="0.25">
      <c r="A624" t="s">
        <v>940</v>
      </c>
      <c r="B624" s="26">
        <v>46029</v>
      </c>
      <c r="C624">
        <v>1</v>
      </c>
      <c r="D624" t="s">
        <v>35</v>
      </c>
      <c r="E624" t="s">
        <v>317</v>
      </c>
      <c r="G624">
        <v>32</v>
      </c>
      <c r="H624" t="s">
        <v>204</v>
      </c>
      <c r="I624" t="s">
        <v>205</v>
      </c>
      <c r="J624" t="s">
        <v>228</v>
      </c>
      <c r="K624" s="27">
        <v>46071.45108796296</v>
      </c>
    </row>
    <row r="625" spans="1:11" x14ac:dyDescent="0.25">
      <c r="A625" t="s">
        <v>941</v>
      </c>
      <c r="B625" s="26">
        <v>46029</v>
      </c>
      <c r="C625">
        <v>1</v>
      </c>
      <c r="D625" t="s">
        <v>35</v>
      </c>
      <c r="E625" t="s">
        <v>317</v>
      </c>
      <c r="G625">
        <v>18</v>
      </c>
      <c r="H625" t="s">
        <v>204</v>
      </c>
      <c r="I625" t="s">
        <v>205</v>
      </c>
      <c r="J625" t="s">
        <v>228</v>
      </c>
      <c r="K625" s="27">
        <v>46071.451145833336</v>
      </c>
    </row>
    <row r="626" spans="1:11" x14ac:dyDescent="0.25">
      <c r="A626" t="s">
        <v>942</v>
      </c>
      <c r="B626" s="26">
        <v>46030</v>
      </c>
      <c r="C626">
        <v>1</v>
      </c>
      <c r="D626" t="s">
        <v>35</v>
      </c>
      <c r="E626" t="s">
        <v>317</v>
      </c>
      <c r="G626">
        <v>40</v>
      </c>
      <c r="H626" t="s">
        <v>204</v>
      </c>
      <c r="I626" t="s">
        <v>205</v>
      </c>
      <c r="J626" t="s">
        <v>228</v>
      </c>
      <c r="K626" s="27">
        <v>46071.451481481483</v>
      </c>
    </row>
    <row r="627" spans="1:11" x14ac:dyDescent="0.25">
      <c r="A627" t="s">
        <v>943</v>
      </c>
      <c r="B627" s="26">
        <v>46031</v>
      </c>
      <c r="C627">
        <v>1</v>
      </c>
      <c r="D627" t="s">
        <v>35</v>
      </c>
      <c r="E627" t="s">
        <v>317</v>
      </c>
      <c r="G627">
        <v>23</v>
      </c>
      <c r="H627" t="s">
        <v>204</v>
      </c>
      <c r="I627" t="s">
        <v>205</v>
      </c>
      <c r="J627" t="s">
        <v>228</v>
      </c>
      <c r="K627" s="27">
        <v>46071.451770833337</v>
      </c>
    </row>
    <row r="628" spans="1:11" x14ac:dyDescent="0.25">
      <c r="A628" t="s">
        <v>944</v>
      </c>
      <c r="B628" s="26">
        <v>46031</v>
      </c>
      <c r="C628">
        <v>1</v>
      </c>
      <c r="D628" t="s">
        <v>35</v>
      </c>
      <c r="E628" t="s">
        <v>317</v>
      </c>
      <c r="G628">
        <v>20</v>
      </c>
      <c r="H628" t="s">
        <v>204</v>
      </c>
      <c r="I628" t="s">
        <v>205</v>
      </c>
      <c r="J628" t="s">
        <v>228</v>
      </c>
      <c r="K628" s="27">
        <v>46071.451805555553</v>
      </c>
    </row>
    <row r="629" spans="1:11" x14ac:dyDescent="0.25">
      <c r="A629" t="s">
        <v>945</v>
      </c>
      <c r="B629" s="26">
        <v>46032</v>
      </c>
      <c r="C629">
        <v>1</v>
      </c>
      <c r="D629" t="s">
        <v>35</v>
      </c>
      <c r="E629" t="s">
        <v>317</v>
      </c>
      <c r="G629">
        <v>27</v>
      </c>
      <c r="H629" t="s">
        <v>204</v>
      </c>
      <c r="I629" t="s">
        <v>205</v>
      </c>
      <c r="J629" t="s">
        <v>228</v>
      </c>
      <c r="K629" s="27">
        <v>46071.452013888891</v>
      </c>
    </row>
    <row r="630" spans="1:11" x14ac:dyDescent="0.25">
      <c r="A630" t="s">
        <v>946</v>
      </c>
      <c r="B630" s="26">
        <v>46032</v>
      </c>
      <c r="C630">
        <v>1</v>
      </c>
      <c r="D630" t="s">
        <v>35</v>
      </c>
      <c r="E630" t="s">
        <v>317</v>
      </c>
      <c r="G630">
        <v>26</v>
      </c>
      <c r="H630" t="s">
        <v>204</v>
      </c>
      <c r="I630" t="s">
        <v>205</v>
      </c>
      <c r="J630" t="s">
        <v>228</v>
      </c>
      <c r="K630" s="27">
        <v>46071.452048611114</v>
      </c>
    </row>
    <row r="631" spans="1:11" x14ac:dyDescent="0.25">
      <c r="A631" t="s">
        <v>947</v>
      </c>
      <c r="B631" s="26">
        <v>46034</v>
      </c>
      <c r="C631">
        <v>1</v>
      </c>
      <c r="D631" t="s">
        <v>35</v>
      </c>
      <c r="E631" t="s">
        <v>317</v>
      </c>
      <c r="G631">
        <v>24</v>
      </c>
      <c r="H631" t="s">
        <v>204</v>
      </c>
      <c r="I631" t="s">
        <v>205</v>
      </c>
      <c r="J631" t="s">
        <v>228</v>
      </c>
      <c r="K631" s="27">
        <v>46071.452337962961</v>
      </c>
    </row>
    <row r="632" spans="1:11" x14ac:dyDescent="0.25">
      <c r="A632" t="s">
        <v>948</v>
      </c>
      <c r="B632" s="26">
        <v>46034</v>
      </c>
      <c r="C632">
        <v>1</v>
      </c>
      <c r="D632" t="s">
        <v>35</v>
      </c>
      <c r="E632" t="s">
        <v>317</v>
      </c>
      <c r="G632">
        <v>30</v>
      </c>
      <c r="H632" t="s">
        <v>204</v>
      </c>
      <c r="I632" t="s">
        <v>205</v>
      </c>
      <c r="J632" t="s">
        <v>228</v>
      </c>
      <c r="K632" s="27">
        <v>46071.452361111114</v>
      </c>
    </row>
    <row r="633" spans="1:11" x14ac:dyDescent="0.25">
      <c r="A633" t="s">
        <v>949</v>
      </c>
      <c r="B633" s="26">
        <v>46034</v>
      </c>
      <c r="C633">
        <v>1</v>
      </c>
      <c r="D633" t="s">
        <v>35</v>
      </c>
      <c r="E633" t="s">
        <v>317</v>
      </c>
      <c r="G633">
        <v>20</v>
      </c>
      <c r="H633" t="s">
        <v>204</v>
      </c>
      <c r="I633" t="s">
        <v>205</v>
      </c>
      <c r="J633" t="s">
        <v>228</v>
      </c>
      <c r="K633" s="27">
        <v>46071.452384259261</v>
      </c>
    </row>
    <row r="634" spans="1:11" x14ac:dyDescent="0.25">
      <c r="A634" t="s">
        <v>950</v>
      </c>
      <c r="B634" s="26">
        <v>46034</v>
      </c>
      <c r="C634">
        <v>1</v>
      </c>
      <c r="D634" t="s">
        <v>35</v>
      </c>
      <c r="E634" t="s">
        <v>317</v>
      </c>
      <c r="G634">
        <v>30</v>
      </c>
      <c r="H634" t="s">
        <v>204</v>
      </c>
      <c r="I634" t="s">
        <v>205</v>
      </c>
      <c r="J634" t="s">
        <v>228</v>
      </c>
      <c r="K634" s="27">
        <v>46071.452407407407</v>
      </c>
    </row>
    <row r="635" spans="1:11" x14ac:dyDescent="0.25">
      <c r="A635" t="s">
        <v>951</v>
      </c>
      <c r="B635" s="26">
        <v>46035</v>
      </c>
      <c r="C635">
        <v>1</v>
      </c>
      <c r="D635" t="s">
        <v>35</v>
      </c>
      <c r="E635" t="s">
        <v>317</v>
      </c>
      <c r="G635">
        <v>20</v>
      </c>
      <c r="H635" t="s">
        <v>204</v>
      </c>
      <c r="I635" t="s">
        <v>205</v>
      </c>
      <c r="J635" t="s">
        <v>228</v>
      </c>
      <c r="K635" s="27">
        <v>46071.452847222223</v>
      </c>
    </row>
    <row r="636" spans="1:11" x14ac:dyDescent="0.25">
      <c r="A636" t="s">
        <v>952</v>
      </c>
      <c r="B636" s="26">
        <v>46035</v>
      </c>
      <c r="C636">
        <v>1</v>
      </c>
      <c r="D636" t="s">
        <v>35</v>
      </c>
      <c r="E636" t="s">
        <v>317</v>
      </c>
      <c r="G636">
        <v>34</v>
      </c>
      <c r="H636" t="s">
        <v>204</v>
      </c>
      <c r="I636" t="s">
        <v>205</v>
      </c>
      <c r="J636" t="s">
        <v>228</v>
      </c>
      <c r="K636" s="27">
        <v>46071.452870370369</v>
      </c>
    </row>
    <row r="637" spans="1:11" x14ac:dyDescent="0.25">
      <c r="A637" t="s">
        <v>953</v>
      </c>
      <c r="B637" s="26">
        <v>46035</v>
      </c>
      <c r="C637">
        <v>1</v>
      </c>
      <c r="D637" t="s">
        <v>35</v>
      </c>
      <c r="E637" t="s">
        <v>317</v>
      </c>
      <c r="G637">
        <v>16</v>
      </c>
      <c r="H637" t="s">
        <v>204</v>
      </c>
      <c r="I637" t="s">
        <v>205</v>
      </c>
      <c r="J637" t="s">
        <v>228</v>
      </c>
      <c r="K637" s="27">
        <v>46071.452939814815</v>
      </c>
    </row>
    <row r="638" spans="1:11" x14ac:dyDescent="0.25">
      <c r="A638" t="s">
        <v>954</v>
      </c>
      <c r="B638" s="26">
        <v>46036</v>
      </c>
      <c r="C638">
        <v>1</v>
      </c>
      <c r="D638" t="s">
        <v>35</v>
      </c>
      <c r="E638" t="s">
        <v>317</v>
      </c>
      <c r="G638">
        <v>34</v>
      </c>
      <c r="H638" t="s">
        <v>204</v>
      </c>
      <c r="I638" t="s">
        <v>205</v>
      </c>
      <c r="J638" t="s">
        <v>228</v>
      </c>
      <c r="K638" s="27">
        <v>46071.453136574077</v>
      </c>
    </row>
    <row r="639" spans="1:11" x14ac:dyDescent="0.25">
      <c r="A639" t="s">
        <v>955</v>
      </c>
      <c r="B639" s="26">
        <v>46037</v>
      </c>
      <c r="C639">
        <v>1</v>
      </c>
      <c r="D639" t="s">
        <v>35</v>
      </c>
      <c r="E639" t="s">
        <v>317</v>
      </c>
      <c r="G639">
        <v>35</v>
      </c>
      <c r="H639" t="s">
        <v>204</v>
      </c>
      <c r="I639" t="s">
        <v>205</v>
      </c>
      <c r="J639" t="s">
        <v>228</v>
      </c>
      <c r="K639" s="27">
        <v>46071.453530092593</v>
      </c>
    </row>
    <row r="640" spans="1:11" x14ac:dyDescent="0.25">
      <c r="A640" t="s">
        <v>956</v>
      </c>
      <c r="B640" s="26">
        <v>46037</v>
      </c>
      <c r="C640">
        <v>1</v>
      </c>
      <c r="D640" t="s">
        <v>35</v>
      </c>
      <c r="E640" t="s">
        <v>317</v>
      </c>
      <c r="G640">
        <v>24</v>
      </c>
      <c r="H640" t="s">
        <v>204</v>
      </c>
      <c r="I640" t="s">
        <v>205</v>
      </c>
      <c r="J640" t="s">
        <v>228</v>
      </c>
      <c r="K640" s="27">
        <v>46071.453564814816</v>
      </c>
    </row>
    <row r="641" spans="1:11" x14ac:dyDescent="0.25">
      <c r="A641" t="s">
        <v>957</v>
      </c>
      <c r="B641" s="26">
        <v>46039</v>
      </c>
      <c r="C641">
        <v>1</v>
      </c>
      <c r="D641" t="s">
        <v>35</v>
      </c>
      <c r="E641" t="s">
        <v>317</v>
      </c>
      <c r="G641">
        <v>25</v>
      </c>
      <c r="H641" t="s">
        <v>204</v>
      </c>
      <c r="I641" t="s">
        <v>205</v>
      </c>
      <c r="J641" t="s">
        <v>228</v>
      </c>
      <c r="K641" s="27">
        <v>46071.453888888886</v>
      </c>
    </row>
    <row r="642" spans="1:11" x14ac:dyDescent="0.25">
      <c r="A642" t="s">
        <v>958</v>
      </c>
      <c r="B642" s="26">
        <v>46039</v>
      </c>
      <c r="C642">
        <v>1</v>
      </c>
      <c r="D642" t="s">
        <v>35</v>
      </c>
      <c r="E642" t="s">
        <v>317</v>
      </c>
      <c r="G642">
        <v>27</v>
      </c>
      <c r="H642" t="s">
        <v>204</v>
      </c>
      <c r="I642" t="s">
        <v>205</v>
      </c>
      <c r="J642" t="s">
        <v>228</v>
      </c>
      <c r="K642" s="27">
        <v>46071.453923611109</v>
      </c>
    </row>
    <row r="643" spans="1:11" x14ac:dyDescent="0.25">
      <c r="A643" t="s">
        <v>959</v>
      </c>
      <c r="B643" s="26">
        <v>46039</v>
      </c>
      <c r="C643">
        <v>1</v>
      </c>
      <c r="D643" t="s">
        <v>35</v>
      </c>
      <c r="E643" t="s">
        <v>317</v>
      </c>
      <c r="G643">
        <v>35</v>
      </c>
      <c r="H643" t="s">
        <v>204</v>
      </c>
      <c r="I643" t="s">
        <v>205</v>
      </c>
      <c r="J643" t="s">
        <v>228</v>
      </c>
      <c r="K643" s="27">
        <v>46071.454016203701</v>
      </c>
    </row>
    <row r="644" spans="1:11" x14ac:dyDescent="0.25">
      <c r="A644" t="s">
        <v>960</v>
      </c>
      <c r="B644" s="26">
        <v>46040</v>
      </c>
      <c r="C644">
        <v>1</v>
      </c>
      <c r="D644" t="s">
        <v>35</v>
      </c>
      <c r="E644" t="s">
        <v>317</v>
      </c>
      <c r="G644">
        <v>29</v>
      </c>
      <c r="H644" t="s">
        <v>204</v>
      </c>
      <c r="I644" t="s">
        <v>205</v>
      </c>
      <c r="J644" t="s">
        <v>228</v>
      </c>
      <c r="K644" s="27">
        <v>46071.454467592594</v>
      </c>
    </row>
    <row r="645" spans="1:11" x14ac:dyDescent="0.25">
      <c r="A645" t="s">
        <v>961</v>
      </c>
      <c r="B645" s="26">
        <v>46040</v>
      </c>
      <c r="C645">
        <v>1</v>
      </c>
      <c r="D645" t="s">
        <v>35</v>
      </c>
      <c r="E645" t="s">
        <v>317</v>
      </c>
      <c r="G645">
        <v>30</v>
      </c>
      <c r="H645" t="s">
        <v>204</v>
      </c>
      <c r="I645" t="s">
        <v>205</v>
      </c>
      <c r="J645" t="s">
        <v>228</v>
      </c>
      <c r="K645" s="27">
        <v>46071.454513888886</v>
      </c>
    </row>
    <row r="646" spans="1:11" x14ac:dyDescent="0.25">
      <c r="A646" t="s">
        <v>962</v>
      </c>
      <c r="B646" s="26">
        <v>46040</v>
      </c>
      <c r="C646">
        <v>1</v>
      </c>
      <c r="D646" t="s">
        <v>35</v>
      </c>
      <c r="E646" t="s">
        <v>317</v>
      </c>
      <c r="G646">
        <v>29</v>
      </c>
      <c r="H646" t="s">
        <v>204</v>
      </c>
      <c r="I646" t="s">
        <v>205</v>
      </c>
      <c r="J646" t="s">
        <v>228</v>
      </c>
      <c r="K646" s="27">
        <v>46071.45548611111</v>
      </c>
    </row>
    <row r="647" spans="1:11" x14ac:dyDescent="0.25">
      <c r="A647" t="s">
        <v>963</v>
      </c>
      <c r="B647" s="26">
        <v>46043</v>
      </c>
      <c r="C647">
        <v>1</v>
      </c>
      <c r="D647" t="s">
        <v>35</v>
      </c>
      <c r="E647" t="s">
        <v>317</v>
      </c>
      <c r="G647">
        <v>24</v>
      </c>
      <c r="H647" t="s">
        <v>204</v>
      </c>
      <c r="I647" t="s">
        <v>205</v>
      </c>
      <c r="J647" t="s">
        <v>228</v>
      </c>
      <c r="K647" s="27">
        <v>46071.456516203703</v>
      </c>
    </row>
    <row r="648" spans="1:11" x14ac:dyDescent="0.25">
      <c r="A648" t="s">
        <v>964</v>
      </c>
      <c r="B648" s="26">
        <v>46043</v>
      </c>
      <c r="C648">
        <v>1</v>
      </c>
      <c r="D648" t="s">
        <v>35</v>
      </c>
      <c r="E648" t="s">
        <v>317</v>
      </c>
      <c r="G648">
        <v>34</v>
      </c>
      <c r="H648" t="s">
        <v>204</v>
      </c>
      <c r="I648" t="s">
        <v>205</v>
      </c>
      <c r="J648" t="s">
        <v>228</v>
      </c>
      <c r="K648" s="27">
        <v>46071.456550925926</v>
      </c>
    </row>
    <row r="649" spans="1:11" x14ac:dyDescent="0.25">
      <c r="A649" t="s">
        <v>965</v>
      </c>
      <c r="B649" s="26">
        <v>46043</v>
      </c>
      <c r="C649">
        <v>1</v>
      </c>
      <c r="D649" t="s">
        <v>35</v>
      </c>
      <c r="E649" t="s">
        <v>317</v>
      </c>
      <c r="G649">
        <v>36</v>
      </c>
      <c r="H649" t="s">
        <v>204</v>
      </c>
      <c r="I649" t="s">
        <v>205</v>
      </c>
      <c r="J649" t="s">
        <v>228</v>
      </c>
      <c r="K649" s="27">
        <v>46071.456574074073</v>
      </c>
    </row>
    <row r="650" spans="1:11" x14ac:dyDescent="0.25">
      <c r="A650" t="s">
        <v>966</v>
      </c>
      <c r="B650" s="26">
        <v>46043</v>
      </c>
      <c r="C650">
        <v>1</v>
      </c>
      <c r="D650" t="s">
        <v>35</v>
      </c>
      <c r="E650" t="s">
        <v>317</v>
      </c>
      <c r="G650">
        <v>30</v>
      </c>
      <c r="H650" t="s">
        <v>204</v>
      </c>
      <c r="I650" t="s">
        <v>205</v>
      </c>
      <c r="J650" t="s">
        <v>228</v>
      </c>
      <c r="K650" s="27">
        <v>46071.456597222219</v>
      </c>
    </row>
    <row r="651" spans="1:11" x14ac:dyDescent="0.25">
      <c r="A651" t="s">
        <v>967</v>
      </c>
      <c r="B651" s="26">
        <v>46043</v>
      </c>
      <c r="C651">
        <v>1</v>
      </c>
      <c r="D651" t="s">
        <v>35</v>
      </c>
      <c r="E651" t="s">
        <v>317</v>
      </c>
      <c r="G651">
        <v>18</v>
      </c>
      <c r="H651" t="s">
        <v>204</v>
      </c>
      <c r="I651" t="s">
        <v>205</v>
      </c>
      <c r="J651" t="s">
        <v>228</v>
      </c>
      <c r="K651" s="27">
        <v>46071.456631944442</v>
      </c>
    </row>
    <row r="652" spans="1:11" x14ac:dyDescent="0.25">
      <c r="A652" t="s">
        <v>968</v>
      </c>
      <c r="B652" s="26">
        <v>46045</v>
      </c>
      <c r="C652">
        <v>1</v>
      </c>
      <c r="D652" t="s">
        <v>35</v>
      </c>
      <c r="E652" t="s">
        <v>317</v>
      </c>
      <c r="G652">
        <v>30</v>
      </c>
      <c r="H652" t="s">
        <v>204</v>
      </c>
      <c r="I652" t="s">
        <v>205</v>
      </c>
      <c r="J652" t="s">
        <v>228</v>
      </c>
      <c r="K652" s="27">
        <v>46071.457118055558</v>
      </c>
    </row>
    <row r="653" spans="1:11" x14ac:dyDescent="0.25">
      <c r="A653" t="s">
        <v>969</v>
      </c>
      <c r="B653" s="26">
        <v>46046</v>
      </c>
      <c r="C653">
        <v>1</v>
      </c>
      <c r="D653" t="s">
        <v>35</v>
      </c>
      <c r="E653" t="s">
        <v>317</v>
      </c>
      <c r="G653">
        <v>24</v>
      </c>
      <c r="H653" t="s">
        <v>204</v>
      </c>
      <c r="I653" t="s">
        <v>205</v>
      </c>
      <c r="J653" t="s">
        <v>228</v>
      </c>
      <c r="K653" s="27">
        <v>46071.457337962966</v>
      </c>
    </row>
    <row r="654" spans="1:11" x14ac:dyDescent="0.25">
      <c r="A654" t="s">
        <v>970</v>
      </c>
      <c r="B654" s="26">
        <v>46046</v>
      </c>
      <c r="C654">
        <v>1</v>
      </c>
      <c r="D654" t="s">
        <v>35</v>
      </c>
      <c r="E654" t="s">
        <v>317</v>
      </c>
      <c r="G654">
        <v>35</v>
      </c>
      <c r="H654" t="s">
        <v>204</v>
      </c>
      <c r="I654" t="s">
        <v>205</v>
      </c>
      <c r="J654" t="s">
        <v>228</v>
      </c>
      <c r="K654" s="27">
        <v>46071.457361111112</v>
      </c>
    </row>
    <row r="655" spans="1:11" x14ac:dyDescent="0.25">
      <c r="A655" t="s">
        <v>971</v>
      </c>
      <c r="B655" s="26">
        <v>46046</v>
      </c>
      <c r="C655">
        <v>1</v>
      </c>
      <c r="D655" t="s">
        <v>35</v>
      </c>
      <c r="E655" t="s">
        <v>317</v>
      </c>
      <c r="G655">
        <v>42</v>
      </c>
      <c r="H655" t="s">
        <v>204</v>
      </c>
      <c r="I655" t="s">
        <v>205</v>
      </c>
      <c r="J655" t="s">
        <v>228</v>
      </c>
      <c r="K655" s="27">
        <v>46071.457384259258</v>
      </c>
    </row>
    <row r="656" spans="1:11" x14ac:dyDescent="0.25">
      <c r="A656" t="s">
        <v>972</v>
      </c>
      <c r="B656" s="26">
        <v>46046</v>
      </c>
      <c r="C656">
        <v>1</v>
      </c>
      <c r="D656" t="s">
        <v>35</v>
      </c>
      <c r="E656" t="s">
        <v>317</v>
      </c>
      <c r="G656">
        <v>31</v>
      </c>
      <c r="H656" t="s">
        <v>204</v>
      </c>
      <c r="I656" t="s">
        <v>205</v>
      </c>
      <c r="J656" t="s">
        <v>228</v>
      </c>
      <c r="K656" s="27">
        <v>46071.457418981481</v>
      </c>
    </row>
    <row r="657" spans="1:11" x14ac:dyDescent="0.25">
      <c r="A657" t="s">
        <v>973</v>
      </c>
      <c r="B657" s="26">
        <v>46047</v>
      </c>
      <c r="C657">
        <v>1</v>
      </c>
      <c r="D657" t="s">
        <v>35</v>
      </c>
      <c r="E657" t="s">
        <v>317</v>
      </c>
      <c r="G657">
        <v>33</v>
      </c>
      <c r="H657" t="s">
        <v>204</v>
      </c>
      <c r="I657" t="s">
        <v>205</v>
      </c>
      <c r="J657" t="s">
        <v>228</v>
      </c>
      <c r="K657" s="27">
        <v>46071.457604166666</v>
      </c>
    </row>
    <row r="658" spans="1:11" x14ac:dyDescent="0.25">
      <c r="A658" t="s">
        <v>974</v>
      </c>
      <c r="B658" s="26">
        <v>46048</v>
      </c>
      <c r="C658">
        <v>1</v>
      </c>
      <c r="D658" t="s">
        <v>35</v>
      </c>
      <c r="E658" t="s">
        <v>317</v>
      </c>
      <c r="G658">
        <v>31</v>
      </c>
      <c r="H658" t="s">
        <v>204</v>
      </c>
      <c r="I658" t="s">
        <v>205</v>
      </c>
      <c r="J658" t="s">
        <v>228</v>
      </c>
      <c r="K658" s="27">
        <v>46071.457789351851</v>
      </c>
    </row>
    <row r="659" spans="1:11" x14ac:dyDescent="0.25">
      <c r="A659" t="s">
        <v>975</v>
      </c>
      <c r="B659" s="26">
        <v>46048</v>
      </c>
      <c r="C659">
        <v>1</v>
      </c>
      <c r="D659" t="s">
        <v>35</v>
      </c>
      <c r="E659" t="s">
        <v>317</v>
      </c>
      <c r="G659">
        <v>36</v>
      </c>
      <c r="H659" t="s">
        <v>204</v>
      </c>
      <c r="I659" t="s">
        <v>205</v>
      </c>
      <c r="J659" t="s">
        <v>228</v>
      </c>
      <c r="K659" s="27">
        <v>46071.457812499997</v>
      </c>
    </row>
    <row r="660" spans="1:11" x14ac:dyDescent="0.25">
      <c r="A660" t="s">
        <v>976</v>
      </c>
      <c r="B660" s="26">
        <v>46048</v>
      </c>
      <c r="C660">
        <v>1</v>
      </c>
      <c r="D660" t="s">
        <v>35</v>
      </c>
      <c r="E660" t="s">
        <v>317</v>
      </c>
      <c r="G660">
        <v>31</v>
      </c>
      <c r="H660" t="s">
        <v>204</v>
      </c>
      <c r="I660" t="s">
        <v>205</v>
      </c>
      <c r="J660" t="s">
        <v>228</v>
      </c>
      <c r="K660" s="27">
        <v>46071.45784722222</v>
      </c>
    </row>
    <row r="661" spans="1:11" x14ac:dyDescent="0.25">
      <c r="A661" t="s">
        <v>977</v>
      </c>
      <c r="B661" s="26">
        <v>46049</v>
      </c>
      <c r="C661">
        <v>1</v>
      </c>
      <c r="D661" t="s">
        <v>35</v>
      </c>
      <c r="E661" t="s">
        <v>317</v>
      </c>
      <c r="G661">
        <v>35</v>
      </c>
      <c r="H661" t="s">
        <v>204</v>
      </c>
      <c r="I661" t="s">
        <v>205</v>
      </c>
      <c r="J661" t="s">
        <v>228</v>
      </c>
      <c r="K661" s="27">
        <v>46071.458090277774</v>
      </c>
    </row>
    <row r="662" spans="1:11" x14ac:dyDescent="0.25">
      <c r="A662" t="s">
        <v>978</v>
      </c>
      <c r="B662" s="26">
        <v>46050</v>
      </c>
      <c r="C662">
        <v>1</v>
      </c>
      <c r="D662" t="s">
        <v>35</v>
      </c>
      <c r="E662" t="s">
        <v>317</v>
      </c>
      <c r="G662">
        <v>24</v>
      </c>
      <c r="H662" t="s">
        <v>204</v>
      </c>
      <c r="I662" t="s">
        <v>205</v>
      </c>
      <c r="J662" t="s">
        <v>228</v>
      </c>
      <c r="K662" s="27">
        <v>46071.45826388889</v>
      </c>
    </row>
    <row r="663" spans="1:11" x14ac:dyDescent="0.25">
      <c r="A663" t="s">
        <v>979</v>
      </c>
      <c r="B663" s="26">
        <v>46050</v>
      </c>
      <c r="C663">
        <v>1</v>
      </c>
      <c r="D663" t="s">
        <v>35</v>
      </c>
      <c r="E663" t="s">
        <v>317</v>
      </c>
      <c r="G663">
        <v>30</v>
      </c>
      <c r="H663" t="s">
        <v>204</v>
      </c>
      <c r="I663" t="s">
        <v>205</v>
      </c>
      <c r="J663" t="s">
        <v>228</v>
      </c>
      <c r="K663" s="27">
        <v>46071.458298611113</v>
      </c>
    </row>
    <row r="664" spans="1:11" x14ac:dyDescent="0.25">
      <c r="A664" t="s">
        <v>980</v>
      </c>
      <c r="B664" s="26">
        <v>46051</v>
      </c>
      <c r="C664">
        <v>1</v>
      </c>
      <c r="D664" t="s">
        <v>35</v>
      </c>
      <c r="E664" t="s">
        <v>317</v>
      </c>
      <c r="G664">
        <v>28</v>
      </c>
      <c r="H664" t="s">
        <v>204</v>
      </c>
      <c r="I664" t="s">
        <v>205</v>
      </c>
      <c r="J664" t="s">
        <v>228</v>
      </c>
      <c r="K664" s="27">
        <v>46071.458483796298</v>
      </c>
    </row>
    <row r="665" spans="1:11" x14ac:dyDescent="0.25">
      <c r="A665" t="s">
        <v>981</v>
      </c>
      <c r="B665" s="26">
        <v>46052</v>
      </c>
      <c r="C665">
        <v>1</v>
      </c>
      <c r="D665" t="s">
        <v>35</v>
      </c>
      <c r="E665" t="s">
        <v>317</v>
      </c>
      <c r="G665">
        <v>38</v>
      </c>
      <c r="H665" t="s">
        <v>204</v>
      </c>
      <c r="I665" t="s">
        <v>205</v>
      </c>
      <c r="J665" t="s">
        <v>228</v>
      </c>
      <c r="K665" s="27">
        <v>46071.458796296298</v>
      </c>
    </row>
    <row r="666" spans="1:11" x14ac:dyDescent="0.25">
      <c r="A666" t="s">
        <v>982</v>
      </c>
      <c r="B666" s="26">
        <v>46052</v>
      </c>
      <c r="C666">
        <v>1</v>
      </c>
      <c r="D666" t="s">
        <v>35</v>
      </c>
      <c r="E666" t="s">
        <v>317</v>
      </c>
      <c r="G666">
        <v>30</v>
      </c>
      <c r="H666" t="s">
        <v>204</v>
      </c>
      <c r="I666" t="s">
        <v>205</v>
      </c>
      <c r="J666" t="s">
        <v>228</v>
      </c>
      <c r="K666" s="27">
        <v>46071.458819444444</v>
      </c>
    </row>
    <row r="667" spans="1:11" x14ac:dyDescent="0.25">
      <c r="A667" t="s">
        <v>983</v>
      </c>
      <c r="B667" s="26">
        <v>46052</v>
      </c>
      <c r="C667">
        <v>1</v>
      </c>
      <c r="D667" t="s">
        <v>35</v>
      </c>
      <c r="E667" t="s">
        <v>317</v>
      </c>
      <c r="G667">
        <v>28</v>
      </c>
      <c r="H667" t="s">
        <v>204</v>
      </c>
      <c r="I667" t="s">
        <v>205</v>
      </c>
      <c r="J667" t="s">
        <v>228</v>
      </c>
      <c r="K667" s="27">
        <v>46071.458877314813</v>
      </c>
    </row>
    <row r="668" spans="1:11" x14ac:dyDescent="0.25">
      <c r="A668" t="s">
        <v>984</v>
      </c>
      <c r="B668" s="26">
        <v>46053</v>
      </c>
      <c r="C668">
        <v>1</v>
      </c>
      <c r="D668" t="s">
        <v>35</v>
      </c>
      <c r="E668" t="s">
        <v>317</v>
      </c>
      <c r="G668">
        <v>31</v>
      </c>
      <c r="H668" t="s">
        <v>204</v>
      </c>
      <c r="I668" t="s">
        <v>205</v>
      </c>
      <c r="J668" t="s">
        <v>228</v>
      </c>
      <c r="K668" s="27">
        <v>46071.459108796298</v>
      </c>
    </row>
    <row r="669" spans="1:11" x14ac:dyDescent="0.25">
      <c r="A669" t="s">
        <v>985</v>
      </c>
      <c r="B669" s="26">
        <v>46053</v>
      </c>
      <c r="C669">
        <v>1</v>
      </c>
      <c r="D669" t="s">
        <v>35</v>
      </c>
      <c r="E669" t="s">
        <v>317</v>
      </c>
      <c r="G669">
        <v>20</v>
      </c>
      <c r="H669" t="s">
        <v>204</v>
      </c>
      <c r="I669" t="s">
        <v>205</v>
      </c>
      <c r="J669" t="s">
        <v>228</v>
      </c>
      <c r="K669" s="27">
        <v>46071.459131944444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40"/>
  <sheetViews>
    <sheetView tabSelected="1" workbookViewId="0">
      <selection activeCell="J7" sqref="J7:J9"/>
    </sheetView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90</v>
      </c>
      <c r="B1" t="s">
        <v>91</v>
      </c>
      <c r="C1" t="s">
        <v>72</v>
      </c>
      <c r="D1" t="s">
        <v>23</v>
      </c>
      <c r="E1" t="s">
        <v>92</v>
      </c>
      <c r="F1" t="s">
        <v>93</v>
      </c>
      <c r="G1" t="s">
        <v>86</v>
      </c>
      <c r="H1" t="s">
        <v>87</v>
      </c>
      <c r="I1" t="s">
        <v>88</v>
      </c>
      <c r="J1" t="s">
        <v>89</v>
      </c>
      <c r="K1" t="s">
        <v>94</v>
      </c>
      <c r="L1" t="s">
        <v>95</v>
      </c>
      <c r="M1" t="s">
        <v>81</v>
      </c>
    </row>
    <row r="2" spans="1:13" x14ac:dyDescent="0.25">
      <c r="A2" t="s">
        <v>202</v>
      </c>
      <c r="B2" s="26">
        <v>46024</v>
      </c>
      <c r="C2">
        <v>1</v>
      </c>
      <c r="D2" t="s">
        <v>31</v>
      </c>
      <c r="E2" t="s">
        <v>203</v>
      </c>
      <c r="G2">
        <v>45</v>
      </c>
      <c r="H2" t="s">
        <v>204</v>
      </c>
      <c r="I2" t="s">
        <v>205</v>
      </c>
      <c r="J2" t="s">
        <v>228</v>
      </c>
      <c r="L2" t="b">
        <v>0</v>
      </c>
      <c r="M2" s="27">
        <v>46072.423275462963</v>
      </c>
    </row>
    <row r="3" spans="1:13" x14ac:dyDescent="0.25">
      <c r="A3" t="s">
        <v>206</v>
      </c>
      <c r="B3" s="26">
        <v>46038</v>
      </c>
      <c r="C3">
        <v>1</v>
      </c>
      <c r="D3" t="s">
        <v>31</v>
      </c>
      <c r="E3" t="s">
        <v>207</v>
      </c>
      <c r="F3" t="s">
        <v>208</v>
      </c>
      <c r="G3">
        <v>43</v>
      </c>
      <c r="H3" t="s">
        <v>204</v>
      </c>
      <c r="I3" t="s">
        <v>205</v>
      </c>
      <c r="J3" t="s">
        <v>228</v>
      </c>
      <c r="L3" t="b">
        <v>0</v>
      </c>
      <c r="M3" s="27">
        <v>46072.424849537034</v>
      </c>
    </row>
    <row r="4" spans="1:13" x14ac:dyDescent="0.25">
      <c r="A4" t="s">
        <v>209</v>
      </c>
      <c r="B4" s="26">
        <v>46038</v>
      </c>
      <c r="C4">
        <v>1</v>
      </c>
      <c r="D4" t="s">
        <v>31</v>
      </c>
      <c r="E4" t="s">
        <v>210</v>
      </c>
      <c r="F4" t="s">
        <v>211</v>
      </c>
      <c r="G4">
        <v>51</v>
      </c>
      <c r="H4" t="s">
        <v>204</v>
      </c>
      <c r="I4" t="s">
        <v>205</v>
      </c>
      <c r="J4" t="s">
        <v>265</v>
      </c>
      <c r="L4" t="b">
        <v>0</v>
      </c>
      <c r="M4" s="27">
        <v>46072.425613425927</v>
      </c>
    </row>
    <row r="5" spans="1:13" x14ac:dyDescent="0.25">
      <c r="A5" t="s">
        <v>212</v>
      </c>
      <c r="B5" s="26">
        <v>46039</v>
      </c>
      <c r="C5">
        <v>1</v>
      </c>
      <c r="D5" t="s">
        <v>31</v>
      </c>
      <c r="E5" t="s">
        <v>213</v>
      </c>
      <c r="F5" t="s">
        <v>214</v>
      </c>
      <c r="G5">
        <v>64</v>
      </c>
      <c r="H5" t="s">
        <v>204</v>
      </c>
      <c r="I5" t="s">
        <v>205</v>
      </c>
      <c r="J5" t="s">
        <v>228</v>
      </c>
      <c r="L5" t="b">
        <v>0</v>
      </c>
      <c r="M5" s="27">
        <v>46072.426064814812</v>
      </c>
    </row>
    <row r="6" spans="1:13" x14ac:dyDescent="0.25">
      <c r="A6" t="s">
        <v>215</v>
      </c>
      <c r="B6" s="26">
        <v>46040</v>
      </c>
      <c r="C6">
        <v>1</v>
      </c>
      <c r="D6" t="s">
        <v>31</v>
      </c>
      <c r="E6" t="s">
        <v>216</v>
      </c>
      <c r="F6" t="s">
        <v>217</v>
      </c>
      <c r="G6">
        <v>58</v>
      </c>
      <c r="H6" t="s">
        <v>204</v>
      </c>
      <c r="I6" t="s">
        <v>205</v>
      </c>
      <c r="J6" t="s">
        <v>265</v>
      </c>
      <c r="L6" t="b">
        <v>0</v>
      </c>
      <c r="M6" s="27">
        <v>46072.427546296298</v>
      </c>
    </row>
    <row r="7" spans="1:13" x14ac:dyDescent="0.25">
      <c r="A7" t="s">
        <v>218</v>
      </c>
      <c r="B7" s="26">
        <v>46043</v>
      </c>
      <c r="C7">
        <v>1</v>
      </c>
      <c r="D7" t="s">
        <v>31</v>
      </c>
      <c r="E7" t="s">
        <v>219</v>
      </c>
      <c r="F7" t="s">
        <v>220</v>
      </c>
      <c r="G7">
        <v>40</v>
      </c>
      <c r="H7" t="s">
        <v>204</v>
      </c>
      <c r="I7" t="s">
        <v>205</v>
      </c>
      <c r="J7" t="s">
        <v>228</v>
      </c>
      <c r="L7" t="b">
        <v>0</v>
      </c>
      <c r="M7" s="27">
        <v>46072.42832175926</v>
      </c>
    </row>
    <row r="8" spans="1:13" x14ac:dyDescent="0.25">
      <c r="A8" t="s">
        <v>221</v>
      </c>
      <c r="B8" s="26">
        <v>46045</v>
      </c>
      <c r="C8">
        <v>1</v>
      </c>
      <c r="D8" t="s">
        <v>31</v>
      </c>
      <c r="E8" t="s">
        <v>222</v>
      </c>
      <c r="F8" t="s">
        <v>223</v>
      </c>
      <c r="G8">
        <v>65</v>
      </c>
      <c r="H8" t="s">
        <v>204</v>
      </c>
      <c r="I8" t="s">
        <v>205</v>
      </c>
      <c r="J8" t="s">
        <v>228</v>
      </c>
      <c r="L8" t="b">
        <v>0</v>
      </c>
      <c r="M8" s="27">
        <v>46072.429490740738</v>
      </c>
    </row>
    <row r="9" spans="1:13" x14ac:dyDescent="0.25">
      <c r="A9" t="s">
        <v>224</v>
      </c>
      <c r="B9" s="26">
        <v>46045</v>
      </c>
      <c r="C9">
        <v>1</v>
      </c>
      <c r="D9" t="s">
        <v>31</v>
      </c>
      <c r="E9" t="s">
        <v>225</v>
      </c>
      <c r="G9">
        <v>45</v>
      </c>
      <c r="H9" t="s">
        <v>204</v>
      </c>
      <c r="I9" t="s">
        <v>205</v>
      </c>
      <c r="J9" t="s">
        <v>228</v>
      </c>
      <c r="L9" t="b">
        <v>0</v>
      </c>
      <c r="M9" s="27">
        <v>46072.429768518516</v>
      </c>
    </row>
    <row r="10" spans="1:13" x14ac:dyDescent="0.25">
      <c r="A10" t="s">
        <v>226</v>
      </c>
      <c r="B10" s="26">
        <v>46049</v>
      </c>
      <c r="C10">
        <v>1</v>
      </c>
      <c r="D10" t="s">
        <v>31</v>
      </c>
      <c r="E10">
        <v>2659</v>
      </c>
      <c r="F10" t="s">
        <v>227</v>
      </c>
      <c r="G10">
        <v>73</v>
      </c>
      <c r="H10" t="s">
        <v>204</v>
      </c>
      <c r="I10" t="s">
        <v>205</v>
      </c>
      <c r="J10" t="s">
        <v>228</v>
      </c>
      <c r="L10" t="b">
        <v>0</v>
      </c>
      <c r="M10" s="27">
        <v>46072.430775462963</v>
      </c>
    </row>
    <row r="11" spans="1:13" x14ac:dyDescent="0.25">
      <c r="A11" t="s">
        <v>229</v>
      </c>
      <c r="B11" s="26">
        <v>46053</v>
      </c>
      <c r="C11">
        <v>1</v>
      </c>
      <c r="D11" t="s">
        <v>31</v>
      </c>
      <c r="E11">
        <v>26010439</v>
      </c>
      <c r="F11" t="s">
        <v>230</v>
      </c>
      <c r="G11">
        <v>21</v>
      </c>
      <c r="H11" t="s">
        <v>204</v>
      </c>
      <c r="I11" t="s">
        <v>205</v>
      </c>
      <c r="J11" t="s">
        <v>228</v>
      </c>
      <c r="L11" t="b">
        <v>0</v>
      </c>
      <c r="M11" s="27">
        <v>46072.431701388887</v>
      </c>
    </row>
    <row r="12" spans="1:13" x14ac:dyDescent="0.25">
      <c r="A12" t="s">
        <v>231</v>
      </c>
      <c r="B12" s="26">
        <v>46026</v>
      </c>
      <c r="C12">
        <v>1</v>
      </c>
      <c r="D12" t="s">
        <v>43</v>
      </c>
      <c r="E12" t="s">
        <v>232</v>
      </c>
      <c r="F12" t="s">
        <v>233</v>
      </c>
      <c r="G12">
        <v>75</v>
      </c>
      <c r="H12" t="s">
        <v>204</v>
      </c>
      <c r="I12" t="s">
        <v>234</v>
      </c>
      <c r="J12" t="s">
        <v>228</v>
      </c>
      <c r="L12" t="b">
        <v>1</v>
      </c>
      <c r="M12" s="27">
        <v>46072.435358796298</v>
      </c>
    </row>
    <row r="13" spans="1:13" x14ac:dyDescent="0.25">
      <c r="A13" t="s">
        <v>235</v>
      </c>
      <c r="B13" s="26">
        <v>46038</v>
      </c>
      <c r="C13">
        <v>1</v>
      </c>
      <c r="D13" t="s">
        <v>43</v>
      </c>
      <c r="E13" t="s">
        <v>236</v>
      </c>
      <c r="F13" t="s">
        <v>237</v>
      </c>
      <c r="G13">
        <v>73</v>
      </c>
      <c r="H13" t="s">
        <v>204</v>
      </c>
      <c r="I13" t="s">
        <v>234</v>
      </c>
      <c r="J13" t="s">
        <v>228</v>
      </c>
      <c r="L13" t="b">
        <v>1</v>
      </c>
      <c r="M13" s="27">
        <v>46072.436909722222</v>
      </c>
    </row>
    <row r="14" spans="1:13" x14ac:dyDescent="0.25">
      <c r="A14" t="s">
        <v>238</v>
      </c>
      <c r="B14" s="26">
        <v>46041</v>
      </c>
      <c r="C14">
        <v>1</v>
      </c>
      <c r="D14" t="s">
        <v>43</v>
      </c>
      <c r="E14" t="s">
        <v>239</v>
      </c>
      <c r="F14" t="s">
        <v>240</v>
      </c>
      <c r="G14">
        <v>60</v>
      </c>
      <c r="H14" t="s">
        <v>204</v>
      </c>
      <c r="I14" t="s">
        <v>234</v>
      </c>
      <c r="J14" t="s">
        <v>265</v>
      </c>
      <c r="L14" t="b">
        <v>1</v>
      </c>
      <c r="M14" s="27">
        <v>46072.438796296294</v>
      </c>
    </row>
    <row r="15" spans="1:13" x14ac:dyDescent="0.25">
      <c r="A15" t="s">
        <v>241</v>
      </c>
      <c r="B15" s="26">
        <v>46042</v>
      </c>
      <c r="C15">
        <v>1</v>
      </c>
      <c r="D15" t="s">
        <v>45</v>
      </c>
      <c r="E15" t="s">
        <v>242</v>
      </c>
      <c r="F15" t="s">
        <v>243</v>
      </c>
      <c r="G15">
        <v>77</v>
      </c>
      <c r="H15" t="s">
        <v>204</v>
      </c>
      <c r="I15" t="s">
        <v>205</v>
      </c>
      <c r="J15" t="s">
        <v>228</v>
      </c>
      <c r="L15" t="b">
        <v>1</v>
      </c>
      <c r="M15" s="27">
        <v>46072.44017361111</v>
      </c>
    </row>
    <row r="16" spans="1:13" x14ac:dyDescent="0.25">
      <c r="A16" t="s">
        <v>244</v>
      </c>
      <c r="B16" s="26">
        <v>46045</v>
      </c>
      <c r="C16">
        <v>1</v>
      </c>
      <c r="D16" t="s">
        <v>43</v>
      </c>
      <c r="E16" t="s">
        <v>245</v>
      </c>
      <c r="F16" t="s">
        <v>246</v>
      </c>
      <c r="G16">
        <v>73</v>
      </c>
      <c r="H16" t="s">
        <v>204</v>
      </c>
      <c r="I16" t="s">
        <v>234</v>
      </c>
      <c r="J16" t="s">
        <v>228</v>
      </c>
      <c r="L16" t="b">
        <v>0</v>
      </c>
      <c r="M16" s="27">
        <v>46072.441134259258</v>
      </c>
    </row>
    <row r="17" spans="1:13" x14ac:dyDescent="0.25">
      <c r="A17" t="s">
        <v>247</v>
      </c>
      <c r="B17" s="26">
        <v>46046</v>
      </c>
      <c r="C17">
        <v>1</v>
      </c>
      <c r="D17" t="s">
        <v>43</v>
      </c>
      <c r="E17" t="s">
        <v>248</v>
      </c>
      <c r="F17" t="s">
        <v>249</v>
      </c>
      <c r="G17">
        <v>24</v>
      </c>
      <c r="H17" t="s">
        <v>204</v>
      </c>
      <c r="I17" t="s">
        <v>234</v>
      </c>
      <c r="J17" t="s">
        <v>228</v>
      </c>
      <c r="L17" t="b">
        <v>1</v>
      </c>
      <c r="M17" s="27">
        <v>46072.442233796297</v>
      </c>
    </row>
    <row r="18" spans="1:13" x14ac:dyDescent="0.25">
      <c r="A18" t="s">
        <v>250</v>
      </c>
      <c r="B18" s="26">
        <v>46046</v>
      </c>
      <c r="C18">
        <v>1</v>
      </c>
      <c r="D18" t="s">
        <v>43</v>
      </c>
      <c r="E18" t="s">
        <v>251</v>
      </c>
      <c r="F18" t="s">
        <v>252</v>
      </c>
      <c r="G18">
        <v>27</v>
      </c>
      <c r="H18" t="s">
        <v>204</v>
      </c>
      <c r="I18" t="s">
        <v>234</v>
      </c>
      <c r="J18" t="s">
        <v>228</v>
      </c>
      <c r="L18" t="b">
        <v>0</v>
      </c>
      <c r="M18" s="27">
        <v>46072.442719907405</v>
      </c>
    </row>
    <row r="19" spans="1:13" x14ac:dyDescent="0.25">
      <c r="A19" t="s">
        <v>253</v>
      </c>
      <c r="B19" s="26">
        <v>46049</v>
      </c>
      <c r="C19">
        <v>1</v>
      </c>
      <c r="D19" t="s">
        <v>43</v>
      </c>
      <c r="E19">
        <v>10182</v>
      </c>
      <c r="F19" t="s">
        <v>254</v>
      </c>
      <c r="G19">
        <v>28</v>
      </c>
      <c r="H19" t="s">
        <v>204</v>
      </c>
      <c r="I19" t="s">
        <v>234</v>
      </c>
      <c r="J19" t="s">
        <v>228</v>
      </c>
      <c r="L19" t="b">
        <v>1</v>
      </c>
      <c r="M19" s="27">
        <v>46072.443611111114</v>
      </c>
    </row>
    <row r="20" spans="1:13" x14ac:dyDescent="0.25">
      <c r="A20" t="s">
        <v>255</v>
      </c>
      <c r="B20" s="26">
        <v>46052</v>
      </c>
      <c r="C20">
        <v>1</v>
      </c>
      <c r="D20" t="s">
        <v>43</v>
      </c>
      <c r="E20">
        <v>421</v>
      </c>
      <c r="F20" t="s">
        <v>256</v>
      </c>
      <c r="G20">
        <v>63</v>
      </c>
      <c r="H20" t="s">
        <v>204</v>
      </c>
      <c r="I20" t="s">
        <v>234</v>
      </c>
      <c r="J20" t="s">
        <v>228</v>
      </c>
      <c r="L20" t="b">
        <v>0</v>
      </c>
      <c r="M20" s="27">
        <v>46072.444560185184</v>
      </c>
    </row>
    <row r="21" spans="1:13" x14ac:dyDescent="0.25">
      <c r="A21" t="s">
        <v>257</v>
      </c>
      <c r="B21" s="26">
        <v>46052</v>
      </c>
      <c r="C21">
        <v>1</v>
      </c>
      <c r="D21" t="s">
        <v>43</v>
      </c>
      <c r="E21">
        <v>10384</v>
      </c>
      <c r="F21" t="s">
        <v>258</v>
      </c>
      <c r="G21">
        <v>67</v>
      </c>
      <c r="H21" t="s">
        <v>204</v>
      </c>
      <c r="I21" t="s">
        <v>234</v>
      </c>
      <c r="J21" t="s">
        <v>228</v>
      </c>
      <c r="L21" t="b">
        <v>0</v>
      </c>
      <c r="M21" s="27">
        <v>46072.444745370369</v>
      </c>
    </row>
    <row r="22" spans="1:13" x14ac:dyDescent="0.25">
      <c r="A22" t="s">
        <v>259</v>
      </c>
      <c r="B22" s="26">
        <v>46023</v>
      </c>
      <c r="C22">
        <v>1</v>
      </c>
      <c r="D22" t="s">
        <v>29</v>
      </c>
      <c r="E22" t="s">
        <v>260</v>
      </c>
      <c r="F22" t="s">
        <v>261</v>
      </c>
      <c r="G22">
        <v>82</v>
      </c>
      <c r="H22" t="s">
        <v>204</v>
      </c>
      <c r="I22" t="s">
        <v>234</v>
      </c>
      <c r="J22" t="s">
        <v>228</v>
      </c>
      <c r="L22" t="b">
        <v>0</v>
      </c>
      <c r="M22" s="27">
        <v>46072.45045138889</v>
      </c>
    </row>
    <row r="23" spans="1:13" x14ac:dyDescent="0.25">
      <c r="A23" t="s">
        <v>262</v>
      </c>
      <c r="B23" s="26">
        <v>46027</v>
      </c>
      <c r="C23">
        <v>1</v>
      </c>
      <c r="D23" t="s">
        <v>29</v>
      </c>
      <c r="E23" t="s">
        <v>263</v>
      </c>
      <c r="F23" t="s">
        <v>264</v>
      </c>
      <c r="G23">
        <v>54</v>
      </c>
      <c r="H23" t="s">
        <v>204</v>
      </c>
      <c r="I23" t="s">
        <v>234</v>
      </c>
      <c r="J23" t="s">
        <v>265</v>
      </c>
      <c r="L23" t="b">
        <v>0</v>
      </c>
      <c r="M23" s="27">
        <v>46072.458252314813</v>
      </c>
    </row>
    <row r="24" spans="1:13" x14ac:dyDescent="0.25">
      <c r="A24" t="s">
        <v>266</v>
      </c>
      <c r="B24" s="26">
        <v>46028</v>
      </c>
      <c r="C24">
        <v>1</v>
      </c>
      <c r="D24" t="s">
        <v>29</v>
      </c>
      <c r="E24" t="s">
        <v>260</v>
      </c>
      <c r="F24" t="s">
        <v>267</v>
      </c>
      <c r="G24">
        <v>38</v>
      </c>
      <c r="H24" t="s">
        <v>204</v>
      </c>
      <c r="I24" t="s">
        <v>234</v>
      </c>
      <c r="J24" t="s">
        <v>265</v>
      </c>
      <c r="L24" t="b">
        <v>0</v>
      </c>
      <c r="M24" s="27">
        <v>46072.452372685184</v>
      </c>
    </row>
    <row r="25" spans="1:13" x14ac:dyDescent="0.25">
      <c r="A25" t="s">
        <v>268</v>
      </c>
      <c r="B25" s="26">
        <v>46029</v>
      </c>
      <c r="C25">
        <v>1</v>
      </c>
      <c r="D25" t="s">
        <v>29</v>
      </c>
      <c r="E25" t="s">
        <v>269</v>
      </c>
      <c r="F25" t="s">
        <v>270</v>
      </c>
      <c r="G25">
        <v>38</v>
      </c>
      <c r="H25" t="s">
        <v>204</v>
      </c>
      <c r="I25" t="s">
        <v>234</v>
      </c>
      <c r="J25" t="s">
        <v>265</v>
      </c>
      <c r="L25" t="b">
        <v>0</v>
      </c>
      <c r="M25" s="27">
        <v>46072.452951388892</v>
      </c>
    </row>
    <row r="26" spans="1:13" x14ac:dyDescent="0.25">
      <c r="A26" t="s">
        <v>271</v>
      </c>
      <c r="B26" s="26">
        <v>46029</v>
      </c>
      <c r="C26">
        <v>1</v>
      </c>
      <c r="D26" t="s">
        <v>29</v>
      </c>
      <c r="E26" t="s">
        <v>272</v>
      </c>
      <c r="F26" t="s">
        <v>273</v>
      </c>
      <c r="G26">
        <v>66</v>
      </c>
      <c r="H26" t="s">
        <v>204</v>
      </c>
      <c r="I26" t="s">
        <v>234</v>
      </c>
      <c r="J26" t="s">
        <v>228</v>
      </c>
      <c r="L26" t="b">
        <v>0</v>
      </c>
      <c r="M26" s="27">
        <v>46072.453750000001</v>
      </c>
    </row>
    <row r="27" spans="1:13" x14ac:dyDescent="0.25">
      <c r="A27" t="s">
        <v>274</v>
      </c>
      <c r="B27" s="26">
        <v>46034</v>
      </c>
      <c r="C27">
        <v>1</v>
      </c>
      <c r="D27" t="s">
        <v>29</v>
      </c>
      <c r="E27" t="s">
        <v>275</v>
      </c>
      <c r="F27" t="s">
        <v>276</v>
      </c>
      <c r="G27">
        <v>40</v>
      </c>
      <c r="H27" t="s">
        <v>204</v>
      </c>
      <c r="I27" t="s">
        <v>234</v>
      </c>
      <c r="J27" t="s">
        <v>265</v>
      </c>
      <c r="L27" t="b">
        <v>0</v>
      </c>
      <c r="M27" s="27">
        <v>46072.455185185187</v>
      </c>
    </row>
    <row r="28" spans="1:13" x14ac:dyDescent="0.25">
      <c r="A28" t="s">
        <v>277</v>
      </c>
      <c r="B28" s="26">
        <v>46035</v>
      </c>
      <c r="C28">
        <v>1</v>
      </c>
      <c r="D28" t="s">
        <v>29</v>
      </c>
      <c r="E28" t="s">
        <v>278</v>
      </c>
      <c r="F28" t="s">
        <v>279</v>
      </c>
      <c r="G28">
        <v>75</v>
      </c>
      <c r="H28" t="s">
        <v>204</v>
      </c>
      <c r="I28" t="s">
        <v>234</v>
      </c>
      <c r="J28" t="s">
        <v>265</v>
      </c>
      <c r="L28" t="b">
        <v>0</v>
      </c>
      <c r="M28" s="27">
        <v>46072.456238425926</v>
      </c>
    </row>
    <row r="29" spans="1:13" x14ac:dyDescent="0.25">
      <c r="A29" t="s">
        <v>280</v>
      </c>
      <c r="B29" s="26">
        <v>46038</v>
      </c>
      <c r="C29">
        <v>1</v>
      </c>
      <c r="D29" t="s">
        <v>29</v>
      </c>
      <c r="E29" t="s">
        <v>281</v>
      </c>
      <c r="F29" t="s">
        <v>282</v>
      </c>
      <c r="G29">
        <v>41</v>
      </c>
      <c r="H29" t="s">
        <v>204</v>
      </c>
      <c r="I29" t="s">
        <v>234</v>
      </c>
      <c r="J29" t="s">
        <v>265</v>
      </c>
      <c r="L29" t="b">
        <v>0</v>
      </c>
      <c r="M29" s="27">
        <v>46072.456238425926</v>
      </c>
    </row>
    <row r="30" spans="1:13" x14ac:dyDescent="0.25">
      <c r="A30" t="s">
        <v>283</v>
      </c>
      <c r="B30" s="26">
        <v>46038</v>
      </c>
      <c r="C30">
        <v>1</v>
      </c>
      <c r="D30" t="s">
        <v>29</v>
      </c>
      <c r="E30" t="s">
        <v>284</v>
      </c>
      <c r="F30" t="s">
        <v>285</v>
      </c>
      <c r="G30">
        <v>45</v>
      </c>
      <c r="H30" t="s">
        <v>204</v>
      </c>
      <c r="I30" t="s">
        <v>234</v>
      </c>
      <c r="J30" t="s">
        <v>265</v>
      </c>
      <c r="L30" t="b">
        <v>0</v>
      </c>
      <c r="M30" s="27">
        <v>46072.456238425926</v>
      </c>
    </row>
    <row r="31" spans="1:13" x14ac:dyDescent="0.25">
      <c r="A31" t="s">
        <v>286</v>
      </c>
      <c r="B31" s="26">
        <v>46039</v>
      </c>
      <c r="C31">
        <v>1</v>
      </c>
      <c r="D31" t="s">
        <v>29</v>
      </c>
      <c r="E31" t="s">
        <v>287</v>
      </c>
      <c r="F31" t="s">
        <v>288</v>
      </c>
      <c r="G31">
        <v>19</v>
      </c>
      <c r="H31" t="s">
        <v>204</v>
      </c>
      <c r="I31" t="s">
        <v>234</v>
      </c>
      <c r="J31" t="s">
        <v>228</v>
      </c>
      <c r="L31" t="b">
        <v>0</v>
      </c>
      <c r="M31" s="27">
        <v>46072.456238425926</v>
      </c>
    </row>
    <row r="32" spans="1:13" x14ac:dyDescent="0.25">
      <c r="A32" t="s">
        <v>289</v>
      </c>
      <c r="B32" s="26">
        <v>46049</v>
      </c>
      <c r="C32">
        <v>1</v>
      </c>
      <c r="D32" t="s">
        <v>29</v>
      </c>
      <c r="E32" t="s">
        <v>290</v>
      </c>
      <c r="F32" t="s">
        <v>291</v>
      </c>
      <c r="G32">
        <v>31</v>
      </c>
      <c r="H32" t="s">
        <v>204</v>
      </c>
      <c r="I32" t="s">
        <v>234</v>
      </c>
      <c r="J32" t="s">
        <v>228</v>
      </c>
      <c r="L32" t="b">
        <v>0</v>
      </c>
      <c r="M32" s="27">
        <v>46072.456238425926</v>
      </c>
    </row>
    <row r="33" spans="1:13" x14ac:dyDescent="0.25">
      <c r="A33" t="s">
        <v>292</v>
      </c>
      <c r="B33" s="26">
        <v>46025</v>
      </c>
      <c r="C33">
        <v>1</v>
      </c>
      <c r="D33" t="s">
        <v>41</v>
      </c>
      <c r="E33" t="s">
        <v>293</v>
      </c>
      <c r="F33" t="s">
        <v>294</v>
      </c>
      <c r="G33">
        <v>7</v>
      </c>
      <c r="H33" t="s">
        <v>295</v>
      </c>
      <c r="I33" t="s">
        <v>205</v>
      </c>
      <c r="J33" t="s">
        <v>228</v>
      </c>
      <c r="L33" t="b">
        <v>0</v>
      </c>
      <c r="M33" s="27">
        <v>46073.456238425926</v>
      </c>
    </row>
    <row r="34" spans="1:13" x14ac:dyDescent="0.25">
      <c r="A34" t="s">
        <v>296</v>
      </c>
      <c r="B34" s="26">
        <v>46036</v>
      </c>
      <c r="C34">
        <v>1</v>
      </c>
      <c r="D34" t="s">
        <v>41</v>
      </c>
      <c r="E34" t="s">
        <v>297</v>
      </c>
      <c r="F34" t="s">
        <v>298</v>
      </c>
      <c r="G34">
        <v>26</v>
      </c>
      <c r="H34" t="s">
        <v>295</v>
      </c>
      <c r="I34" t="s">
        <v>205</v>
      </c>
      <c r="J34" t="s">
        <v>228</v>
      </c>
      <c r="L34" t="b">
        <v>0</v>
      </c>
      <c r="M34" s="27">
        <v>46074.456238425926</v>
      </c>
    </row>
    <row r="35" spans="1:13" x14ac:dyDescent="0.25">
      <c r="A35" t="s">
        <v>299</v>
      </c>
      <c r="B35" s="26">
        <v>46036</v>
      </c>
      <c r="C35">
        <v>1</v>
      </c>
      <c r="D35" t="s">
        <v>41</v>
      </c>
      <c r="E35" t="s">
        <v>300</v>
      </c>
      <c r="F35" t="s">
        <v>301</v>
      </c>
      <c r="G35">
        <v>2</v>
      </c>
      <c r="H35" t="s">
        <v>295</v>
      </c>
      <c r="I35" t="s">
        <v>205</v>
      </c>
      <c r="J35" t="s">
        <v>228</v>
      </c>
      <c r="L35" t="b">
        <v>0</v>
      </c>
      <c r="M35" s="27">
        <v>46075.456238425926</v>
      </c>
    </row>
    <row r="36" spans="1:13" x14ac:dyDescent="0.25">
      <c r="A36" t="s">
        <v>302</v>
      </c>
      <c r="B36" s="26">
        <v>46040</v>
      </c>
      <c r="C36">
        <v>1</v>
      </c>
      <c r="D36" t="s">
        <v>41</v>
      </c>
      <c r="E36" t="s">
        <v>303</v>
      </c>
      <c r="F36" t="s">
        <v>304</v>
      </c>
      <c r="G36">
        <v>12</v>
      </c>
      <c r="H36" t="s">
        <v>295</v>
      </c>
      <c r="I36" t="s">
        <v>234</v>
      </c>
      <c r="J36" t="s">
        <v>228</v>
      </c>
      <c r="L36" t="b">
        <v>0</v>
      </c>
      <c r="M36" s="27">
        <v>46076.456238425926</v>
      </c>
    </row>
    <row r="37" spans="1:13" x14ac:dyDescent="0.25">
      <c r="A37" t="s">
        <v>305</v>
      </c>
      <c r="B37" s="26">
        <v>46047</v>
      </c>
      <c r="C37">
        <v>1</v>
      </c>
      <c r="D37" t="s">
        <v>41</v>
      </c>
      <c r="E37" t="s">
        <v>306</v>
      </c>
      <c r="F37" t="s">
        <v>307</v>
      </c>
      <c r="G37">
        <v>5</v>
      </c>
      <c r="H37" t="s">
        <v>295</v>
      </c>
      <c r="I37" t="s">
        <v>205</v>
      </c>
      <c r="J37" t="s">
        <v>228</v>
      </c>
      <c r="L37" t="b">
        <v>0</v>
      </c>
      <c r="M37" s="27">
        <v>46077.456238425926</v>
      </c>
    </row>
    <row r="38" spans="1:13" x14ac:dyDescent="0.25">
      <c r="A38" t="s">
        <v>308</v>
      </c>
      <c r="B38" s="26">
        <v>46051</v>
      </c>
      <c r="C38">
        <v>1</v>
      </c>
      <c r="D38" t="s">
        <v>41</v>
      </c>
      <c r="E38" t="s">
        <v>309</v>
      </c>
      <c r="F38" t="s">
        <v>310</v>
      </c>
      <c r="G38">
        <v>1</v>
      </c>
      <c r="H38" t="s">
        <v>295</v>
      </c>
      <c r="I38" t="s">
        <v>205</v>
      </c>
      <c r="J38" t="s">
        <v>228</v>
      </c>
      <c r="L38" t="b">
        <v>0</v>
      </c>
      <c r="M38" s="27">
        <v>46078.456238425926</v>
      </c>
    </row>
    <row r="39" spans="1:13" x14ac:dyDescent="0.25">
      <c r="A39" t="s">
        <v>311</v>
      </c>
      <c r="B39" s="26">
        <v>46052</v>
      </c>
      <c r="C39">
        <v>1</v>
      </c>
      <c r="D39" t="s">
        <v>41</v>
      </c>
      <c r="E39" t="s">
        <v>312</v>
      </c>
      <c r="F39" t="s">
        <v>313</v>
      </c>
      <c r="G39">
        <v>2</v>
      </c>
      <c r="H39" t="s">
        <v>295</v>
      </c>
      <c r="I39" t="s">
        <v>205</v>
      </c>
      <c r="J39" t="s">
        <v>228</v>
      </c>
      <c r="L39" t="b">
        <v>0</v>
      </c>
      <c r="M39" s="27">
        <v>46079.456238425926</v>
      </c>
    </row>
    <row r="40" spans="1:13" x14ac:dyDescent="0.25">
      <c r="A40" t="s">
        <v>314</v>
      </c>
      <c r="B40" s="26">
        <v>46051</v>
      </c>
      <c r="C40">
        <v>1</v>
      </c>
      <c r="D40" t="s">
        <v>41</v>
      </c>
      <c r="E40" t="s">
        <v>315</v>
      </c>
      <c r="F40" t="s">
        <v>313</v>
      </c>
      <c r="G40">
        <v>2</v>
      </c>
      <c r="H40" t="s">
        <v>295</v>
      </c>
      <c r="I40" t="s">
        <v>205</v>
      </c>
      <c r="J40" t="s">
        <v>228</v>
      </c>
      <c r="L40" t="b">
        <v>0</v>
      </c>
      <c r="M40" s="27">
        <v>46079.456238425926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96</v>
      </c>
      <c r="B1" t="s">
        <v>97</v>
      </c>
      <c r="C1" t="s">
        <v>72</v>
      </c>
      <c r="D1" t="s">
        <v>98</v>
      </c>
      <c r="E1" t="s">
        <v>99</v>
      </c>
      <c r="F1" t="s">
        <v>84</v>
      </c>
      <c r="G1" t="s">
        <v>85</v>
      </c>
      <c r="H1" t="s">
        <v>81</v>
      </c>
    </row>
    <row r="2" spans="1:8" x14ac:dyDescent="0.25">
      <c r="B2" s="26"/>
      <c r="H2" s="27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102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IFERROR(INDEX(tblWardConfig[PrevYearRemaining],MATCH("MW",tblWardConfig[WardCode],0)),0)</f>
        <v>25</v>
      </c>
    </row>
    <row r="5" spans="1:8" x14ac:dyDescent="0.25">
      <c r="A5" s="1" t="s">
        <v>105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111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102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105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102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105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111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102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105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102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105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111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102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105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102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105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111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102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105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111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102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105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102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105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111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102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105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102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105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111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topLeftCell="A19"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IFERROR(INDEX(tblWardConfig[PrevYearRemaining],MATCH("FW",tblWardConfig[WardCode],0)),0)</f>
        <v>16</v>
      </c>
    </row>
    <row r="5" spans="1:8" x14ac:dyDescent="0.25">
      <c r="A5" s="1" t="s">
        <v>105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111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105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105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111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105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105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111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105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105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111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105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111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105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105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111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105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105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111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113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IFERROR(INDEX(tblWardConfig[PrevYearRemaining],MATCH("CW",tblWardConfig[WardCode],0)),0)</f>
        <v>7</v>
      </c>
    </row>
    <row r="5" spans="1:8" x14ac:dyDescent="0.25">
      <c r="A5" s="1" t="s">
        <v>105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111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113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105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113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105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111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113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105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113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105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111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113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105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113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105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111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113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105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111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113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105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113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105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111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113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105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113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105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111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114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IFERROR(INDEX(tblWardConfig[PrevYearRemaining],MATCH("BF",tblWardConfig[WardCode],0)),0)</f>
        <v>9</v>
      </c>
    </row>
    <row r="5" spans="1:8" x14ac:dyDescent="0.25">
      <c r="A5" s="1" t="s">
        <v>105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111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114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105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114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105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111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114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105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114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105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111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114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105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114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105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111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114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105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111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114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105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114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105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111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114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105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114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105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111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115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IFERROR(INDEX(tblWardConfig[PrevYearRemaining],MATCH("BG",tblWardConfig[WardCode],0)),0)</f>
        <v>9</v>
      </c>
    </row>
    <row r="5" spans="1:8" x14ac:dyDescent="0.25">
      <c r="A5" s="1" t="s">
        <v>105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111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115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105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115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105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111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115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105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115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105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111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115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105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115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105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111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115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105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111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115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105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115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105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111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115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105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115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105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111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116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IFERROR(INDEX(tblWardConfig[PrevYearRemaining],MATCH("BH",tblWardConfig[WardCode],0)),0)</f>
        <v>12</v>
      </c>
    </row>
    <row r="5" spans="1:8" x14ac:dyDescent="0.25">
      <c r="A5" s="1" t="s">
        <v>105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111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116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105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116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105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111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116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105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116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105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111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116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105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116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105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111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116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105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111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116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105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116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105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111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116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105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116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105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111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117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IFERROR(INDEX(tblWardConfig[PrevYearRemaining],MATCH("NICU",tblWardConfig[WardCode],0)),0)</f>
        <v>14</v>
      </c>
    </row>
    <row r="5" spans="1:8" x14ac:dyDescent="0.25">
      <c r="A5" s="1" t="s">
        <v>105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111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117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105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117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105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111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117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105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117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105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111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117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105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117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105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111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117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105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111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117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105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117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105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111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117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105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117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105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111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118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IFERROR(INDEX(tblWardConfig[PrevYearRemaining],MATCH("MAE",tblWardConfig[WardCode],0)),0)</f>
        <v>9</v>
      </c>
    </row>
    <row r="5" spans="1:8" x14ac:dyDescent="0.25">
      <c r="A5" s="1" t="s">
        <v>105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111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118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105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118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105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111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118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105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118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105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111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118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105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118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105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111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118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105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111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118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105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118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105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111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118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105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118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105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111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119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IFERROR(INDEX(tblWardConfig[PrevYearRemaining],MATCH("FAE",tblWardConfig[WardCode],0)),0)</f>
        <v>1</v>
      </c>
    </row>
    <row r="5" spans="1:8" x14ac:dyDescent="0.25">
      <c r="A5" s="1" t="s">
        <v>105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111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119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105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119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105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111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119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105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119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105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111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119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105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119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105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111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119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105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111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119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105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119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105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111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119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105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119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105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111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15.75" x14ac:dyDescent="0.25">
      <c r="A2" s="37" t="s">
        <v>100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6" x14ac:dyDescent="0.25">
      <c r="A3" s="1" t="s">
        <v>4</v>
      </c>
      <c r="B3" s="2" t="s">
        <v>2</v>
      </c>
      <c r="E3" s="1" t="s">
        <v>101</v>
      </c>
      <c r="F3" s="1" t="s">
        <v>120</v>
      </c>
      <c r="M3" s="1" t="s">
        <v>103</v>
      </c>
      <c r="N3" s="1" t="s">
        <v>59</v>
      </c>
    </row>
    <row r="4" spans="1:16" x14ac:dyDescent="0.25">
      <c r="A4" s="1" t="s">
        <v>104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6" x14ac:dyDescent="0.25">
      <c r="A5" s="1" t="s">
        <v>105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121</v>
      </c>
      <c r="B6" s="38" t="s">
        <v>118</v>
      </c>
      <c r="C6" s="29"/>
      <c r="D6" s="29"/>
      <c r="E6" s="29"/>
      <c r="F6" s="29"/>
      <c r="G6" s="29"/>
      <c r="H6" s="29"/>
      <c r="I6" s="40" t="s">
        <v>119</v>
      </c>
      <c r="J6" s="29"/>
      <c r="K6" s="29"/>
      <c r="L6" s="29"/>
      <c r="M6" s="29"/>
      <c r="N6" s="29"/>
      <c r="O6" s="29"/>
      <c r="P6" s="13" t="s">
        <v>111</v>
      </c>
    </row>
    <row r="7" spans="1:16" x14ac:dyDescent="0.25">
      <c r="A7" s="3" t="s">
        <v>121</v>
      </c>
      <c r="B7" s="3" t="s">
        <v>122</v>
      </c>
      <c r="C7" s="3" t="s">
        <v>123</v>
      </c>
      <c r="D7" s="3" t="s">
        <v>124</v>
      </c>
      <c r="E7" s="3" t="s">
        <v>125</v>
      </c>
      <c r="F7" s="3" t="s">
        <v>126</v>
      </c>
      <c r="G7" s="3" t="s">
        <v>127</v>
      </c>
      <c r="H7" s="3" t="s">
        <v>128</v>
      </c>
      <c r="I7" s="3" t="s">
        <v>122</v>
      </c>
      <c r="J7" s="3" t="s">
        <v>123</v>
      </c>
      <c r="K7" s="3" t="s">
        <v>124</v>
      </c>
      <c r="L7" s="3" t="s">
        <v>125</v>
      </c>
      <c r="M7" s="3" t="s">
        <v>126</v>
      </c>
      <c r="N7" s="3" t="s">
        <v>127</v>
      </c>
      <c r="O7" s="3" t="s">
        <v>128</v>
      </c>
      <c r="P7" s="3" t="s">
        <v>129</v>
      </c>
    </row>
    <row r="8" spans="1:16" x14ac:dyDescent="0.25">
      <c r="A8" s="14">
        <v>1</v>
      </c>
      <c r="B8" s="14">
        <f>IFERROR(IF(SUMIFS(tblDaily[Admissions],tblDaily[EntryDate],DATE(2026,1,1),tblDaily[WardCode],"MAE")=0,"",SUMIFS(tblDaily[Admissions],tblDaily[EntryDate],DATE(2026,1,1),tblDaily[WardCode],"MAE")),"")</f>
        <v>3</v>
      </c>
      <c r="C8" s="14">
        <f>IFERROR(IF(SUMIFS(tblDaily[Discharges],tblDaily[EntryDate],DATE(2026,1,1),tblDaily[WardCode],"MAE")=0,"",SUMIFS(tblDaily[Discharges],tblDaily[EntryDate],DATE(2026,1,1),tblDaily[WardCode],"MAE")),"")</f>
        <v>3</v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>
        <f>IFERROR(IF(SUMIFS(tblDaily[TransfersOut],tblDaily[EntryDate],DATE(2026,1,1),tblDaily[WardCode],"MAE")=0,"",SUMIFS(tblDaily[TransfersOut],tblDaily[EntryDate],DATE(2026,1,1),tblDaily[WardCode],"MAE")),"")</f>
        <v>1</v>
      </c>
      <c r="H8" s="14">
        <f>IFERROR(IF(SUMIFS(tblDaily[Remaining],tblDaily[EntryDate],DATE(2026,1,1),tblDaily[WardCode],"MAE")=0,"",SUMIFS(tblDaily[Remaining],tblDaily[EntryDate],DATE(2026,1,1),tblDaily[WardCode],"MAE")),"")</f>
        <v>8</v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>
        <f>IFERROR(IF(SUMIFS(tblDaily[TransfersOut],tblDaily[EntryDate],DATE(2026,1,1),tblDaily[WardCode],"FAE")=0,"",SUMIFS(tblDaily[TransfersOut],tblDaily[EntryDate],DATE(2026,1,1),tblDaily[WardCode],"FAE")),"")</f>
        <v>1</v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>
        <f t="shared" ref="P8:P38" si="0">IF(AND(H8="", O8=""), "", N(H8) + N(O8))</f>
        <v>8</v>
      </c>
    </row>
    <row r="9" spans="1:16" x14ac:dyDescent="0.25">
      <c r="A9" s="14">
        <v>2</v>
      </c>
      <c r="B9" s="14">
        <f>IFERROR(IF(SUMIFS(tblDaily[Admissions],tblDaily[EntryDate],DATE(2026,1,2),tblDaily[WardCode],"MAE")=0,"",SUMIFS(tblDaily[Admissions],tblDaily[EntryDate],DATE(2026,1,2),tblDaily[WardCode],"MAE")),"")</f>
        <v>4</v>
      </c>
      <c r="C9" s="14">
        <f>IFERROR(IF(SUMIFS(tblDaily[Discharges],tblDaily[EntryDate],DATE(2026,1,2),tblDaily[WardCode],"MAE")=0,"",SUMIFS(tblDaily[Discharges],tblDaily[EntryDate],DATE(2026,1,2),tblDaily[WardCode],"MAE")),"")</f>
        <v>3</v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>
        <f>IFERROR(IF(SUMIFS(tblDaily[Remaining],tblDaily[EntryDate],DATE(2026,1,2),tblDaily[WardCode],"MAE")=0,"",SUMIFS(tblDaily[Remaining],tblDaily[EntryDate],DATE(2026,1,2),tblDaily[WardCode],"MAE")),"")</f>
        <v>9</v>
      </c>
      <c r="I9" s="14">
        <f>IFERROR(IF(SUMIFS(tblDaily[Admissions],tblDaily[EntryDate],DATE(2026,1,2),tblDaily[WardCode],"FAE")=0,"",SUMIFS(tblDaily[Admissions],tblDaily[EntryDate],DATE(2026,1,2),tblDaily[WardCode],"FAE")),"")</f>
        <v>1</v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>
        <f>IFERROR(IF(SUMIFS(tblDaily[Remaining],tblDaily[EntryDate],DATE(2026,1,2),tblDaily[WardCode],"FAE")=0,"",SUMIFS(tblDaily[Remaining],tblDaily[EntryDate],DATE(2026,1,2),tblDaily[WardCode],"FAE")),"")</f>
        <v>1</v>
      </c>
      <c r="P9" s="15">
        <f t="shared" si="0"/>
        <v>10</v>
      </c>
    </row>
    <row r="10" spans="1:16" x14ac:dyDescent="0.25">
      <c r="A10" s="14">
        <v>3</v>
      </c>
      <c r="B10" s="14">
        <f>IFERROR(IF(SUMIFS(tblDaily[Admissions],tblDaily[EntryDate],DATE(2026,1,3),tblDaily[WardCode],"MAE")=0,"",SUMIFS(tblDaily[Admissions],tblDaily[EntryDate],DATE(2026,1,3),tblDaily[WardCode],"MAE")),"")</f>
        <v>5</v>
      </c>
      <c r="C10" s="14">
        <f>IFERROR(IF(SUMIFS(tblDaily[Discharges],tblDaily[EntryDate],DATE(2026,1,3),tblDaily[WardCode],"MAE")=0,"",SUMIFS(tblDaily[Discharges],tblDaily[EntryDate],DATE(2026,1,3),tblDaily[WardCode],"MAE")),"")</f>
        <v>2</v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>
        <f>IFERROR(IF(SUMIFS(tblDaily[TransfersOut],tblDaily[EntryDate],DATE(2026,1,3),tblDaily[WardCode],"MAE")=0,"",SUMIFS(tblDaily[TransfersOut],tblDaily[EntryDate],DATE(2026,1,3),tblDaily[WardCode],"MAE")),"")</f>
        <v>2</v>
      </c>
      <c r="H10" s="14">
        <f>IFERROR(IF(SUMIFS(tblDaily[Remaining],tblDaily[EntryDate],DATE(2026,1,3),tblDaily[WardCode],"MAE")=0,"",SUMIFS(tblDaily[Remaining],tblDaily[EntryDate],DATE(2026,1,3),tblDaily[WardCode],"MAE")),"")</f>
        <v>10</v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>
        <f>IFERROR(IF(SUMIFS(tblDaily[TransfersOut],tblDaily[EntryDate],DATE(2026,1,3),tblDaily[WardCode],"FAE")=0,"",SUMIFS(tblDaily[TransfersOut],tblDaily[EntryDate],DATE(2026,1,3),tblDaily[WardCode],"FAE")),"")</f>
        <v>1</v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>
        <f t="shared" si="0"/>
        <v>10</v>
      </c>
    </row>
    <row r="11" spans="1:16" x14ac:dyDescent="0.25">
      <c r="A11" s="14">
        <v>4</v>
      </c>
      <c r="B11" s="14">
        <f>IFERROR(IF(SUMIFS(tblDaily[Admissions],tblDaily[EntryDate],DATE(2026,1,4),tblDaily[WardCode],"MAE")=0,"",SUMIFS(tblDaily[Admissions],tblDaily[EntryDate],DATE(2026,1,4),tblDaily[WardCode],"MAE")),"")</f>
        <v>4</v>
      </c>
      <c r="C11" s="14">
        <f>IFERROR(IF(SUMIFS(tblDaily[Discharges],tblDaily[EntryDate],DATE(2026,1,4),tblDaily[WardCode],"MAE")=0,"",SUMIFS(tblDaily[Discharges],tblDaily[EntryDate],DATE(2026,1,4),tblDaily[WardCode],"MAE")),"")</f>
        <v>1</v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>
        <f>IFERROR(IF(SUMIFS(tblDaily[DeathsUnder24Hrs],tblDaily[EntryDate],DATE(2026,1,4),tblDaily[WardCode],"MAE")=0,"",SUMIFS(tblDaily[DeathsUnder24Hrs],tblDaily[EntryDate],DATE(2026,1,4),tblDaily[WardCode],"MAE")),"")</f>
        <v>1</v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>
        <f>IFERROR(IF(SUMIFS(tblDaily[TransfersOut],tblDaily[EntryDate],DATE(2026,1,4),tblDaily[WardCode],"MAE")=0,"",SUMIFS(tblDaily[TransfersOut],tblDaily[EntryDate],DATE(2026,1,4),tblDaily[WardCode],"MAE")),"")</f>
        <v>3</v>
      </c>
      <c r="H11" s="14">
        <f>IFERROR(IF(SUMIFS(tblDaily[Remaining],tblDaily[EntryDate],DATE(2026,1,4),tblDaily[WardCode],"MAE")=0,"",SUMIFS(tblDaily[Remaining],tblDaily[EntryDate],DATE(2026,1,4),tblDaily[WardCode],"MAE")),"")</f>
        <v>9</v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>
        <f t="shared" si="0"/>
        <v>9</v>
      </c>
    </row>
    <row r="12" spans="1:16" x14ac:dyDescent="0.25">
      <c r="A12" s="14">
        <v>5</v>
      </c>
      <c r="B12" s="14">
        <f>IFERROR(IF(SUMIFS(tblDaily[Admissions],tblDaily[EntryDate],DATE(2026,1,5),tblDaily[WardCode],"MAE")=0,"",SUMIFS(tblDaily[Admissions],tblDaily[EntryDate],DATE(2026,1,5),tblDaily[WardCode],"MAE")),"")</f>
        <v>1</v>
      </c>
      <c r="C12" s="14">
        <f>IFERROR(IF(SUMIFS(tblDaily[Discharges],tblDaily[EntryDate],DATE(2026,1,5),tblDaily[WardCode],"MAE")=0,"",SUMIFS(tblDaily[Discharges],tblDaily[EntryDate],DATE(2026,1,5),tblDaily[WardCode],"MAE")),"")</f>
        <v>8</v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>
        <f>IFERROR(IF(SUMIFS(tblDaily[Remaining],tblDaily[EntryDate],DATE(2026,1,5),tblDaily[WardCode],"MAE")=0,"",SUMIFS(tblDaily[Remaining],tblDaily[EntryDate],DATE(2026,1,5),tblDaily[WardCode],"MAE")),"")</f>
        <v>2</v>
      </c>
      <c r="I12" s="14">
        <f>IFERROR(IF(SUMIFS(tblDaily[Admissions],tblDaily[EntryDate],DATE(2026,1,5),tblDaily[WardCode],"FAE")=0,"",SUMIFS(tblDaily[Admissions],tblDaily[EntryDate],DATE(2026,1,5),tblDaily[WardCode],"FAE")),"")</f>
        <v>4</v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>
        <f>IFERROR(IF(SUMIFS(tblDaily[TransfersOut],tblDaily[EntryDate],DATE(2026,1,5),tblDaily[WardCode],"FAE")=0,"",SUMIFS(tblDaily[TransfersOut],tblDaily[EntryDate],DATE(2026,1,5),tblDaily[WardCode],"FAE")),"")</f>
        <v>3</v>
      </c>
      <c r="O12" s="14">
        <f>IFERROR(IF(SUMIFS(tblDaily[Remaining],tblDaily[EntryDate],DATE(2026,1,5),tblDaily[WardCode],"FAE")=0,"",SUMIFS(tblDaily[Remaining],tblDaily[EntryDate],DATE(2026,1,5),tblDaily[WardCode],"FAE")),"")</f>
        <v>1</v>
      </c>
      <c r="P12" s="15">
        <f t="shared" si="0"/>
        <v>3</v>
      </c>
    </row>
    <row r="13" spans="1:16" x14ac:dyDescent="0.25">
      <c r="A13" s="14">
        <v>6</v>
      </c>
      <c r="B13" s="14">
        <f>IFERROR(IF(SUMIFS(tblDaily[Admissions],tblDaily[EntryDate],DATE(2026,1,6),tblDaily[WardCode],"MAE")=0,"",SUMIFS(tblDaily[Admissions],tblDaily[EntryDate],DATE(2026,1,6),tblDaily[WardCode],"MAE")),"")</f>
        <v>2</v>
      </c>
      <c r="C13" s="14">
        <f>IFERROR(IF(SUMIFS(tblDaily[Discharges],tblDaily[EntryDate],DATE(2026,1,6),tblDaily[WardCode],"MAE")=0,"",SUMIFS(tblDaily[Discharges],tblDaily[EntryDate],DATE(2026,1,6),tblDaily[WardCode],"MAE")),"")</f>
        <v>1</v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>
        <f>IFERROR(IF(SUMIFS(tblDaily[TransfersOut],tblDaily[EntryDate],DATE(2026,1,6),tblDaily[WardCode],"MAE")=0,"",SUMIFS(tblDaily[TransfersOut],tblDaily[EntryDate],DATE(2026,1,6),tblDaily[WardCode],"MAE")),"")</f>
        <v>2</v>
      </c>
      <c r="H13" s="14">
        <f>IFERROR(IF(SUMIFS(tblDaily[Remaining],tblDaily[EntryDate],DATE(2026,1,6),tblDaily[WardCode],"MAE")=0,"",SUMIFS(tblDaily[Remaining],tblDaily[EntryDate],DATE(2026,1,6),tblDaily[WardCode],"MAE")),"")</f>
        <v>1</v>
      </c>
      <c r="I13" s="14">
        <f>IFERROR(IF(SUMIFS(tblDaily[Admissions],tblDaily[EntryDate],DATE(2026,1,6),tblDaily[WardCode],"FAE")=0,"",SUMIFS(tblDaily[Admissions],tblDaily[EntryDate],DATE(2026,1,6),tblDaily[WardCode],"FAE")),"")</f>
        <v>1</v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>
        <f>IFERROR(IF(SUMIFS(tblDaily[Remaining],tblDaily[EntryDate],DATE(2026,1,6),tblDaily[WardCode],"FAE")=0,"",SUMIFS(tblDaily[Remaining],tblDaily[EntryDate],DATE(2026,1,6),tblDaily[WardCode],"FAE")),"")</f>
        <v>2</v>
      </c>
      <c r="P13" s="15">
        <f t="shared" si="0"/>
        <v>3</v>
      </c>
    </row>
    <row r="14" spans="1:16" x14ac:dyDescent="0.25">
      <c r="A14" s="14">
        <v>7</v>
      </c>
      <c r="B14" s="14">
        <f>IFERROR(IF(SUMIFS(tblDaily[Admissions],tblDaily[EntryDate],DATE(2026,1,7),tblDaily[WardCode],"MAE")=0,"",SUMIFS(tblDaily[Admissions],tblDaily[EntryDate],DATE(2026,1,7),tblDaily[WardCode],"MAE")),"")</f>
        <v>3</v>
      </c>
      <c r="C14" s="14">
        <f>IFERROR(IF(SUMIFS(tblDaily[Discharges],tblDaily[EntryDate],DATE(2026,1,7),tblDaily[WardCode],"MAE")=0,"",SUMIFS(tblDaily[Discharges],tblDaily[EntryDate],DATE(2026,1,7),tblDaily[WardCode],"MAE")),"")</f>
        <v>1</v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>
        <f>IFERROR(IF(SUMIFS(tblDaily[TransfersOut],tblDaily[EntryDate],DATE(2026,1,7),tblDaily[WardCode],"MAE")=0,"",SUMIFS(tblDaily[TransfersOut],tblDaily[EntryDate],DATE(2026,1,7),tblDaily[WardCode],"MAE")),"")</f>
        <v>1</v>
      </c>
      <c r="H14" s="14">
        <f>IFERROR(IF(SUMIFS(tblDaily[Remaining],tblDaily[EntryDate],DATE(2026,1,7),tblDaily[WardCode],"MAE")=0,"",SUMIFS(tblDaily[Remaining],tblDaily[EntryDate],DATE(2026,1,7),tblDaily[WardCode],"MAE")),"")</f>
        <v>2</v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>
        <f>IFERROR(IF(SUMIFS(tblDaily[Remaining],tblDaily[EntryDate],DATE(2026,1,7),tblDaily[WardCode],"FAE")=0,"",SUMIFS(tblDaily[Remaining],tblDaily[EntryDate],DATE(2026,1,7),tblDaily[WardCode],"FAE")),"")</f>
        <v>2</v>
      </c>
      <c r="P14" s="15">
        <f t="shared" si="0"/>
        <v>4</v>
      </c>
    </row>
    <row r="15" spans="1:16" x14ac:dyDescent="0.25">
      <c r="A15" s="14">
        <v>8</v>
      </c>
      <c r="B15" s="14">
        <f>IFERROR(IF(SUMIFS(tblDaily[Admissions],tblDaily[EntryDate],DATE(2026,1,8),tblDaily[WardCode],"MAE")=0,"",SUMIFS(tblDaily[Admissions],tblDaily[EntryDate],DATE(2026,1,8),tblDaily[WardCode],"MAE")),"")</f>
        <v>5</v>
      </c>
      <c r="C15" s="14">
        <f>IFERROR(IF(SUMIFS(tblDaily[Discharges],tblDaily[EntryDate],DATE(2026,1,8),tblDaily[WardCode],"MAE")=0,"",SUMIFS(tblDaily[Discharges],tblDaily[EntryDate],DATE(2026,1,8),tblDaily[WardCode],"MAE")),"")</f>
        <v>1</v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>
        <f>IFERROR(IF(SUMIFS(tblDaily[Remaining],tblDaily[EntryDate],DATE(2026,1,8),tblDaily[WardCode],"MAE")=0,"",SUMIFS(tblDaily[Remaining],tblDaily[EntryDate],DATE(2026,1,8),tblDaily[WardCode],"MAE")),"")</f>
        <v>6</v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>
        <f>IFERROR(IF(SUMIFS(tblDaily[TransfersOut],tblDaily[EntryDate],DATE(2026,1,8),tblDaily[WardCode],"FAE")=0,"",SUMIFS(tblDaily[TransfersOut],tblDaily[EntryDate],DATE(2026,1,8),tblDaily[WardCode],"FAE")),"")</f>
        <v>2</v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>
        <f t="shared" si="0"/>
        <v>6</v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>
        <f>IFERROR(IF(SUMIFS(tblDaily[Discharges],tblDaily[EntryDate],DATE(2026,1,9),tblDaily[WardCode],"MAE")=0,"",SUMIFS(tblDaily[Discharges],tblDaily[EntryDate],DATE(2026,1,9),tblDaily[WardCode],"MAE")),"")</f>
        <v>2</v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>
        <f>IFERROR(IF(SUMIFS(tblDaily[TransfersOut],tblDaily[EntryDate],DATE(2026,1,9),tblDaily[WardCode],"MAE")=0,"",SUMIFS(tblDaily[TransfersOut],tblDaily[EntryDate],DATE(2026,1,9),tblDaily[WardCode],"MAE")),"")</f>
        <v>2</v>
      </c>
      <c r="H16" s="14">
        <f>IFERROR(IF(SUMIFS(tblDaily[Remaining],tblDaily[EntryDate],DATE(2026,1,9),tblDaily[WardCode],"MAE")=0,"",SUMIFS(tblDaily[Remaining],tblDaily[EntryDate],DATE(2026,1,9),tblDaily[WardCode],"MAE")),"")</f>
        <v>2</v>
      </c>
      <c r="I16" s="14">
        <f>IFERROR(IF(SUMIFS(tblDaily[Admissions],tblDaily[EntryDate],DATE(2026,1,9),tblDaily[WardCode],"FAE")=0,"",SUMIFS(tblDaily[Admissions],tblDaily[EntryDate],DATE(2026,1,9),tblDaily[WardCode],"FAE")),"")</f>
        <v>1</v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>
        <f>IFERROR(IF(SUMIFS(tblDaily[Remaining],tblDaily[EntryDate],DATE(2026,1,9),tblDaily[WardCode],"FAE")=0,"",SUMIFS(tblDaily[Remaining],tblDaily[EntryDate],DATE(2026,1,9),tblDaily[WardCode],"FAE")),"")</f>
        <v>1</v>
      </c>
      <c r="P16" s="15">
        <f t="shared" si="0"/>
        <v>3</v>
      </c>
    </row>
    <row r="17" spans="1:16" x14ac:dyDescent="0.25">
      <c r="A17" s="14">
        <v>10</v>
      </c>
      <c r="B17" s="14">
        <f>IFERROR(IF(SUMIFS(tblDaily[Admissions],tblDaily[EntryDate],DATE(2026,1,10),tblDaily[WardCode],"MAE")=0,"",SUMIFS(tblDaily[Admissions],tblDaily[EntryDate],DATE(2026,1,10),tblDaily[WardCode],"MAE")),"")</f>
        <v>2</v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>
        <f>IFERROR(IF(SUMIFS(tblDaily[Remaining],tblDaily[EntryDate],DATE(2026,1,10),tblDaily[WardCode],"MAE")=0,"",SUMIFS(tblDaily[Remaining],tblDaily[EntryDate],DATE(2026,1,10),tblDaily[WardCode],"MAE")),"")</f>
        <v>4</v>
      </c>
      <c r="I17" s="14">
        <f>IFERROR(IF(SUMIFS(tblDaily[Admissions],tblDaily[EntryDate],DATE(2026,1,10),tblDaily[WardCode],"FAE")=0,"",SUMIFS(tblDaily[Admissions],tblDaily[EntryDate],DATE(2026,1,10),tblDaily[WardCode],"FAE")),"")</f>
        <v>3</v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>
        <f>IFERROR(IF(SUMIFS(tblDaily[Remaining],tblDaily[EntryDate],DATE(2026,1,10),tblDaily[WardCode],"FAE")=0,"",SUMIFS(tblDaily[Remaining],tblDaily[EntryDate],DATE(2026,1,10),tblDaily[WardCode],"FAE")),"")</f>
        <v>4</v>
      </c>
      <c r="P17" s="15">
        <f t="shared" si="0"/>
        <v>8</v>
      </c>
    </row>
    <row r="18" spans="1:16" x14ac:dyDescent="0.25">
      <c r="A18" s="14">
        <v>11</v>
      </c>
      <c r="B18" s="14">
        <f>IFERROR(IF(SUMIFS(tblDaily[Admissions],tblDaily[EntryDate],DATE(2026,1,11),tblDaily[WardCode],"MAE")=0,"",SUMIFS(tblDaily[Admissions],tblDaily[EntryDate],DATE(2026,1,11),tblDaily[WardCode],"MAE")),"")</f>
        <v>4</v>
      </c>
      <c r="C18" s="14">
        <f>IFERROR(IF(SUMIFS(tblDaily[Discharges],tblDaily[EntryDate],DATE(2026,1,11),tblDaily[WardCode],"MAE")=0,"",SUMIFS(tblDaily[Discharges],tblDaily[EntryDate],DATE(2026,1,11),tblDaily[WardCode],"MAE")),"")</f>
        <v>1</v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>
        <f>IFERROR(IF(SUMIFS(tblDaily[TransfersOut],tblDaily[EntryDate],DATE(2026,1,11),tblDaily[WardCode],"MAE")=0,"",SUMIFS(tblDaily[TransfersOut],tblDaily[EntryDate],DATE(2026,1,11),tblDaily[WardCode],"MAE")),"")</f>
        <v>4</v>
      </c>
      <c r="H18" s="14">
        <f>IFERROR(IF(SUMIFS(tblDaily[Remaining],tblDaily[EntryDate],DATE(2026,1,11),tblDaily[WardCode],"MAE")=0,"",SUMIFS(tblDaily[Remaining],tblDaily[EntryDate],DATE(2026,1,11),tblDaily[WardCode],"MAE")),"")</f>
        <v>3</v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>
        <f>IFERROR(IF(SUMIFS(tblDaily[Discharges],tblDaily[EntryDate],DATE(2026,1,11),tblDaily[WardCode],"FAE")=0,"",SUMIFS(tblDaily[Discharges],tblDaily[EntryDate],DATE(2026,1,11),tblDaily[WardCode],"FAE")),"")</f>
        <v>1</v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>
        <f>IFERROR(IF(SUMIFS(tblDaily[TransfersOut],tblDaily[EntryDate],DATE(2026,1,11),tblDaily[WardCode],"FAE")=0,"",SUMIFS(tblDaily[TransfersOut],tblDaily[EntryDate],DATE(2026,1,11),tblDaily[WardCode],"FAE")),"")</f>
        <v>1</v>
      </c>
      <c r="O18" s="14">
        <f>IFERROR(IF(SUMIFS(tblDaily[Remaining],tblDaily[EntryDate],DATE(2026,1,11),tblDaily[WardCode],"FAE")=0,"",SUMIFS(tblDaily[Remaining],tblDaily[EntryDate],DATE(2026,1,11),tblDaily[WardCode],"FAE")),"")</f>
        <v>2</v>
      </c>
      <c r="P18" s="15">
        <f t="shared" si="0"/>
        <v>5</v>
      </c>
    </row>
    <row r="19" spans="1:16" x14ac:dyDescent="0.25">
      <c r="A19" s="14">
        <v>12</v>
      </c>
      <c r="B19" s="14">
        <f>IFERROR(IF(SUMIFS(tblDaily[Admissions],tblDaily[EntryDate],DATE(2026,1,12),tblDaily[WardCode],"MAE")=0,"",SUMIFS(tblDaily[Admissions],tblDaily[EntryDate],DATE(2026,1,12),tblDaily[WardCode],"MAE")),"")</f>
        <v>1</v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>
        <f>IFERROR(IF(SUMIFS(tblDaily[TransfersOut],tblDaily[EntryDate],DATE(2026,1,12),tblDaily[WardCode],"MAE")=0,"",SUMIFS(tblDaily[TransfersOut],tblDaily[EntryDate],DATE(2026,1,12),tblDaily[WardCode],"MAE")),"")</f>
        <v>3</v>
      </c>
      <c r="H19" s="14">
        <f>IFERROR(IF(SUMIFS(tblDaily[Remaining],tblDaily[EntryDate],DATE(2026,1,12),tblDaily[WardCode],"MAE")=0,"",SUMIFS(tblDaily[Remaining],tblDaily[EntryDate],DATE(2026,1,12),tblDaily[WardCode],"MAE")),"")</f>
        <v>1</v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>
        <f>IFERROR(IF(SUMIFS(tblDaily[Discharges],tblDaily[EntryDate],DATE(2026,1,12),tblDaily[WardCode],"FAE")=0,"",SUMIFS(tblDaily[Discharges],tblDaily[EntryDate],DATE(2026,1,12),tblDaily[WardCode],"FAE")),"")</f>
        <v>2</v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>
        <f t="shared" si="0"/>
        <v>1</v>
      </c>
    </row>
    <row r="20" spans="1:16" x14ac:dyDescent="0.25">
      <c r="A20" s="14">
        <v>13</v>
      </c>
      <c r="B20" s="14">
        <f>IFERROR(IF(SUMIFS(tblDaily[Admissions],tblDaily[EntryDate],DATE(2026,1,13),tblDaily[WardCode],"MAE")=0,"",SUMIFS(tblDaily[Admissions],tblDaily[EntryDate],DATE(2026,1,13),tblDaily[WardCode],"MAE")),"")</f>
        <v>4</v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>
        <f>IFERROR(IF(SUMIFS(tblDaily[TransfersOut],tblDaily[EntryDate],DATE(2026,1,13),tblDaily[WardCode],"MAE")=0,"",SUMIFS(tblDaily[TransfersOut],tblDaily[EntryDate],DATE(2026,1,13),tblDaily[WardCode],"MAE")),"")</f>
        <v>2</v>
      </c>
      <c r="H20" s="14">
        <f>IFERROR(IF(SUMIFS(tblDaily[Remaining],tblDaily[EntryDate],DATE(2026,1,13),tblDaily[WardCode],"MAE")=0,"",SUMIFS(tblDaily[Remaining],tblDaily[EntryDate],DATE(2026,1,13),tblDaily[WardCode],"MAE")),"")</f>
        <v>3</v>
      </c>
      <c r="I20" s="14">
        <f>IFERROR(IF(SUMIFS(tblDaily[Admissions],tblDaily[EntryDate],DATE(2026,1,13),tblDaily[WardCode],"FAE")=0,"",SUMIFS(tblDaily[Admissions],tblDaily[EntryDate],DATE(2026,1,13),tblDaily[WardCode],"FAE")),"")</f>
        <v>1</v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>
        <f>IFERROR(IF(SUMIFS(tblDaily[Remaining],tblDaily[EntryDate],DATE(2026,1,13),tblDaily[WardCode],"FAE")=0,"",SUMIFS(tblDaily[Remaining],tblDaily[EntryDate],DATE(2026,1,13),tblDaily[WardCode],"FAE")),"")</f>
        <v>1</v>
      </c>
      <c r="P20" s="15">
        <f t="shared" si="0"/>
        <v>4</v>
      </c>
    </row>
    <row r="21" spans="1:16" x14ac:dyDescent="0.25">
      <c r="A21" s="14">
        <v>14</v>
      </c>
      <c r="B21" s="14">
        <f>IFERROR(IF(SUMIFS(tblDaily[Admissions],tblDaily[EntryDate],DATE(2026,1,14),tblDaily[WardCode],"MAE")=0,"",SUMIFS(tblDaily[Admissions],tblDaily[EntryDate],DATE(2026,1,14),tblDaily[WardCode],"MAE")),"")</f>
        <v>4</v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>
        <f>IFERROR(IF(SUMIFS(tblDaily[TransfersOut],tblDaily[EntryDate],DATE(2026,1,14),tblDaily[WardCode],"MAE")=0,"",SUMIFS(tblDaily[TransfersOut],tblDaily[EntryDate],DATE(2026,1,14),tblDaily[WardCode],"MAE")),"")</f>
        <v>1</v>
      </c>
      <c r="H21" s="14">
        <f>IFERROR(IF(SUMIFS(tblDaily[Remaining],tblDaily[EntryDate],DATE(2026,1,14),tblDaily[WardCode],"MAE")=0,"",SUMIFS(tblDaily[Remaining],tblDaily[EntryDate],DATE(2026,1,14),tblDaily[WardCode],"MAE")),"")</f>
        <v>6</v>
      </c>
      <c r="I21" s="14">
        <f>IFERROR(IF(SUMIFS(tblDaily[Admissions],tblDaily[EntryDate],DATE(2026,1,14),tblDaily[WardCode],"FAE")=0,"",SUMIFS(tblDaily[Admissions],tblDaily[EntryDate],DATE(2026,1,14),tblDaily[WardCode],"FAE")),"")</f>
        <v>4</v>
      </c>
      <c r="J21" s="14">
        <f>IFERROR(IF(SUMIFS(tblDaily[Discharges],tblDaily[EntryDate],DATE(2026,1,14),tblDaily[WardCode],"FAE")=0,"",SUMIFS(tblDaily[Discharges],tblDaily[EntryDate],DATE(2026,1,14),tblDaily[WardCode],"FAE")),"")</f>
        <v>2</v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>
        <f>IFERROR(IF(SUMIFS(tblDaily[TransfersOut],tblDaily[EntryDate],DATE(2026,1,14),tblDaily[WardCode],"FAE")=0,"",SUMIFS(tblDaily[TransfersOut],tblDaily[EntryDate],DATE(2026,1,14),tblDaily[WardCode],"FAE")),"")</f>
        <v>1</v>
      </c>
      <c r="O21" s="14">
        <f>IFERROR(IF(SUMIFS(tblDaily[Remaining],tblDaily[EntryDate],DATE(2026,1,14),tblDaily[WardCode],"FAE")=0,"",SUMIFS(tblDaily[Remaining],tblDaily[EntryDate],DATE(2026,1,14),tblDaily[WardCode],"FAE")),"")</f>
        <v>2</v>
      </c>
      <c r="P21" s="15">
        <f t="shared" si="0"/>
        <v>8</v>
      </c>
    </row>
    <row r="22" spans="1:16" x14ac:dyDescent="0.25">
      <c r="A22" s="14">
        <v>15</v>
      </c>
      <c r="B22" s="14">
        <f>IFERROR(IF(SUMIFS(tblDaily[Admissions],tblDaily[EntryDate],DATE(2026,1,15),tblDaily[WardCode],"MAE")=0,"",SUMIFS(tblDaily[Admissions],tblDaily[EntryDate],DATE(2026,1,15),tblDaily[WardCode],"MAE")),"")</f>
        <v>1</v>
      </c>
      <c r="C22" s="14">
        <f>IFERROR(IF(SUMIFS(tblDaily[Discharges],tblDaily[EntryDate],DATE(2026,1,15),tblDaily[WardCode],"MAE")=0,"",SUMIFS(tblDaily[Discharges],tblDaily[EntryDate],DATE(2026,1,15),tblDaily[WardCode],"MAE")),"")</f>
        <v>2</v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>
        <f>IFERROR(IF(SUMIFS(tblDaily[Remaining],tblDaily[EntryDate],DATE(2026,1,15),tblDaily[WardCode],"MAE")=0,"",SUMIFS(tblDaily[Remaining],tblDaily[EntryDate],DATE(2026,1,15),tblDaily[WardCode],"MAE")),"")</f>
        <v>5</v>
      </c>
      <c r="I22" s="14">
        <f>IFERROR(IF(SUMIFS(tblDaily[Admissions],tblDaily[EntryDate],DATE(2026,1,15),tblDaily[WardCode],"FAE")=0,"",SUMIFS(tblDaily[Admissions],tblDaily[EntryDate],DATE(2026,1,15),tblDaily[WardCode],"FAE")),"")</f>
        <v>3</v>
      </c>
      <c r="J22" s="14">
        <f>IFERROR(IF(SUMIFS(tblDaily[Discharges],tblDaily[EntryDate],DATE(2026,1,15),tblDaily[WardCode],"FAE")=0,"",SUMIFS(tblDaily[Discharges],tblDaily[EntryDate],DATE(2026,1,15),tblDaily[WardCode],"FAE")),"")</f>
        <v>2</v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>
        <f>IFERROR(IF(SUMIFS(tblDaily[TransfersOut],tblDaily[EntryDate],DATE(2026,1,15),tblDaily[WardCode],"FAE")=0,"",SUMIFS(tblDaily[TransfersOut],tblDaily[EntryDate],DATE(2026,1,15),tblDaily[WardCode],"FAE")),"")</f>
        <v>2</v>
      </c>
      <c r="O22" s="14">
        <f>IFERROR(IF(SUMIFS(tblDaily[Remaining],tblDaily[EntryDate],DATE(2026,1,15),tblDaily[WardCode],"FAE")=0,"",SUMIFS(tblDaily[Remaining],tblDaily[EntryDate],DATE(2026,1,15),tblDaily[WardCode],"FAE")),"")</f>
        <v>1</v>
      </c>
      <c r="P22" s="15">
        <f t="shared" si="0"/>
        <v>6</v>
      </c>
    </row>
    <row r="23" spans="1:16" x14ac:dyDescent="0.25">
      <c r="A23" s="14">
        <v>16</v>
      </c>
      <c r="B23" s="14">
        <f>IFERROR(IF(SUMIFS(tblDaily[Admissions],tblDaily[EntryDate],DATE(2026,1,16),tblDaily[WardCode],"MAE")=0,"",SUMIFS(tblDaily[Admissions],tblDaily[EntryDate],DATE(2026,1,16),tblDaily[WardCode],"MAE")),"")</f>
        <v>6</v>
      </c>
      <c r="C23" s="14">
        <f>IFERROR(IF(SUMIFS(tblDaily[Discharges],tblDaily[EntryDate],DATE(2026,1,16),tblDaily[WardCode],"MAE")=0,"",SUMIFS(tblDaily[Discharges],tblDaily[EntryDate],DATE(2026,1,16),tblDaily[WardCode],"MAE")),"")</f>
        <v>1</v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>
        <f>IFERROR(IF(SUMIFS(tblDaily[Remaining],tblDaily[EntryDate],DATE(2026,1,16),tblDaily[WardCode],"MAE")=0,"",SUMIFS(tblDaily[Remaining],tblDaily[EntryDate],DATE(2026,1,16),tblDaily[WardCode],"MAE")),"")</f>
        <v>9</v>
      </c>
      <c r="I23" s="14">
        <f>IFERROR(IF(SUMIFS(tblDaily[Admissions],tblDaily[EntryDate],DATE(2026,1,16),tblDaily[WardCode],"FAE")=0,"",SUMIFS(tblDaily[Admissions],tblDaily[EntryDate],DATE(2026,1,16),tblDaily[WardCode],"FAE")),"")</f>
        <v>1</v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>
        <f>IFERROR(IF(SUMIFS(tblDaily[TransfersOut],tblDaily[EntryDate],DATE(2026,1,16),tblDaily[WardCode],"FAE")=0,"",SUMIFS(tblDaily[TransfersOut],tblDaily[EntryDate],DATE(2026,1,16),tblDaily[WardCode],"FAE")),"")</f>
        <v>2</v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>
        <f t="shared" si="0"/>
        <v>9</v>
      </c>
    </row>
    <row r="24" spans="1:16" x14ac:dyDescent="0.25">
      <c r="A24" s="14">
        <v>17</v>
      </c>
      <c r="B24" s="14">
        <f>IFERROR(IF(SUMIFS(tblDaily[Admissions],tblDaily[EntryDate],DATE(2026,1,17),tblDaily[WardCode],"MAE")=0,"",SUMIFS(tblDaily[Admissions],tblDaily[EntryDate],DATE(2026,1,17),tblDaily[WardCode],"MAE")),"")</f>
        <v>3</v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>
        <f>IFERROR(IF(SUMIFS(tblDaily[TransfersOut],tblDaily[EntryDate],DATE(2026,1,17),tblDaily[WardCode],"MAE")=0,"",SUMIFS(tblDaily[TransfersOut],tblDaily[EntryDate],DATE(2026,1,17),tblDaily[WardCode],"MAE")),"")</f>
        <v>3</v>
      </c>
      <c r="H24" s="14">
        <f>IFERROR(IF(SUMIFS(tblDaily[Remaining],tblDaily[EntryDate],DATE(2026,1,17),tblDaily[WardCode],"MAE")=0,"",SUMIFS(tblDaily[Remaining],tblDaily[EntryDate],DATE(2026,1,17),tblDaily[WardCode],"MAE")),"")</f>
        <v>9</v>
      </c>
      <c r="I24" s="14">
        <f>IFERROR(IF(SUMIFS(tblDaily[Admissions],tblDaily[EntryDate],DATE(2026,1,17),tblDaily[WardCode],"FAE")=0,"",SUMIFS(tblDaily[Admissions],tblDaily[EntryDate],DATE(2026,1,17),tblDaily[WardCode],"FAE")),"")</f>
        <v>3</v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>
        <f>IFERROR(IF(SUMIFS(tblDaily[TransfersOut],tblDaily[EntryDate],DATE(2026,1,17),tblDaily[WardCode],"FAE")=0,"",SUMIFS(tblDaily[TransfersOut],tblDaily[EntryDate],DATE(2026,1,17),tblDaily[WardCode],"FAE")),"")</f>
        <v>2</v>
      </c>
      <c r="O24" s="14">
        <f>IFERROR(IF(SUMIFS(tblDaily[Remaining],tblDaily[EntryDate],DATE(2026,1,17),tblDaily[WardCode],"FAE")=0,"",SUMIFS(tblDaily[Remaining],tblDaily[EntryDate],DATE(2026,1,17),tblDaily[WardCode],"FAE")),"")</f>
        <v>1</v>
      </c>
      <c r="P24" s="15">
        <f t="shared" si="0"/>
        <v>10</v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>
        <f>IFERROR(IF(SUMIFS(tblDaily[Discharges],tblDaily[EntryDate],DATE(2026,1,18),tblDaily[WardCode],"MAE")=0,"",SUMIFS(tblDaily[Discharges],tblDaily[EntryDate],DATE(2026,1,18),tblDaily[WardCode],"MAE")),"")</f>
        <v>1</v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>
        <f>IFERROR(IF(SUMIFS(tblDaily[TransfersOut],tblDaily[EntryDate],DATE(2026,1,18),tblDaily[WardCode],"MAE")=0,"",SUMIFS(tblDaily[TransfersOut],tblDaily[EntryDate],DATE(2026,1,18),tblDaily[WardCode],"MAE")),"")</f>
        <v>2</v>
      </c>
      <c r="H25" s="14">
        <f>IFERROR(IF(SUMIFS(tblDaily[Remaining],tblDaily[EntryDate],DATE(2026,1,18),tblDaily[WardCode],"MAE")=0,"",SUMIFS(tblDaily[Remaining],tblDaily[EntryDate],DATE(2026,1,18),tblDaily[WardCode],"MAE")),"")</f>
        <v>6</v>
      </c>
      <c r="I25" s="14">
        <f>IFERROR(IF(SUMIFS(tblDaily[Admissions],tblDaily[EntryDate],DATE(2026,1,18),tblDaily[WardCode],"FAE")=0,"",SUMIFS(tblDaily[Admissions],tblDaily[EntryDate],DATE(2026,1,18),tblDaily[WardCode],"FAE")),"")</f>
        <v>4</v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>
        <f>IFERROR(IF(SUMIFS(tblDaily[TransfersOut],tblDaily[EntryDate],DATE(2026,1,18),tblDaily[WardCode],"FAE")=0,"",SUMIFS(tblDaily[TransfersOut],tblDaily[EntryDate],DATE(2026,1,18),tblDaily[WardCode],"FAE")),"")</f>
        <v>1</v>
      </c>
      <c r="O25" s="14">
        <f>IFERROR(IF(SUMIFS(tblDaily[Remaining],tblDaily[EntryDate],DATE(2026,1,18),tblDaily[WardCode],"FAE")=0,"",SUMIFS(tblDaily[Remaining],tblDaily[EntryDate],DATE(2026,1,18),tblDaily[WardCode],"FAE")),"")</f>
        <v>4</v>
      </c>
      <c r="P25" s="15">
        <f t="shared" si="0"/>
        <v>10</v>
      </c>
    </row>
    <row r="26" spans="1:16" x14ac:dyDescent="0.25">
      <c r="A26" s="14">
        <v>19</v>
      </c>
      <c r="B26" s="14">
        <f>IFERROR(IF(SUMIFS(tblDaily[Admissions],tblDaily[EntryDate],DATE(2026,1,19),tblDaily[WardCode],"MAE")=0,"",SUMIFS(tblDaily[Admissions],tblDaily[EntryDate],DATE(2026,1,19),tblDaily[WardCode],"MAE")),"")</f>
        <v>2</v>
      </c>
      <c r="C26" s="14">
        <f>IFERROR(IF(SUMIFS(tblDaily[Discharges],tblDaily[EntryDate],DATE(2026,1,19),tblDaily[WardCode],"MAE")=0,"",SUMIFS(tblDaily[Discharges],tblDaily[EntryDate],DATE(2026,1,19),tblDaily[WardCode],"MAE")),"")</f>
        <v>4</v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>
        <f>IFERROR(IF(SUMIFS(tblDaily[Remaining],tblDaily[EntryDate],DATE(2026,1,19),tblDaily[WardCode],"MAE")=0,"",SUMIFS(tblDaily[Remaining],tblDaily[EntryDate],DATE(2026,1,19),tblDaily[WardCode],"MAE")),"")</f>
        <v>3</v>
      </c>
      <c r="I26" s="14">
        <f>IFERROR(IF(SUMIFS(tblDaily[Admissions],tblDaily[EntryDate],DATE(2026,1,19),tblDaily[WardCode],"FAE")=0,"",SUMIFS(tblDaily[Admissions],tblDaily[EntryDate],DATE(2026,1,19),tblDaily[WardCode],"FAE")),"")</f>
        <v>1</v>
      </c>
      <c r="J26" s="14">
        <f>IFERROR(IF(SUMIFS(tblDaily[Discharges],tblDaily[EntryDate],DATE(2026,1,19),tblDaily[WardCode],"FAE")=0,"",SUMIFS(tblDaily[Discharges],tblDaily[EntryDate],DATE(2026,1,19),tblDaily[WardCode],"FAE")),"")</f>
        <v>1</v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>
        <f>IFERROR(IF(SUMIFS(tblDaily[TransfersOut],tblDaily[EntryDate],DATE(2026,1,19),tblDaily[WardCode],"FAE")=0,"",SUMIFS(tblDaily[TransfersOut],tblDaily[EntryDate],DATE(2026,1,19),tblDaily[WardCode],"FAE")),"")</f>
        <v>1</v>
      </c>
      <c r="O26" s="14">
        <f>IFERROR(IF(SUMIFS(tblDaily[Remaining],tblDaily[EntryDate],DATE(2026,1,19),tblDaily[WardCode],"FAE")=0,"",SUMIFS(tblDaily[Remaining],tblDaily[EntryDate],DATE(2026,1,19),tblDaily[WardCode],"FAE")),"")</f>
        <v>3</v>
      </c>
      <c r="P26" s="15">
        <f t="shared" si="0"/>
        <v>6</v>
      </c>
    </row>
    <row r="27" spans="1:16" x14ac:dyDescent="0.25">
      <c r="A27" s="14">
        <v>20</v>
      </c>
      <c r="B27" s="14">
        <f>IFERROR(IF(SUMIFS(tblDaily[Admissions],tblDaily[EntryDate],DATE(2026,1,20),tblDaily[WardCode],"MAE")=0,"",SUMIFS(tblDaily[Admissions],tblDaily[EntryDate],DATE(2026,1,20),tblDaily[WardCode],"MAE")),"")</f>
        <v>7</v>
      </c>
      <c r="C27" s="14">
        <f>IFERROR(IF(SUMIFS(tblDaily[Discharges],tblDaily[EntryDate],DATE(2026,1,20),tblDaily[WardCode],"MAE")=0,"",SUMIFS(tblDaily[Discharges],tblDaily[EntryDate],DATE(2026,1,20),tblDaily[WardCode],"MAE")),"")</f>
        <v>3</v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>
        <f>IFERROR(IF(SUMIFS(tblDaily[TransfersOut],tblDaily[EntryDate],DATE(2026,1,20),tblDaily[WardCode],"MAE")=0,"",SUMIFS(tblDaily[TransfersOut],tblDaily[EntryDate],DATE(2026,1,20),tblDaily[WardCode],"MAE")),"")</f>
        <v>1</v>
      </c>
      <c r="H27" s="14">
        <f>IFERROR(IF(SUMIFS(tblDaily[Remaining],tblDaily[EntryDate],DATE(2026,1,20),tblDaily[WardCode],"MAE")=0,"",SUMIFS(tblDaily[Remaining],tblDaily[EntryDate],DATE(2026,1,20),tblDaily[WardCode],"MAE")),"")</f>
        <v>6</v>
      </c>
      <c r="I27" s="14">
        <f>IFERROR(IF(SUMIFS(tblDaily[Admissions],tblDaily[EntryDate],DATE(2026,1,20),tblDaily[WardCode],"FAE")=0,"",SUMIFS(tblDaily[Admissions],tblDaily[EntryDate],DATE(2026,1,20),tblDaily[WardCode],"FAE")),"")</f>
        <v>1</v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>
        <f>IFERROR(IF(SUMIFS(tblDaily[Remaining],tblDaily[EntryDate],DATE(2026,1,20),tblDaily[WardCode],"FAE")=0,"",SUMIFS(tblDaily[Remaining],tblDaily[EntryDate],DATE(2026,1,20),tblDaily[WardCode],"FAE")),"")</f>
        <v>3</v>
      </c>
      <c r="P27" s="15">
        <f t="shared" si="0"/>
        <v>9</v>
      </c>
    </row>
    <row r="28" spans="1:16" x14ac:dyDescent="0.25">
      <c r="A28" s="14">
        <v>21</v>
      </c>
      <c r="B28" s="14">
        <f>IFERROR(IF(SUMIFS(tblDaily[Admissions],tblDaily[EntryDate],DATE(2026,1,21),tblDaily[WardCode],"MAE")=0,"",SUMIFS(tblDaily[Admissions],tblDaily[EntryDate],DATE(2026,1,21),tblDaily[WardCode],"MAE")),"")</f>
        <v>1</v>
      </c>
      <c r="C28" s="14">
        <f>IFERROR(IF(SUMIFS(tblDaily[Discharges],tblDaily[EntryDate],DATE(2026,1,21),tblDaily[WardCode],"MAE")=0,"",SUMIFS(tblDaily[Discharges],tblDaily[EntryDate],DATE(2026,1,21),tblDaily[WardCode],"MAE")),"")</f>
        <v>2</v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>
        <f>IFERROR(IF(SUMIFS(tblDaily[TransfersOut],tblDaily[EntryDate],DATE(2026,1,21),tblDaily[WardCode],"MAE")=0,"",SUMIFS(tblDaily[TransfersOut],tblDaily[EntryDate],DATE(2026,1,21),tblDaily[WardCode],"MAE")),"")</f>
        <v>1</v>
      </c>
      <c r="H28" s="14">
        <f>IFERROR(IF(SUMIFS(tblDaily[Remaining],tblDaily[EntryDate],DATE(2026,1,21),tblDaily[WardCode],"MAE")=0,"",SUMIFS(tblDaily[Remaining],tblDaily[EntryDate],DATE(2026,1,21),tblDaily[WardCode],"MAE")),"")</f>
        <v>4</v>
      </c>
      <c r="I28" s="14">
        <f>IFERROR(IF(SUMIFS(tblDaily[Admissions],tblDaily[EntryDate],DATE(2026,1,21),tblDaily[WardCode],"FAE")=0,"",SUMIFS(tblDaily[Admissions],tblDaily[EntryDate],DATE(2026,1,21),tblDaily[WardCode],"FAE")),"")</f>
        <v>1</v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>
        <f>IFERROR(IF(SUMIFS(tblDaily[TransfersOut],tblDaily[EntryDate],DATE(2026,1,21),tblDaily[WardCode],"FAE")=0,"",SUMIFS(tblDaily[TransfersOut],tblDaily[EntryDate],DATE(2026,1,21),tblDaily[WardCode],"FAE")),"")</f>
        <v>1</v>
      </c>
      <c r="O28" s="14">
        <f>IFERROR(IF(SUMIFS(tblDaily[Remaining],tblDaily[EntryDate],DATE(2026,1,21),tblDaily[WardCode],"FAE")=0,"",SUMIFS(tblDaily[Remaining],tblDaily[EntryDate],DATE(2026,1,21),tblDaily[WardCode],"FAE")),"")</f>
        <v>3</v>
      </c>
      <c r="P28" s="15">
        <f t="shared" si="0"/>
        <v>7</v>
      </c>
    </row>
    <row r="29" spans="1:16" x14ac:dyDescent="0.25">
      <c r="A29" s="14">
        <v>22</v>
      </c>
      <c r="B29" s="14">
        <f>IFERROR(IF(SUMIFS(tblDaily[Admissions],tblDaily[EntryDate],DATE(2026,1,22),tblDaily[WardCode],"MAE")=0,"",SUMIFS(tblDaily[Admissions],tblDaily[EntryDate],DATE(2026,1,22),tblDaily[WardCode],"MAE")),"")</f>
        <v>5</v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>
        <f>IFERROR(IF(SUMIFS(tblDaily[TransfersOut],tblDaily[EntryDate],DATE(2026,1,22),tblDaily[WardCode],"MAE")=0,"",SUMIFS(tblDaily[TransfersOut],tblDaily[EntryDate],DATE(2026,1,22),tblDaily[WardCode],"MAE")),"")</f>
        <v>3</v>
      </c>
      <c r="H29" s="14">
        <f>IFERROR(IF(SUMIFS(tblDaily[Remaining],tblDaily[EntryDate],DATE(2026,1,22),tblDaily[WardCode],"MAE")=0,"",SUMIFS(tblDaily[Remaining],tblDaily[EntryDate],DATE(2026,1,22),tblDaily[WardCode],"MAE")),"")</f>
        <v>6</v>
      </c>
      <c r="I29" s="14">
        <f>IFERROR(IF(SUMIFS(tblDaily[Admissions],tblDaily[EntryDate],DATE(2026,1,22),tblDaily[WardCode],"FAE")=0,"",SUMIFS(tblDaily[Admissions],tblDaily[EntryDate],DATE(2026,1,22),tblDaily[WardCode],"FAE")),"")</f>
        <v>2</v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>
        <f>IFERROR(IF(SUMIFS(tblDaily[TransfersOut],tblDaily[EntryDate],DATE(2026,1,22),tblDaily[WardCode],"FAE")=0,"",SUMIFS(tblDaily[TransfersOut],tblDaily[EntryDate],DATE(2026,1,22),tblDaily[WardCode],"FAE")),"")</f>
        <v>2</v>
      </c>
      <c r="O29" s="14">
        <f>IFERROR(IF(SUMIFS(tblDaily[Remaining],tblDaily[EntryDate],DATE(2026,1,22),tblDaily[WardCode],"FAE")=0,"",SUMIFS(tblDaily[Remaining],tblDaily[EntryDate],DATE(2026,1,22),tblDaily[WardCode],"FAE")),"")</f>
        <v>3</v>
      </c>
      <c r="P29" s="15">
        <f t="shared" si="0"/>
        <v>9</v>
      </c>
    </row>
    <row r="30" spans="1:16" x14ac:dyDescent="0.25">
      <c r="A30" s="14">
        <v>23</v>
      </c>
      <c r="B30" s="14">
        <f>IFERROR(IF(SUMIFS(tblDaily[Admissions],tblDaily[EntryDate],DATE(2026,1,23),tblDaily[WardCode],"MAE")=0,"",SUMIFS(tblDaily[Admissions],tblDaily[EntryDate],DATE(2026,1,23),tblDaily[WardCode],"MAE")),"")</f>
        <v>4</v>
      </c>
      <c r="C30" s="14">
        <f>IFERROR(IF(SUMIFS(tblDaily[Discharges],tblDaily[EntryDate],DATE(2026,1,23),tblDaily[WardCode],"MAE")=0,"",SUMIFS(tblDaily[Discharges],tblDaily[EntryDate],DATE(2026,1,23),tblDaily[WardCode],"MAE")),"")</f>
        <v>1</v>
      </c>
      <c r="D30" s="14">
        <f>IFERROR(IF(SUMIFS(tblDaily[Deaths],tblDaily[EntryDate],DATE(2026,1,23),tblDaily[WardCode],"MAE")=0,"",SUMIFS(tblDaily[Deaths],tblDaily[EntryDate],DATE(2026,1,23),tblDaily[WardCode],"MAE")),"")</f>
        <v>1</v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>
        <f>IFERROR(IF(SUMIFS(tblDaily[TransfersOut],tblDaily[EntryDate],DATE(2026,1,23),tblDaily[WardCode],"MAE")=0,"",SUMIFS(tblDaily[TransfersOut],tblDaily[EntryDate],DATE(2026,1,23),tblDaily[WardCode],"MAE")),"")</f>
        <v>2</v>
      </c>
      <c r="H30" s="14">
        <f>IFERROR(IF(SUMIFS(tblDaily[Remaining],tblDaily[EntryDate],DATE(2026,1,23),tblDaily[WardCode],"MAE")=0,"",SUMIFS(tblDaily[Remaining],tblDaily[EntryDate],DATE(2026,1,23),tblDaily[WardCode],"MAE")),"")</f>
        <v>6</v>
      </c>
      <c r="I30" s="14">
        <f>IFERROR(IF(SUMIFS(tblDaily[Admissions],tblDaily[EntryDate],DATE(2026,1,23),tblDaily[WardCode],"FAE")=0,"",SUMIFS(tblDaily[Admissions],tblDaily[EntryDate],DATE(2026,1,23),tblDaily[WardCode],"FAE")),"")</f>
        <v>1</v>
      </c>
      <c r="J30" s="14">
        <f>IFERROR(IF(SUMIFS(tblDaily[Discharges],tblDaily[EntryDate],DATE(2026,1,23),tblDaily[WardCode],"FAE")=0,"",SUMIFS(tblDaily[Discharges],tblDaily[EntryDate],DATE(2026,1,23),tblDaily[WardCode],"FAE")),"")</f>
        <v>2</v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>
        <f>IFERROR(IF(SUMIFS(tblDaily[Remaining],tblDaily[EntryDate],DATE(2026,1,23),tblDaily[WardCode],"FAE")=0,"",SUMIFS(tblDaily[Remaining],tblDaily[EntryDate],DATE(2026,1,23),tblDaily[WardCode],"FAE")),"")</f>
        <v>2</v>
      </c>
      <c r="P30" s="15">
        <f t="shared" si="0"/>
        <v>8</v>
      </c>
    </row>
    <row r="31" spans="1:16" x14ac:dyDescent="0.25">
      <c r="A31" s="14">
        <v>24</v>
      </c>
      <c r="B31" s="14">
        <f>IFERROR(IF(SUMIFS(tblDaily[Admissions],tblDaily[EntryDate],DATE(2026,1,24),tblDaily[WardCode],"MAE")=0,"",SUMIFS(tblDaily[Admissions],tblDaily[EntryDate],DATE(2026,1,24),tblDaily[WardCode],"MAE")),"")</f>
        <v>3</v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>
        <f>IFERROR(IF(SUMIFS(tblDaily[Deaths],tblDaily[EntryDate],DATE(2026,1,24),tblDaily[WardCode],"MAE")=0,"",SUMIFS(tblDaily[Deaths],tblDaily[EntryDate],DATE(2026,1,24),tblDaily[WardCode],"MAE")),"")</f>
        <v>1</v>
      </c>
      <c r="E31" s="14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>
        <f>IFERROR(IF(SUMIFS(tblDaily[TransfersOut],tblDaily[EntryDate],DATE(2026,1,24),tblDaily[WardCode],"MAE")=0,"",SUMIFS(tblDaily[TransfersOut],tblDaily[EntryDate],DATE(2026,1,24),tblDaily[WardCode],"MAE")),"")</f>
        <v>2</v>
      </c>
      <c r="H31" s="14">
        <f>IFERROR(IF(SUMIFS(tblDaily[Remaining],tblDaily[EntryDate],DATE(2026,1,24),tblDaily[WardCode],"MAE")=0,"",SUMIFS(tblDaily[Remaining],tblDaily[EntryDate],DATE(2026,1,24),tblDaily[WardCode],"MAE")),"")</f>
        <v>5</v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>
        <f>IFERROR(IF(SUMIFS(tblDaily[Discharges],tblDaily[EntryDate],DATE(2026,1,24),tblDaily[WardCode],"FAE")=0,"",SUMIFS(tblDaily[Discharges],tblDaily[EntryDate],DATE(2026,1,24),tblDaily[WardCode],"FAE")),"")</f>
        <v>1</v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>
        <f>IFERROR(IF(SUMIFS(tblDaily[TransfersOut],tblDaily[EntryDate],DATE(2026,1,24),tblDaily[WardCode],"FAE")=0,"",SUMIFS(tblDaily[TransfersOut],tblDaily[EntryDate],DATE(2026,1,24),tblDaily[WardCode],"FAE")),"")</f>
        <v>1</v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>
        <f t="shared" si="0"/>
        <v>5</v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>
        <f>IFERROR(IF(SUMIFS(tblDaily[Discharges],tblDaily[EntryDate],DATE(2026,1,25),tblDaily[WardCode],"MAE")=0,"",SUMIFS(tblDaily[Discharges],tblDaily[EntryDate],DATE(2026,1,25),tblDaily[WardCode],"MAE")),"")</f>
        <v>1</v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>
        <f>IFERROR(IF(SUMIFS(tblDaily[TransfersOut],tblDaily[EntryDate],DATE(2026,1,25),tblDaily[WardCode],"MAE")=0,"",SUMIFS(tblDaily[TransfersOut],tblDaily[EntryDate],DATE(2026,1,25),tblDaily[WardCode],"MAE")),"")</f>
        <v>2</v>
      </c>
      <c r="H32" s="14">
        <f>IFERROR(IF(SUMIFS(tblDaily[Remaining],tblDaily[EntryDate],DATE(2026,1,25),tblDaily[WardCode],"MAE")=0,"",SUMIFS(tblDaily[Remaining],tblDaily[EntryDate],DATE(2026,1,25),tblDaily[WardCode],"MAE")),"")</f>
        <v>2</v>
      </c>
      <c r="I32" s="14">
        <f>IFERROR(IF(SUMIFS(tblDaily[Admissions],tblDaily[EntryDate],DATE(2026,1,25),tblDaily[WardCode],"FAE")=0,"",SUMIFS(tblDaily[Admissions],tblDaily[EntryDate],DATE(2026,1,25),tblDaily[WardCode],"FAE")),"")</f>
        <v>2</v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>
        <f>IFERROR(IF(SUMIFS(tblDaily[Remaining],tblDaily[EntryDate],DATE(2026,1,25),tblDaily[WardCode],"FAE")=0,"",SUMIFS(tblDaily[Remaining],tblDaily[EntryDate],DATE(2026,1,25),tblDaily[WardCode],"FAE")),"")</f>
        <v>2</v>
      </c>
      <c r="P32" s="15">
        <f t="shared" si="0"/>
        <v>4</v>
      </c>
    </row>
    <row r="33" spans="1:16" x14ac:dyDescent="0.25">
      <c r="A33" s="14">
        <v>26</v>
      </c>
      <c r="B33" s="14">
        <f>IFERROR(IF(SUMIFS(tblDaily[Admissions],tblDaily[EntryDate],DATE(2026,1,26),tblDaily[WardCode],"MAE")=0,"",SUMIFS(tblDaily[Admissions],tblDaily[EntryDate],DATE(2026,1,26),tblDaily[WardCode],"MAE")),"")</f>
        <v>5</v>
      </c>
      <c r="C33" s="14">
        <f>IFERROR(IF(SUMIFS(tblDaily[Discharges],tblDaily[EntryDate],DATE(2026,1,26),tblDaily[WardCode],"MAE")=0,"",SUMIFS(tblDaily[Discharges],tblDaily[EntryDate],DATE(2026,1,26),tblDaily[WardCode],"MAE")),"")</f>
        <v>1</v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>
        <f>IFERROR(IF(SUMIFS(tblDaily[TransfersOut],tblDaily[EntryDate],DATE(2026,1,26),tblDaily[WardCode],"MAE")=0,"",SUMIFS(tblDaily[TransfersOut],tblDaily[EntryDate],DATE(2026,1,26),tblDaily[WardCode],"MAE")),"")</f>
        <v>2</v>
      </c>
      <c r="H33" s="14">
        <f>IFERROR(IF(SUMIFS(tblDaily[Remaining],tblDaily[EntryDate],DATE(2026,1,26),tblDaily[WardCode],"MAE")=0,"",SUMIFS(tblDaily[Remaining],tblDaily[EntryDate],DATE(2026,1,26),tblDaily[WardCode],"MAE")),"")</f>
        <v>4</v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>
        <f>IFERROR(IF(SUMIFS(tblDaily[TransfersOut],tblDaily[EntryDate],DATE(2026,1,26),tblDaily[WardCode],"FAE")=0,"",SUMIFS(tblDaily[TransfersOut],tblDaily[EntryDate],DATE(2026,1,26),tblDaily[WardCode],"FAE")),"")</f>
        <v>1</v>
      </c>
      <c r="O33" s="14">
        <f>IFERROR(IF(SUMIFS(tblDaily[Remaining],tblDaily[EntryDate],DATE(2026,1,26),tblDaily[WardCode],"FAE")=0,"",SUMIFS(tblDaily[Remaining],tblDaily[EntryDate],DATE(2026,1,26),tblDaily[WardCode],"FAE")),"")</f>
        <v>1</v>
      </c>
      <c r="P33" s="15">
        <f t="shared" si="0"/>
        <v>5</v>
      </c>
    </row>
    <row r="34" spans="1:16" x14ac:dyDescent="0.25">
      <c r="A34" s="14">
        <v>27</v>
      </c>
      <c r="B34" s="14">
        <f>IFERROR(IF(SUMIFS(tblDaily[Admissions],tblDaily[EntryDate],DATE(2026,1,27),tblDaily[WardCode],"MAE")=0,"",SUMIFS(tblDaily[Admissions],tblDaily[EntryDate],DATE(2026,1,27),tblDaily[WardCode],"MAE")),"")</f>
        <v>5</v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>
        <f>IFERROR(IF(SUMIFS(tblDaily[TransfersOut],tblDaily[EntryDate],DATE(2026,1,27),tblDaily[WardCode],"MAE")=0,"",SUMIFS(tblDaily[TransfersOut],tblDaily[EntryDate],DATE(2026,1,27),tblDaily[WardCode],"MAE")),"")</f>
        <v>2</v>
      </c>
      <c r="H34" s="14">
        <f>IFERROR(IF(SUMIFS(tblDaily[Remaining],tblDaily[EntryDate],DATE(2026,1,27),tblDaily[WardCode],"MAE")=0,"",SUMIFS(tblDaily[Remaining],tblDaily[EntryDate],DATE(2026,1,27),tblDaily[WardCode],"MAE")),"")</f>
        <v>6</v>
      </c>
      <c r="I34" s="14">
        <f>IFERROR(IF(SUMIFS(tblDaily[Admissions],tblDaily[EntryDate],DATE(2026,1,27),tblDaily[WardCode],"FAE")=0,"",SUMIFS(tblDaily[Admissions],tblDaily[EntryDate],DATE(2026,1,27),tblDaily[WardCode],"FAE")),"")</f>
        <v>1</v>
      </c>
      <c r="J34" s="14">
        <f>IFERROR(IF(SUMIFS(tblDaily[Discharges],tblDaily[EntryDate],DATE(2026,1,27),tblDaily[WardCode],"FAE")=0,"",SUMIFS(tblDaily[Discharges],tblDaily[EntryDate],DATE(2026,1,27),tblDaily[WardCode],"FAE")),"")</f>
        <v>1</v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>
        <f>IFERROR(IF(SUMIFS(tblDaily[TransfersOut],tblDaily[EntryDate],DATE(2026,1,27),tblDaily[WardCode],"FAE")=0,"",SUMIFS(tblDaily[TransfersOut],tblDaily[EntryDate],DATE(2026,1,27),tblDaily[WardCode],"FAE")),"")</f>
        <v>1</v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>
        <f t="shared" si="0"/>
        <v>6</v>
      </c>
    </row>
    <row r="35" spans="1:16" x14ac:dyDescent="0.25">
      <c r="A35" s="14">
        <v>28</v>
      </c>
      <c r="B35" s="14">
        <f>IFERROR(IF(SUMIFS(tblDaily[Admissions],tblDaily[EntryDate],DATE(2026,1,28),tblDaily[WardCode],"MAE")=0,"",SUMIFS(tblDaily[Admissions],tblDaily[EntryDate],DATE(2026,1,28),tblDaily[WardCode],"MAE")),"")</f>
        <v>2</v>
      </c>
      <c r="C35" s="14">
        <f>IFERROR(IF(SUMIFS(tblDaily[Discharges],tblDaily[EntryDate],DATE(2026,1,28),tblDaily[WardCode],"MAE")=0,"",SUMIFS(tblDaily[Discharges],tblDaily[EntryDate],DATE(2026,1,28),tblDaily[WardCode],"MAE")),"")</f>
        <v>3</v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>
        <f>IFERROR(IF(SUMIFS(tblDaily[TransfersOut],tblDaily[EntryDate],DATE(2026,1,28),tblDaily[WardCode],"MAE")=0,"",SUMIFS(tblDaily[TransfersOut],tblDaily[EntryDate],DATE(2026,1,28),tblDaily[WardCode],"MAE")),"")</f>
        <v>2</v>
      </c>
      <c r="H35" s="14">
        <f>IFERROR(IF(SUMIFS(tblDaily[Remaining],tblDaily[EntryDate],DATE(2026,1,28),tblDaily[WardCode],"MAE")=0,"",SUMIFS(tblDaily[Remaining],tblDaily[EntryDate],DATE(2026,1,28),tblDaily[WardCode],"MAE")),"")</f>
        <v>3</v>
      </c>
      <c r="I35" s="14">
        <f>IFERROR(IF(SUMIFS(tblDaily[Admissions],tblDaily[EntryDate],DATE(2026,1,28),tblDaily[WardCode],"FAE")=0,"",SUMIFS(tblDaily[Admissions],tblDaily[EntryDate],DATE(2026,1,28),tblDaily[WardCode],"FAE")),"")</f>
        <v>4</v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>
        <f>IFERROR(IF(SUMIFS(tblDaily[TransfersOut],tblDaily[EntryDate],DATE(2026,1,28),tblDaily[WardCode],"FAE")=0,"",SUMIFS(tblDaily[TransfersOut],tblDaily[EntryDate],DATE(2026,1,28),tblDaily[WardCode],"FAE")),"")</f>
        <v>1</v>
      </c>
      <c r="O35" s="14">
        <f>IFERROR(IF(SUMIFS(tblDaily[Remaining],tblDaily[EntryDate],DATE(2026,1,28),tblDaily[WardCode],"FAE")=0,"",SUMIFS(tblDaily[Remaining],tblDaily[EntryDate],DATE(2026,1,28),tblDaily[WardCode],"FAE")),"")</f>
        <v>3</v>
      </c>
      <c r="P35" s="15">
        <f t="shared" si="0"/>
        <v>6</v>
      </c>
    </row>
    <row r="36" spans="1:16" x14ac:dyDescent="0.25">
      <c r="A36" s="14">
        <v>29</v>
      </c>
      <c r="B36" s="14">
        <f>IFERROR(IF(SUMIFS(tblDaily[Admissions],tblDaily[EntryDate],DATE(2026,1,29),tblDaily[WardCode],"MAE")=0,"",SUMIFS(tblDaily[Admissions],tblDaily[EntryDate],DATE(2026,1,29),tblDaily[WardCode],"MAE")),"")</f>
        <v>1</v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>
        <f>IFERROR(IF(SUMIFS(tblDaily[Remaining],tblDaily[EntryDate],DATE(2026,1,29),tblDaily[WardCode],"MAE")=0,"",SUMIFS(tblDaily[Remaining],tblDaily[EntryDate],DATE(2026,1,29),tblDaily[WardCode],"MAE")),"")</f>
        <v>4</v>
      </c>
      <c r="I36" s="14">
        <f>IFERROR(IF(SUMIFS(tblDaily[Admissions],tblDaily[EntryDate],DATE(2026,1,29),tblDaily[WardCode],"FAE")=0,"",SUMIFS(tblDaily[Admissions],tblDaily[EntryDate],DATE(2026,1,29),tblDaily[WardCode],"FAE")),"")</f>
        <v>2</v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>
        <f>IFERROR(IF(SUMIFS(tblDaily[TransfersOut],tblDaily[EntryDate],DATE(2026,1,29),tblDaily[WardCode],"FAE")=0,"",SUMIFS(tblDaily[TransfersOut],tblDaily[EntryDate],DATE(2026,1,29),tblDaily[WardCode],"FAE")),"")</f>
        <v>2</v>
      </c>
      <c r="O36" s="14">
        <f>IFERROR(IF(SUMIFS(tblDaily[Remaining],tblDaily[EntryDate],DATE(2026,1,29),tblDaily[WardCode],"FAE")=0,"",SUMIFS(tblDaily[Remaining],tblDaily[EntryDate],DATE(2026,1,29),tblDaily[WardCode],"FAE")),"")</f>
        <v>3</v>
      </c>
      <c r="P36" s="15">
        <f t="shared" si="0"/>
        <v>7</v>
      </c>
    </row>
    <row r="37" spans="1:16" x14ac:dyDescent="0.25">
      <c r="A37" s="14">
        <v>30</v>
      </c>
      <c r="B37" s="14">
        <f>IFERROR(IF(SUMIFS(tblDaily[Admissions],tblDaily[EntryDate],DATE(2026,1,30),tblDaily[WardCode],"MAE")=0,"",SUMIFS(tblDaily[Admissions],tblDaily[EntryDate],DATE(2026,1,30),tblDaily[WardCode],"MAE")),"")</f>
        <v>3</v>
      </c>
      <c r="C37" s="14">
        <f>IFERROR(IF(SUMIFS(tblDaily[Discharges],tblDaily[EntryDate],DATE(2026,1,30),tblDaily[WardCode],"MAE")=0,"",SUMIFS(tblDaily[Discharges],tblDaily[EntryDate],DATE(2026,1,30),tblDaily[WardCode],"MAE")),"")</f>
        <v>1</v>
      </c>
      <c r="D37" s="14">
        <f>IFERROR(IF(SUMIFS(tblDaily[Deaths],tblDaily[EntryDate],DATE(2026,1,30),tblDaily[WardCode],"MAE")=0,"",SUMIFS(tblDaily[Deaths],tblDaily[EntryDate],DATE(2026,1,30),tblDaily[WardCode],"MAE")),"")</f>
        <v>2</v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>
        <f>IFERROR(IF(SUMIFS(tblDaily[TransfersOut],tblDaily[EntryDate],DATE(2026,1,30),tblDaily[WardCode],"MAE")=0,"",SUMIFS(tblDaily[TransfersOut],tblDaily[EntryDate],DATE(2026,1,30),tblDaily[WardCode],"MAE")),"")</f>
        <v>1</v>
      </c>
      <c r="H37" s="14">
        <f>IFERROR(IF(SUMIFS(tblDaily[Remaining],tblDaily[EntryDate],DATE(2026,1,30),tblDaily[WardCode],"MAE")=0,"",SUMIFS(tblDaily[Remaining],tblDaily[EntryDate],DATE(2026,1,30),tblDaily[WardCode],"MAE")),"")</f>
        <v>3</v>
      </c>
      <c r="I37" s="14">
        <f>IFERROR(IF(SUMIFS(tblDaily[Admissions],tblDaily[EntryDate],DATE(2026,1,30),tblDaily[WardCode],"FAE")=0,"",SUMIFS(tblDaily[Admissions],tblDaily[EntryDate],DATE(2026,1,30),tblDaily[WardCode],"FAE")),"")</f>
        <v>5</v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>
        <f>IFERROR(IF(SUMIFS(tblDaily[TransfersOut],tblDaily[EntryDate],DATE(2026,1,30),tblDaily[WardCode],"FAE")=0,"",SUMIFS(tblDaily[TransfersOut],tblDaily[EntryDate],DATE(2026,1,30),tblDaily[WardCode],"FAE")),"")</f>
        <v>2</v>
      </c>
      <c r="O37" s="14">
        <f>IFERROR(IF(SUMIFS(tblDaily[Remaining],tblDaily[EntryDate],DATE(2026,1,30),tblDaily[WardCode],"FAE")=0,"",SUMIFS(tblDaily[Remaining],tblDaily[EntryDate],DATE(2026,1,30),tblDaily[WardCode],"FAE")),"")</f>
        <v>6</v>
      </c>
      <c r="P37" s="15">
        <f t="shared" si="0"/>
        <v>9</v>
      </c>
    </row>
    <row r="38" spans="1:16" x14ac:dyDescent="0.25">
      <c r="A38" s="14">
        <v>31</v>
      </c>
      <c r="B38" s="14">
        <f>IFERROR(IF(SUMIFS(tblDaily[Admissions],tblDaily[EntryDate],DATE(2026,1,31),tblDaily[WardCode],"MAE")=0,"",SUMIFS(tblDaily[Admissions],tblDaily[EntryDate],DATE(2026,1,31),tblDaily[WardCode],"MAE")),"")</f>
        <v>1</v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>
        <f>IFERROR(IF(SUMIFS(tblDaily[TransfersOut],tblDaily[EntryDate],DATE(2026,1,31),tblDaily[WardCode],"MAE")=0,"",SUMIFS(tblDaily[TransfersOut],tblDaily[EntryDate],DATE(2026,1,31),tblDaily[WardCode],"MAE")),"")</f>
        <v>3</v>
      </c>
      <c r="H38" s="14">
        <f>IFERROR(IF(SUMIFS(tblDaily[Remaining],tblDaily[EntryDate],DATE(2026,1,31),tblDaily[WardCode],"MAE")=0,"",SUMIFS(tblDaily[Remaining],tblDaily[EntryDate],DATE(2026,1,31),tblDaily[WardCode],"MAE")),"")</f>
        <v>1</v>
      </c>
      <c r="I38" s="14">
        <f>IFERROR(IF(SUMIFS(tblDaily[Admissions],tblDaily[EntryDate],DATE(2026,1,31),tblDaily[WardCode],"FAE")=0,"",SUMIFS(tblDaily[Admissions],tblDaily[EntryDate],DATE(2026,1,31),tblDaily[WardCode],"FAE")),"")</f>
        <v>1</v>
      </c>
      <c r="J38" s="14">
        <f>IFERROR(IF(SUMIFS(tblDaily[Discharges],tblDaily[EntryDate],DATE(2026,1,31),tblDaily[WardCode],"FAE")=0,"",SUMIFS(tblDaily[Discharges],tblDaily[EntryDate],DATE(2026,1,31),tblDaily[WardCode],"FAE")),"")</f>
        <v>1</v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>
        <f>IFERROR(IF(SUMIFS(tblDaily[TransfersOut],tblDaily[EntryDate],DATE(2026,1,31),tblDaily[WardCode],"FAE")=0,"",SUMIFS(tblDaily[TransfersOut],tblDaily[EntryDate],DATE(2026,1,31),tblDaily[WardCode],"FAE")),"")</f>
        <v>2</v>
      </c>
      <c r="O38" s="14">
        <f>IFERROR(IF(SUMIFS(tblDaily[Remaining],tblDaily[EntryDate],DATE(2026,1,31),tblDaily[WardCode],"FAE")=0,"",SUMIFS(tblDaily[Remaining],tblDaily[EntryDate],DATE(2026,1,31),tblDaily[WardCode],"FAE")),"")</f>
        <v>4</v>
      </c>
      <c r="P38" s="15">
        <f t="shared" si="0"/>
        <v>5</v>
      </c>
    </row>
    <row r="39" spans="1:16" x14ac:dyDescent="0.25">
      <c r="A39" s="9" t="s">
        <v>111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  <c r="P39" s="9">
        <f>H39 + O39</f>
        <v>203</v>
      </c>
    </row>
    <row r="41" spans="1:16" ht="18.75" x14ac:dyDescent="0.25">
      <c r="A41" s="39" t="s">
        <v>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6" ht="15.75" x14ac:dyDescent="0.25">
      <c r="A42" s="37" t="s">
        <v>100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6" x14ac:dyDescent="0.25">
      <c r="A43" s="1" t="s">
        <v>4</v>
      </c>
      <c r="B43" s="2" t="s">
        <v>2</v>
      </c>
      <c r="E43" s="1" t="s">
        <v>101</v>
      </c>
      <c r="F43" s="1" t="s">
        <v>120</v>
      </c>
      <c r="M43" s="1" t="s">
        <v>103</v>
      </c>
      <c r="N43" s="1" t="s">
        <v>60</v>
      </c>
    </row>
    <row r="44" spans="1:16" x14ac:dyDescent="0.25">
      <c r="A44" s="1" t="s">
        <v>104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6" x14ac:dyDescent="0.25">
      <c r="A45" s="1" t="s">
        <v>105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121</v>
      </c>
      <c r="B46" s="38" t="s">
        <v>118</v>
      </c>
      <c r="C46" s="29"/>
      <c r="D46" s="29"/>
      <c r="E46" s="29"/>
      <c r="F46" s="29"/>
      <c r="G46" s="29"/>
      <c r="H46" s="29"/>
      <c r="I46" s="40" t="s">
        <v>119</v>
      </c>
      <c r="J46" s="29"/>
      <c r="K46" s="29"/>
      <c r="L46" s="29"/>
      <c r="M46" s="29"/>
      <c r="N46" s="29"/>
      <c r="O46" s="29"/>
      <c r="P46" s="13" t="s">
        <v>111</v>
      </c>
    </row>
    <row r="47" spans="1:16" x14ac:dyDescent="0.25">
      <c r="A47" s="3" t="s">
        <v>121</v>
      </c>
      <c r="B47" s="3" t="s">
        <v>122</v>
      </c>
      <c r="C47" s="3" t="s">
        <v>123</v>
      </c>
      <c r="D47" s="3" t="s">
        <v>124</v>
      </c>
      <c r="E47" s="3" t="s">
        <v>125</v>
      </c>
      <c r="F47" s="3" t="s">
        <v>126</v>
      </c>
      <c r="G47" s="3" t="s">
        <v>127</v>
      </c>
      <c r="H47" s="3" t="s">
        <v>128</v>
      </c>
      <c r="I47" s="3" t="s">
        <v>122</v>
      </c>
      <c r="J47" s="3" t="s">
        <v>123</v>
      </c>
      <c r="K47" s="3" t="s">
        <v>124</v>
      </c>
      <c r="L47" s="3" t="s">
        <v>125</v>
      </c>
      <c r="M47" s="3" t="s">
        <v>126</v>
      </c>
      <c r="N47" s="3" t="s">
        <v>127</v>
      </c>
      <c r="O47" s="3" t="s">
        <v>128</v>
      </c>
      <c r="P47" s="3" t="s">
        <v>129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111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9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6" ht="15.75" x14ac:dyDescent="0.25">
      <c r="A82" s="37" t="s">
        <v>100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6" x14ac:dyDescent="0.25">
      <c r="A83" s="1" t="s">
        <v>4</v>
      </c>
      <c r="B83" s="2" t="s">
        <v>2</v>
      </c>
      <c r="E83" s="1" t="s">
        <v>101</v>
      </c>
      <c r="F83" s="1" t="s">
        <v>120</v>
      </c>
      <c r="M83" s="1" t="s">
        <v>103</v>
      </c>
      <c r="N83" s="1" t="s">
        <v>61</v>
      </c>
    </row>
    <row r="84" spans="1:16" x14ac:dyDescent="0.25">
      <c r="A84" s="1" t="s">
        <v>104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105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121</v>
      </c>
      <c r="B86" s="38" t="s">
        <v>118</v>
      </c>
      <c r="C86" s="29"/>
      <c r="D86" s="29"/>
      <c r="E86" s="29"/>
      <c r="F86" s="29"/>
      <c r="G86" s="29"/>
      <c r="H86" s="29"/>
      <c r="I86" s="40" t="s">
        <v>119</v>
      </c>
      <c r="J86" s="29"/>
      <c r="K86" s="29"/>
      <c r="L86" s="29"/>
      <c r="M86" s="29"/>
      <c r="N86" s="29"/>
      <c r="O86" s="29"/>
      <c r="P86" s="13" t="s">
        <v>111</v>
      </c>
    </row>
    <row r="87" spans="1:16" x14ac:dyDescent="0.25">
      <c r="A87" s="3" t="s">
        <v>121</v>
      </c>
      <c r="B87" s="3" t="s">
        <v>122</v>
      </c>
      <c r="C87" s="3" t="s">
        <v>123</v>
      </c>
      <c r="D87" s="3" t="s">
        <v>124</v>
      </c>
      <c r="E87" s="3" t="s">
        <v>125</v>
      </c>
      <c r="F87" s="3" t="s">
        <v>126</v>
      </c>
      <c r="G87" s="3" t="s">
        <v>127</v>
      </c>
      <c r="H87" s="3" t="s">
        <v>128</v>
      </c>
      <c r="I87" s="3" t="s">
        <v>122</v>
      </c>
      <c r="J87" s="3" t="s">
        <v>123</v>
      </c>
      <c r="K87" s="3" t="s">
        <v>124</v>
      </c>
      <c r="L87" s="3" t="s">
        <v>125</v>
      </c>
      <c r="M87" s="3" t="s">
        <v>126</v>
      </c>
      <c r="N87" s="3" t="s">
        <v>127</v>
      </c>
      <c r="O87" s="3" t="s">
        <v>128</v>
      </c>
      <c r="P87" s="3" t="s">
        <v>129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111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9" t="s">
        <v>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6" ht="15.75" x14ac:dyDescent="0.25">
      <c r="A122" s="37" t="s">
        <v>100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6" x14ac:dyDescent="0.25">
      <c r="A123" s="1" t="s">
        <v>4</v>
      </c>
      <c r="B123" s="2" t="s">
        <v>2</v>
      </c>
      <c r="E123" s="1" t="s">
        <v>101</v>
      </c>
      <c r="F123" s="1" t="s">
        <v>120</v>
      </c>
      <c r="M123" s="1" t="s">
        <v>103</v>
      </c>
      <c r="N123" s="1" t="s">
        <v>62</v>
      </c>
    </row>
    <row r="124" spans="1:16" x14ac:dyDescent="0.25">
      <c r="A124" s="1" t="s">
        <v>104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105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121</v>
      </c>
      <c r="B126" s="38" t="s">
        <v>118</v>
      </c>
      <c r="C126" s="29"/>
      <c r="D126" s="29"/>
      <c r="E126" s="29"/>
      <c r="F126" s="29"/>
      <c r="G126" s="29"/>
      <c r="H126" s="29"/>
      <c r="I126" s="40" t="s">
        <v>119</v>
      </c>
      <c r="J126" s="29"/>
      <c r="K126" s="29"/>
      <c r="L126" s="29"/>
      <c r="M126" s="29"/>
      <c r="N126" s="29"/>
      <c r="O126" s="29"/>
      <c r="P126" s="13" t="s">
        <v>111</v>
      </c>
    </row>
    <row r="127" spans="1:16" x14ac:dyDescent="0.25">
      <c r="A127" s="3" t="s">
        <v>121</v>
      </c>
      <c r="B127" s="3" t="s">
        <v>122</v>
      </c>
      <c r="C127" s="3" t="s">
        <v>123</v>
      </c>
      <c r="D127" s="3" t="s">
        <v>124</v>
      </c>
      <c r="E127" s="3" t="s">
        <v>125</v>
      </c>
      <c r="F127" s="3" t="s">
        <v>126</v>
      </c>
      <c r="G127" s="3" t="s">
        <v>127</v>
      </c>
      <c r="H127" s="3" t="s">
        <v>128</v>
      </c>
      <c r="I127" s="3" t="s">
        <v>122</v>
      </c>
      <c r="J127" s="3" t="s">
        <v>123</v>
      </c>
      <c r="K127" s="3" t="s">
        <v>124</v>
      </c>
      <c r="L127" s="3" t="s">
        <v>125</v>
      </c>
      <c r="M127" s="3" t="s">
        <v>126</v>
      </c>
      <c r="N127" s="3" t="s">
        <v>127</v>
      </c>
      <c r="O127" s="3" t="s">
        <v>128</v>
      </c>
      <c r="P127" s="3" t="s">
        <v>129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111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9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6" ht="15.75" x14ac:dyDescent="0.25">
      <c r="A162" s="37" t="s">
        <v>100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</row>
    <row r="163" spans="1:16" x14ac:dyDescent="0.25">
      <c r="A163" s="1" t="s">
        <v>4</v>
      </c>
      <c r="B163" s="2" t="s">
        <v>2</v>
      </c>
      <c r="E163" s="1" t="s">
        <v>101</v>
      </c>
      <c r="F163" s="1" t="s">
        <v>120</v>
      </c>
      <c r="M163" s="1" t="s">
        <v>103</v>
      </c>
      <c r="N163" s="1" t="s">
        <v>63</v>
      </c>
    </row>
    <row r="164" spans="1:16" x14ac:dyDescent="0.25">
      <c r="A164" s="1" t="s">
        <v>104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105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121</v>
      </c>
      <c r="B166" s="38" t="s">
        <v>118</v>
      </c>
      <c r="C166" s="29"/>
      <c r="D166" s="29"/>
      <c r="E166" s="29"/>
      <c r="F166" s="29"/>
      <c r="G166" s="29"/>
      <c r="H166" s="29"/>
      <c r="I166" s="40" t="s">
        <v>119</v>
      </c>
      <c r="J166" s="29"/>
      <c r="K166" s="29"/>
      <c r="L166" s="29"/>
      <c r="M166" s="29"/>
      <c r="N166" s="29"/>
      <c r="O166" s="29"/>
      <c r="P166" s="13" t="s">
        <v>111</v>
      </c>
    </row>
    <row r="167" spans="1:16" x14ac:dyDescent="0.25">
      <c r="A167" s="3" t="s">
        <v>121</v>
      </c>
      <c r="B167" s="3" t="s">
        <v>122</v>
      </c>
      <c r="C167" s="3" t="s">
        <v>123</v>
      </c>
      <c r="D167" s="3" t="s">
        <v>124</v>
      </c>
      <c r="E167" s="3" t="s">
        <v>125</v>
      </c>
      <c r="F167" s="3" t="s">
        <v>126</v>
      </c>
      <c r="G167" s="3" t="s">
        <v>127</v>
      </c>
      <c r="H167" s="3" t="s">
        <v>128</v>
      </c>
      <c r="I167" s="3" t="s">
        <v>122</v>
      </c>
      <c r="J167" s="3" t="s">
        <v>123</v>
      </c>
      <c r="K167" s="3" t="s">
        <v>124</v>
      </c>
      <c r="L167" s="3" t="s">
        <v>125</v>
      </c>
      <c r="M167" s="3" t="s">
        <v>126</v>
      </c>
      <c r="N167" s="3" t="s">
        <v>127</v>
      </c>
      <c r="O167" s="3" t="s">
        <v>128</v>
      </c>
      <c r="P167" s="3" t="s">
        <v>129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111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9" t="s">
        <v>0</v>
      </c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6" ht="15.75" x14ac:dyDescent="0.25">
      <c r="A202" s="37" t="s">
        <v>100</v>
      </c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</row>
    <row r="203" spans="1:16" x14ac:dyDescent="0.25">
      <c r="A203" s="1" t="s">
        <v>4</v>
      </c>
      <c r="B203" s="2" t="s">
        <v>2</v>
      </c>
      <c r="E203" s="1" t="s">
        <v>101</v>
      </c>
      <c r="F203" s="1" t="s">
        <v>120</v>
      </c>
      <c r="M203" s="1" t="s">
        <v>103</v>
      </c>
      <c r="N203" s="1" t="s">
        <v>64</v>
      </c>
    </row>
    <row r="204" spans="1:16" x14ac:dyDescent="0.25">
      <c r="A204" s="1" t="s">
        <v>104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105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121</v>
      </c>
      <c r="B206" s="38" t="s">
        <v>118</v>
      </c>
      <c r="C206" s="29"/>
      <c r="D206" s="29"/>
      <c r="E206" s="29"/>
      <c r="F206" s="29"/>
      <c r="G206" s="29"/>
      <c r="H206" s="29"/>
      <c r="I206" s="40" t="s">
        <v>119</v>
      </c>
      <c r="J206" s="29"/>
      <c r="K206" s="29"/>
      <c r="L206" s="29"/>
      <c r="M206" s="29"/>
      <c r="N206" s="29"/>
      <c r="O206" s="29"/>
      <c r="P206" s="13" t="s">
        <v>111</v>
      </c>
    </row>
    <row r="207" spans="1:16" x14ac:dyDescent="0.25">
      <c r="A207" s="3" t="s">
        <v>121</v>
      </c>
      <c r="B207" s="3" t="s">
        <v>122</v>
      </c>
      <c r="C207" s="3" t="s">
        <v>123</v>
      </c>
      <c r="D207" s="3" t="s">
        <v>124</v>
      </c>
      <c r="E207" s="3" t="s">
        <v>125</v>
      </c>
      <c r="F207" s="3" t="s">
        <v>126</v>
      </c>
      <c r="G207" s="3" t="s">
        <v>127</v>
      </c>
      <c r="H207" s="3" t="s">
        <v>128</v>
      </c>
      <c r="I207" s="3" t="s">
        <v>122</v>
      </c>
      <c r="J207" s="3" t="s">
        <v>123</v>
      </c>
      <c r="K207" s="3" t="s">
        <v>124</v>
      </c>
      <c r="L207" s="3" t="s">
        <v>125</v>
      </c>
      <c r="M207" s="3" t="s">
        <v>126</v>
      </c>
      <c r="N207" s="3" t="s">
        <v>127</v>
      </c>
      <c r="O207" s="3" t="s">
        <v>128</v>
      </c>
      <c r="P207" s="3" t="s">
        <v>129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111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9" t="s">
        <v>0</v>
      </c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</row>
    <row r="242" spans="1:16" ht="15.75" x14ac:dyDescent="0.25">
      <c r="A242" s="37" t="s">
        <v>100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6" x14ac:dyDescent="0.25">
      <c r="A243" s="1" t="s">
        <v>4</v>
      </c>
      <c r="B243" s="2" t="s">
        <v>2</v>
      </c>
      <c r="E243" s="1" t="s">
        <v>101</v>
      </c>
      <c r="F243" s="1" t="s">
        <v>120</v>
      </c>
      <c r="M243" s="1" t="s">
        <v>103</v>
      </c>
      <c r="N243" s="1" t="s">
        <v>65</v>
      </c>
    </row>
    <row r="244" spans="1:16" x14ac:dyDescent="0.25">
      <c r="A244" s="1" t="s">
        <v>104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105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121</v>
      </c>
      <c r="B246" s="38" t="s">
        <v>118</v>
      </c>
      <c r="C246" s="29"/>
      <c r="D246" s="29"/>
      <c r="E246" s="29"/>
      <c r="F246" s="29"/>
      <c r="G246" s="29"/>
      <c r="H246" s="29"/>
      <c r="I246" s="40" t="s">
        <v>119</v>
      </c>
      <c r="J246" s="29"/>
      <c r="K246" s="29"/>
      <c r="L246" s="29"/>
      <c r="M246" s="29"/>
      <c r="N246" s="29"/>
      <c r="O246" s="29"/>
      <c r="P246" s="13" t="s">
        <v>111</v>
      </c>
    </row>
    <row r="247" spans="1:16" x14ac:dyDescent="0.25">
      <c r="A247" s="3" t="s">
        <v>121</v>
      </c>
      <c r="B247" s="3" t="s">
        <v>122</v>
      </c>
      <c r="C247" s="3" t="s">
        <v>123</v>
      </c>
      <c r="D247" s="3" t="s">
        <v>124</v>
      </c>
      <c r="E247" s="3" t="s">
        <v>125</v>
      </c>
      <c r="F247" s="3" t="s">
        <v>126</v>
      </c>
      <c r="G247" s="3" t="s">
        <v>127</v>
      </c>
      <c r="H247" s="3" t="s">
        <v>128</v>
      </c>
      <c r="I247" s="3" t="s">
        <v>122</v>
      </c>
      <c r="J247" s="3" t="s">
        <v>123</v>
      </c>
      <c r="K247" s="3" t="s">
        <v>124</v>
      </c>
      <c r="L247" s="3" t="s">
        <v>125</v>
      </c>
      <c r="M247" s="3" t="s">
        <v>126</v>
      </c>
      <c r="N247" s="3" t="s">
        <v>127</v>
      </c>
      <c r="O247" s="3" t="s">
        <v>128</v>
      </c>
      <c r="P247" s="3" t="s">
        <v>129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111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9" t="s">
        <v>0</v>
      </c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6" ht="15.75" x14ac:dyDescent="0.25">
      <c r="A282" s="37" t="s">
        <v>100</v>
      </c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6" x14ac:dyDescent="0.25">
      <c r="A283" s="1" t="s">
        <v>4</v>
      </c>
      <c r="B283" s="2" t="s">
        <v>2</v>
      </c>
      <c r="E283" s="1" t="s">
        <v>101</v>
      </c>
      <c r="F283" s="1" t="s">
        <v>120</v>
      </c>
      <c r="M283" s="1" t="s">
        <v>103</v>
      </c>
      <c r="N283" s="1" t="s">
        <v>66</v>
      </c>
    </row>
    <row r="284" spans="1:16" x14ac:dyDescent="0.25">
      <c r="A284" s="1" t="s">
        <v>104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105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121</v>
      </c>
      <c r="B286" s="38" t="s">
        <v>118</v>
      </c>
      <c r="C286" s="29"/>
      <c r="D286" s="29"/>
      <c r="E286" s="29"/>
      <c r="F286" s="29"/>
      <c r="G286" s="29"/>
      <c r="H286" s="29"/>
      <c r="I286" s="40" t="s">
        <v>119</v>
      </c>
      <c r="J286" s="29"/>
      <c r="K286" s="29"/>
      <c r="L286" s="29"/>
      <c r="M286" s="29"/>
      <c r="N286" s="29"/>
      <c r="O286" s="29"/>
      <c r="P286" s="13" t="s">
        <v>111</v>
      </c>
    </row>
    <row r="287" spans="1:16" x14ac:dyDescent="0.25">
      <c r="A287" s="3" t="s">
        <v>121</v>
      </c>
      <c r="B287" s="3" t="s">
        <v>122</v>
      </c>
      <c r="C287" s="3" t="s">
        <v>123</v>
      </c>
      <c r="D287" s="3" t="s">
        <v>124</v>
      </c>
      <c r="E287" s="3" t="s">
        <v>125</v>
      </c>
      <c r="F287" s="3" t="s">
        <v>126</v>
      </c>
      <c r="G287" s="3" t="s">
        <v>127</v>
      </c>
      <c r="H287" s="3" t="s">
        <v>128</v>
      </c>
      <c r="I287" s="3" t="s">
        <v>122</v>
      </c>
      <c r="J287" s="3" t="s">
        <v>123</v>
      </c>
      <c r="K287" s="3" t="s">
        <v>124</v>
      </c>
      <c r="L287" s="3" t="s">
        <v>125</v>
      </c>
      <c r="M287" s="3" t="s">
        <v>126</v>
      </c>
      <c r="N287" s="3" t="s">
        <v>127</v>
      </c>
      <c r="O287" s="3" t="s">
        <v>128</v>
      </c>
      <c r="P287" s="3" t="s">
        <v>129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111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9" t="s">
        <v>0</v>
      </c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6" ht="15.75" x14ac:dyDescent="0.25">
      <c r="A322" s="37" t="s">
        <v>100</v>
      </c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6" x14ac:dyDescent="0.25">
      <c r="A323" s="1" t="s">
        <v>4</v>
      </c>
      <c r="B323" s="2" t="s">
        <v>2</v>
      </c>
      <c r="E323" s="1" t="s">
        <v>101</v>
      </c>
      <c r="F323" s="1" t="s">
        <v>120</v>
      </c>
      <c r="M323" s="1" t="s">
        <v>103</v>
      </c>
      <c r="N323" s="1" t="s">
        <v>67</v>
      </c>
    </row>
    <row r="324" spans="1:16" x14ac:dyDescent="0.25">
      <c r="A324" s="1" t="s">
        <v>104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105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121</v>
      </c>
      <c r="B326" s="38" t="s">
        <v>118</v>
      </c>
      <c r="C326" s="29"/>
      <c r="D326" s="29"/>
      <c r="E326" s="29"/>
      <c r="F326" s="29"/>
      <c r="G326" s="29"/>
      <c r="H326" s="29"/>
      <c r="I326" s="40" t="s">
        <v>119</v>
      </c>
      <c r="J326" s="29"/>
      <c r="K326" s="29"/>
      <c r="L326" s="29"/>
      <c r="M326" s="29"/>
      <c r="N326" s="29"/>
      <c r="O326" s="29"/>
      <c r="P326" s="13" t="s">
        <v>111</v>
      </c>
    </row>
    <row r="327" spans="1:16" x14ac:dyDescent="0.25">
      <c r="A327" s="3" t="s">
        <v>121</v>
      </c>
      <c r="B327" s="3" t="s">
        <v>122</v>
      </c>
      <c r="C327" s="3" t="s">
        <v>123</v>
      </c>
      <c r="D327" s="3" t="s">
        <v>124</v>
      </c>
      <c r="E327" s="3" t="s">
        <v>125</v>
      </c>
      <c r="F327" s="3" t="s">
        <v>126</v>
      </c>
      <c r="G327" s="3" t="s">
        <v>127</v>
      </c>
      <c r="H327" s="3" t="s">
        <v>128</v>
      </c>
      <c r="I327" s="3" t="s">
        <v>122</v>
      </c>
      <c r="J327" s="3" t="s">
        <v>123</v>
      </c>
      <c r="K327" s="3" t="s">
        <v>124</v>
      </c>
      <c r="L327" s="3" t="s">
        <v>125</v>
      </c>
      <c r="M327" s="3" t="s">
        <v>126</v>
      </c>
      <c r="N327" s="3" t="s">
        <v>127</v>
      </c>
      <c r="O327" s="3" t="s">
        <v>128</v>
      </c>
      <c r="P327" s="3" t="s">
        <v>129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111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9" t="s">
        <v>0</v>
      </c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</row>
    <row r="362" spans="1:16" ht="15.75" x14ac:dyDescent="0.25">
      <c r="A362" s="37" t="s">
        <v>100</v>
      </c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6" x14ac:dyDescent="0.25">
      <c r="A363" s="1" t="s">
        <v>4</v>
      </c>
      <c r="B363" s="2" t="s">
        <v>2</v>
      </c>
      <c r="E363" s="1" t="s">
        <v>101</v>
      </c>
      <c r="F363" s="1" t="s">
        <v>120</v>
      </c>
      <c r="M363" s="1" t="s">
        <v>103</v>
      </c>
      <c r="N363" s="1" t="s">
        <v>68</v>
      </c>
    </row>
    <row r="364" spans="1:16" x14ac:dyDescent="0.25">
      <c r="A364" s="1" t="s">
        <v>104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105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121</v>
      </c>
      <c r="B366" s="38" t="s">
        <v>118</v>
      </c>
      <c r="C366" s="29"/>
      <c r="D366" s="29"/>
      <c r="E366" s="29"/>
      <c r="F366" s="29"/>
      <c r="G366" s="29"/>
      <c r="H366" s="29"/>
      <c r="I366" s="40" t="s">
        <v>119</v>
      </c>
      <c r="J366" s="29"/>
      <c r="K366" s="29"/>
      <c r="L366" s="29"/>
      <c r="M366" s="29"/>
      <c r="N366" s="29"/>
      <c r="O366" s="29"/>
      <c r="P366" s="13" t="s">
        <v>111</v>
      </c>
    </row>
    <row r="367" spans="1:16" x14ac:dyDescent="0.25">
      <c r="A367" s="3" t="s">
        <v>121</v>
      </c>
      <c r="B367" s="3" t="s">
        <v>122</v>
      </c>
      <c r="C367" s="3" t="s">
        <v>123</v>
      </c>
      <c r="D367" s="3" t="s">
        <v>124</v>
      </c>
      <c r="E367" s="3" t="s">
        <v>125</v>
      </c>
      <c r="F367" s="3" t="s">
        <v>126</v>
      </c>
      <c r="G367" s="3" t="s">
        <v>127</v>
      </c>
      <c r="H367" s="3" t="s">
        <v>128</v>
      </c>
      <c r="I367" s="3" t="s">
        <v>122</v>
      </c>
      <c r="J367" s="3" t="s">
        <v>123</v>
      </c>
      <c r="K367" s="3" t="s">
        <v>124</v>
      </c>
      <c r="L367" s="3" t="s">
        <v>125</v>
      </c>
      <c r="M367" s="3" t="s">
        <v>126</v>
      </c>
      <c r="N367" s="3" t="s">
        <v>127</v>
      </c>
      <c r="O367" s="3" t="s">
        <v>128</v>
      </c>
      <c r="P367" s="3" t="s">
        <v>129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111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9" t="s">
        <v>0</v>
      </c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6" ht="15.75" x14ac:dyDescent="0.25">
      <c r="A402" s="37" t="s">
        <v>100</v>
      </c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6" x14ac:dyDescent="0.25">
      <c r="A403" s="1" t="s">
        <v>4</v>
      </c>
      <c r="B403" s="2" t="s">
        <v>2</v>
      </c>
      <c r="E403" s="1" t="s">
        <v>101</v>
      </c>
      <c r="F403" s="1" t="s">
        <v>120</v>
      </c>
      <c r="M403" s="1" t="s">
        <v>103</v>
      </c>
      <c r="N403" s="1" t="s">
        <v>69</v>
      </c>
    </row>
    <row r="404" spans="1:16" x14ac:dyDescent="0.25">
      <c r="A404" s="1" t="s">
        <v>104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105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121</v>
      </c>
      <c r="B406" s="38" t="s">
        <v>118</v>
      </c>
      <c r="C406" s="29"/>
      <c r="D406" s="29"/>
      <c r="E406" s="29"/>
      <c r="F406" s="29"/>
      <c r="G406" s="29"/>
      <c r="H406" s="29"/>
      <c r="I406" s="40" t="s">
        <v>119</v>
      </c>
      <c r="J406" s="29"/>
      <c r="K406" s="29"/>
      <c r="L406" s="29"/>
      <c r="M406" s="29"/>
      <c r="N406" s="29"/>
      <c r="O406" s="29"/>
      <c r="P406" s="13" t="s">
        <v>111</v>
      </c>
    </row>
    <row r="407" spans="1:16" x14ac:dyDescent="0.25">
      <c r="A407" s="3" t="s">
        <v>121</v>
      </c>
      <c r="B407" s="3" t="s">
        <v>122</v>
      </c>
      <c r="C407" s="3" t="s">
        <v>123</v>
      </c>
      <c r="D407" s="3" t="s">
        <v>124</v>
      </c>
      <c r="E407" s="3" t="s">
        <v>125</v>
      </c>
      <c r="F407" s="3" t="s">
        <v>126</v>
      </c>
      <c r="G407" s="3" t="s">
        <v>127</v>
      </c>
      <c r="H407" s="3" t="s">
        <v>128</v>
      </c>
      <c r="I407" s="3" t="s">
        <v>122</v>
      </c>
      <c r="J407" s="3" t="s">
        <v>123</v>
      </c>
      <c r="K407" s="3" t="s">
        <v>124</v>
      </c>
      <c r="L407" s="3" t="s">
        <v>125</v>
      </c>
      <c r="M407" s="3" t="s">
        <v>126</v>
      </c>
      <c r="N407" s="3" t="s">
        <v>127</v>
      </c>
      <c r="O407" s="3" t="s">
        <v>128</v>
      </c>
      <c r="P407" s="3" t="s">
        <v>129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111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9" t="s">
        <v>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6" ht="15.75" x14ac:dyDescent="0.25">
      <c r="A442" s="37" t="s">
        <v>100</v>
      </c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</row>
    <row r="443" spans="1:16" x14ac:dyDescent="0.25">
      <c r="A443" s="1" t="s">
        <v>4</v>
      </c>
      <c r="B443" s="2" t="s">
        <v>2</v>
      </c>
      <c r="E443" s="1" t="s">
        <v>101</v>
      </c>
      <c r="F443" s="1" t="s">
        <v>120</v>
      </c>
      <c r="M443" s="1" t="s">
        <v>103</v>
      </c>
      <c r="N443" s="1" t="s">
        <v>70</v>
      </c>
    </row>
    <row r="444" spans="1:16" x14ac:dyDescent="0.25">
      <c r="A444" s="1" t="s">
        <v>104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105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121</v>
      </c>
      <c r="B446" s="38" t="s">
        <v>118</v>
      </c>
      <c r="C446" s="29"/>
      <c r="D446" s="29"/>
      <c r="E446" s="29"/>
      <c r="F446" s="29"/>
      <c r="G446" s="29"/>
      <c r="H446" s="29"/>
      <c r="I446" s="40" t="s">
        <v>119</v>
      </c>
      <c r="J446" s="29"/>
      <c r="K446" s="29"/>
      <c r="L446" s="29"/>
      <c r="M446" s="29"/>
      <c r="N446" s="29"/>
      <c r="O446" s="29"/>
      <c r="P446" s="13" t="s">
        <v>111</v>
      </c>
    </row>
    <row r="447" spans="1:16" x14ac:dyDescent="0.25">
      <c r="A447" s="3" t="s">
        <v>121</v>
      </c>
      <c r="B447" s="3" t="s">
        <v>122</v>
      </c>
      <c r="C447" s="3" t="s">
        <v>123</v>
      </c>
      <c r="D447" s="3" t="s">
        <v>124</v>
      </c>
      <c r="E447" s="3" t="s">
        <v>125</v>
      </c>
      <c r="F447" s="3" t="s">
        <v>126</v>
      </c>
      <c r="G447" s="3" t="s">
        <v>127</v>
      </c>
      <c r="H447" s="3" t="s">
        <v>128</v>
      </c>
      <c r="I447" s="3" t="s">
        <v>122</v>
      </c>
      <c r="J447" s="3" t="s">
        <v>123</v>
      </c>
      <c r="K447" s="3" t="s">
        <v>124</v>
      </c>
      <c r="L447" s="3" t="s">
        <v>125</v>
      </c>
      <c r="M447" s="3" t="s">
        <v>126</v>
      </c>
      <c r="N447" s="3" t="s">
        <v>127</v>
      </c>
      <c r="O447" s="3" t="s">
        <v>128</v>
      </c>
      <c r="P447" s="3" t="s">
        <v>129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111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>
      <selection sqref="A1:P1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3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15.75" x14ac:dyDescent="0.25">
      <c r="A2" s="37" t="s">
        <v>130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ht="38.25" x14ac:dyDescent="0.25">
      <c r="A3" s="8" t="s">
        <v>131</v>
      </c>
      <c r="B3" s="8" t="s">
        <v>132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15" t="s">
        <v>30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6">
        <f t="shared" ref="K4:K12" si="0">IFERROR(H4/31,0)</f>
        <v>21.06451612903226</v>
      </c>
      <c r="L4" s="16">
        <f t="shared" ref="L4:L12" si="1">IFERROR(H4/(E4+F4),0)</f>
        <v>5.7280701754385968</v>
      </c>
      <c r="M4" s="16">
        <f t="shared" ref="M4:M12" si="2">IFERROR((C4*31-H4)/(E4+F4),0)</f>
        <v>2.9736842105263159</v>
      </c>
      <c r="N4" s="16">
        <f t="shared" ref="N4:N12" si="3">IFERROR((E4+F4)/C4,0)</f>
        <v>3.5625</v>
      </c>
      <c r="O4" s="16">
        <f t="shared" ref="O4:O12" si="4">IFERROR((H4/(C4*31))*100,0)</f>
        <v>65.826612903225808</v>
      </c>
      <c r="P4" s="16">
        <f t="shared" ref="P4:P12" si="5">IFERROR((F4/(D4+B4))*100,0)</f>
        <v>12.222222222222221</v>
      </c>
    </row>
    <row r="5" spans="1:16" x14ac:dyDescent="0.25">
      <c r="A5" s="15" t="s">
        <v>32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6">
        <f t="shared" si="0"/>
        <v>16.93548387096774</v>
      </c>
      <c r="L5" s="16">
        <f t="shared" si="1"/>
        <v>4.7727272727272725</v>
      </c>
      <c r="M5" s="16">
        <f t="shared" si="2"/>
        <v>3.1181818181818182</v>
      </c>
      <c r="N5" s="16">
        <f t="shared" si="3"/>
        <v>3.9285714285714284</v>
      </c>
      <c r="O5" s="16">
        <f t="shared" si="4"/>
        <v>60.483870967741936</v>
      </c>
      <c r="P5" s="16">
        <f t="shared" si="5"/>
        <v>10.526315789473683</v>
      </c>
    </row>
    <row r="6" spans="1:16" x14ac:dyDescent="0.25">
      <c r="A6" s="15" t="s">
        <v>34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6">
        <f t="shared" si="0"/>
        <v>9.5806451612903221</v>
      </c>
      <c r="L6" s="16">
        <f t="shared" si="1"/>
        <v>3.8076923076923075</v>
      </c>
      <c r="M6" s="16">
        <f t="shared" si="2"/>
        <v>6.9230769230769234</v>
      </c>
      <c r="N6" s="16">
        <f t="shared" si="3"/>
        <v>2.8888888888888888</v>
      </c>
      <c r="O6" s="16">
        <f t="shared" si="4"/>
        <v>35.483870967741936</v>
      </c>
      <c r="P6" s="16">
        <f t="shared" si="5"/>
        <v>0</v>
      </c>
    </row>
    <row r="7" spans="1:16" x14ac:dyDescent="0.25">
      <c r="A7" s="15" t="s">
        <v>36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6">
        <f t="shared" si="0"/>
        <v>6.4838709677419351</v>
      </c>
      <c r="L7" s="16">
        <f t="shared" si="1"/>
        <v>3.0923076923076924</v>
      </c>
      <c r="M7" s="16">
        <f t="shared" si="2"/>
        <v>6.4461538461538463</v>
      </c>
      <c r="N7" s="16">
        <f t="shared" si="3"/>
        <v>3.25</v>
      </c>
      <c r="O7" s="16">
        <f t="shared" si="4"/>
        <v>32.41935483870968</v>
      </c>
      <c r="P7" s="16">
        <f t="shared" si="5"/>
        <v>0</v>
      </c>
    </row>
    <row r="8" spans="1:16" x14ac:dyDescent="0.25">
      <c r="A8" s="15" t="s">
        <v>38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6">
        <f t="shared" si="0"/>
        <v>11.03225806451613</v>
      </c>
      <c r="L8" s="16">
        <f t="shared" si="1"/>
        <v>2.8032786885245899</v>
      </c>
      <c r="M8" s="16">
        <f t="shared" si="2"/>
        <v>0.75409836065573765</v>
      </c>
      <c r="N8" s="16">
        <f t="shared" si="3"/>
        <v>8.7142857142857135</v>
      </c>
      <c r="O8" s="16">
        <f t="shared" si="4"/>
        <v>78.801843317972356</v>
      </c>
      <c r="P8" s="16">
        <f t="shared" si="5"/>
        <v>0</v>
      </c>
    </row>
    <row r="9" spans="1:16" x14ac:dyDescent="0.25">
      <c r="A9" s="15" t="s">
        <v>40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6">
        <f t="shared" si="0"/>
        <v>11.903225806451612</v>
      </c>
      <c r="L9" s="16">
        <f t="shared" si="1"/>
        <v>4.5555555555555554</v>
      </c>
      <c r="M9" s="16">
        <f t="shared" si="2"/>
        <v>3.8641975308641974</v>
      </c>
      <c r="N9" s="16">
        <f t="shared" si="3"/>
        <v>3.6818181818181817</v>
      </c>
      <c r="O9" s="16">
        <f t="shared" si="4"/>
        <v>54.105571847507328</v>
      </c>
      <c r="P9" s="16">
        <f t="shared" si="5"/>
        <v>0</v>
      </c>
    </row>
    <row r="10" spans="1:16" x14ac:dyDescent="0.25">
      <c r="A10" s="15" t="s">
        <v>42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13.225806451612904</v>
      </c>
      <c r="L10" s="16">
        <f t="shared" si="1"/>
        <v>7.5925925925925926</v>
      </c>
      <c r="M10" s="16">
        <f t="shared" si="2"/>
        <v>1.0185185185185186</v>
      </c>
      <c r="N10" s="16">
        <f t="shared" si="3"/>
        <v>3.6</v>
      </c>
      <c r="O10" s="16">
        <f t="shared" si="4"/>
        <v>88.172043010752688</v>
      </c>
      <c r="P10" s="16">
        <f t="shared" si="5"/>
        <v>13.114754098360656</v>
      </c>
    </row>
    <row r="11" spans="1:16" x14ac:dyDescent="0.25">
      <c r="A11" s="15" t="s">
        <v>44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6">
        <f t="shared" si="0"/>
        <v>4.774193548387097</v>
      </c>
      <c r="L11" s="16">
        <f t="shared" si="1"/>
        <v>3.1489361702127661</v>
      </c>
      <c r="M11" s="16">
        <f t="shared" si="2"/>
        <v>3.4468085106382977</v>
      </c>
      <c r="N11" s="16">
        <f t="shared" si="3"/>
        <v>4.7</v>
      </c>
      <c r="O11" s="16">
        <f t="shared" si="4"/>
        <v>47.741935483870968</v>
      </c>
      <c r="P11" s="16">
        <f t="shared" si="5"/>
        <v>4.2105263157894735</v>
      </c>
    </row>
    <row r="12" spans="1:16" x14ac:dyDescent="0.25">
      <c r="A12" s="15" t="s">
        <v>46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6">
        <f t="shared" si="0"/>
        <v>1.7741935483870968</v>
      </c>
      <c r="L12" s="16">
        <f t="shared" si="1"/>
        <v>4.2307692307692308</v>
      </c>
      <c r="M12" s="16">
        <f t="shared" si="2"/>
        <v>19.615384615384617</v>
      </c>
      <c r="N12" s="16">
        <f t="shared" si="3"/>
        <v>1.3</v>
      </c>
      <c r="O12" s="16">
        <f t="shared" si="4"/>
        <v>17.741935483870968</v>
      </c>
      <c r="P12" s="16">
        <f t="shared" si="5"/>
        <v>0</v>
      </c>
    </row>
    <row r="13" spans="1:16" x14ac:dyDescent="0.25">
      <c r="A13" s="17" t="s">
        <v>143</v>
      </c>
      <c r="B13" s="15">
        <f>SUMIFS(tblDaily[Remaining],tblDaily[EntryDate],DATE(2026,1,31),tblDaily[WardCode],"MAE")+SUMIFS(tblDaily[Remaining],tblDaily[EntryDate],DATE(2026,1,31),tblDaily[WardCode],"FAE")</f>
        <v>5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111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9">
        <f>IFERROR(H14/31,0)</f>
        <v>96.774193548387103</v>
      </c>
      <c r="L14" s="19">
        <f>IFERROR(H14/(E14+F14),0)</f>
        <v>4.3859649122807021</v>
      </c>
      <c r="M14" s="19">
        <f>IFERROR((C14*31-H14)/(E14+F14),0)</f>
        <v>3.6812865497076022</v>
      </c>
      <c r="N14" s="19">
        <f>IFERROR((E14+F14)/C14,0)</f>
        <v>3.8426966292134832</v>
      </c>
      <c r="O14" s="19">
        <f>IFERROR((H14/(C14*31))*100,0)</f>
        <v>54.367524465386005</v>
      </c>
      <c r="P14" s="19">
        <f>IFERROR((F14/(D14+B14))*100,0)</f>
        <v>4.3193717277486909</v>
      </c>
    </row>
    <row r="15" spans="1:16" x14ac:dyDescent="0.25">
      <c r="A15" s="20" t="s">
        <v>144</v>
      </c>
      <c r="B15" s="20">
        <f t="shared" ref="B15:J15" si="7">B11+B12</f>
        <v>10</v>
      </c>
      <c r="C15" s="20">
        <f t="shared" si="7"/>
        <v>20</v>
      </c>
      <c r="D15" s="20">
        <f t="shared" si="7"/>
        <v>132</v>
      </c>
      <c r="E15" s="20">
        <f t="shared" si="7"/>
        <v>56</v>
      </c>
      <c r="F15" s="20">
        <f t="shared" si="7"/>
        <v>4</v>
      </c>
      <c r="G15" s="20">
        <f t="shared" si="7"/>
        <v>6</v>
      </c>
      <c r="H15" s="20">
        <f t="shared" si="7"/>
        <v>203</v>
      </c>
      <c r="I15" s="20">
        <f t="shared" si="7"/>
        <v>0</v>
      </c>
      <c r="J15" s="20">
        <f t="shared" si="7"/>
        <v>77</v>
      </c>
      <c r="K15" s="21">
        <f>IFERROR(H15/31,0)</f>
        <v>6.5483870967741939</v>
      </c>
      <c r="L15" s="21">
        <f>IFERROR(H15/(E15+F15),0)</f>
        <v>3.3833333333333333</v>
      </c>
      <c r="M15" s="21">
        <f>IFERROR((C15*31-H15)/(E15+F15),0)</f>
        <v>6.95</v>
      </c>
      <c r="N15" s="21">
        <f>IFERROR((E15+F15)/C15,0)</f>
        <v>3</v>
      </c>
      <c r="O15" s="21">
        <f>IFERROR((H15/(C15*31))*100,0)</f>
        <v>32.741935483870968</v>
      </c>
      <c r="P15" s="21">
        <f>IFERROR((F15/(D15+B15))*100,0)</f>
        <v>2.8169014084507045</v>
      </c>
    </row>
    <row r="17" spans="1:16" ht="18.75" x14ac:dyDescent="0.25">
      <c r="A17" s="33" t="s">
        <v>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5.75" x14ac:dyDescent="0.25">
      <c r="A18" s="37" t="s">
        <v>145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38.25" x14ac:dyDescent="0.25">
      <c r="A19" s="8" t="s">
        <v>131</v>
      </c>
      <c r="B19" s="8" t="s">
        <v>132</v>
      </c>
      <c r="C19" s="8" t="s">
        <v>133</v>
      </c>
      <c r="D19" s="8" t="s">
        <v>73</v>
      </c>
      <c r="E19" s="8" t="s">
        <v>74</v>
      </c>
      <c r="F19" s="8" t="s">
        <v>75</v>
      </c>
      <c r="G19" s="8" t="s">
        <v>107</v>
      </c>
      <c r="H19" s="8" t="s">
        <v>134</v>
      </c>
      <c r="I19" s="8" t="s">
        <v>135</v>
      </c>
      <c r="J19" s="8" t="s">
        <v>136</v>
      </c>
      <c r="K19" s="8" t="s">
        <v>137</v>
      </c>
      <c r="L19" s="8" t="s">
        <v>138</v>
      </c>
      <c r="M19" s="8" t="s">
        <v>139</v>
      </c>
      <c r="N19" s="8" t="s">
        <v>140</v>
      </c>
      <c r="O19" s="8" t="s">
        <v>141</v>
      </c>
      <c r="P19" s="8" t="s">
        <v>142</v>
      </c>
    </row>
    <row r="20" spans="1:16" x14ac:dyDescent="0.25">
      <c r="A20" s="15" t="s">
        <v>30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32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34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36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38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40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42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44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46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143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111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144</v>
      </c>
      <c r="B31" s="20">
        <f t="shared" ref="B31:J31" si="15">B27+B28</f>
        <v>5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3" t="s">
        <v>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ht="15.75" x14ac:dyDescent="0.25">
      <c r="A34" s="37" t="s">
        <v>146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ht="38.25" x14ac:dyDescent="0.25">
      <c r="A35" s="8" t="s">
        <v>131</v>
      </c>
      <c r="B35" s="8" t="s">
        <v>132</v>
      </c>
      <c r="C35" s="8" t="s">
        <v>133</v>
      </c>
      <c r="D35" s="8" t="s">
        <v>73</v>
      </c>
      <c r="E35" s="8" t="s">
        <v>74</v>
      </c>
      <c r="F35" s="8" t="s">
        <v>75</v>
      </c>
      <c r="G35" s="8" t="s">
        <v>107</v>
      </c>
      <c r="H35" s="8" t="s">
        <v>134</v>
      </c>
      <c r="I35" s="8" t="s">
        <v>135</v>
      </c>
      <c r="J35" s="8" t="s">
        <v>136</v>
      </c>
      <c r="K35" s="8" t="s">
        <v>137</v>
      </c>
      <c r="L35" s="8" t="s">
        <v>138</v>
      </c>
      <c r="M35" s="8" t="s">
        <v>139</v>
      </c>
      <c r="N35" s="8" t="s">
        <v>140</v>
      </c>
      <c r="O35" s="8" t="s">
        <v>141</v>
      </c>
      <c r="P35" s="8" t="s">
        <v>142</v>
      </c>
    </row>
    <row r="36" spans="1:16" x14ac:dyDescent="0.25">
      <c r="A36" s="15" t="s">
        <v>30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32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34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36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38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40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42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44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46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143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111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144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3" t="s">
        <v>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1:16" ht="15.75" x14ac:dyDescent="0.25">
      <c r="A50" s="37" t="s">
        <v>147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1:16" ht="38.25" x14ac:dyDescent="0.25">
      <c r="A51" s="8" t="s">
        <v>131</v>
      </c>
      <c r="B51" s="8" t="s">
        <v>132</v>
      </c>
      <c r="C51" s="8" t="s">
        <v>133</v>
      </c>
      <c r="D51" s="8" t="s">
        <v>73</v>
      </c>
      <c r="E51" s="8" t="s">
        <v>74</v>
      </c>
      <c r="F51" s="8" t="s">
        <v>75</v>
      </c>
      <c r="G51" s="8" t="s">
        <v>107</v>
      </c>
      <c r="H51" s="8" t="s">
        <v>134</v>
      </c>
      <c r="I51" s="8" t="s">
        <v>135</v>
      </c>
      <c r="J51" s="8" t="s">
        <v>136</v>
      </c>
      <c r="K51" s="8" t="s">
        <v>137</v>
      </c>
      <c r="L51" s="8" t="s">
        <v>138</v>
      </c>
      <c r="M51" s="8" t="s">
        <v>139</v>
      </c>
      <c r="N51" s="8" t="s">
        <v>140</v>
      </c>
      <c r="O51" s="8" t="s">
        <v>141</v>
      </c>
      <c r="P51" s="8" t="s">
        <v>142</v>
      </c>
    </row>
    <row r="52" spans="1:16" x14ac:dyDescent="0.25">
      <c r="A52" s="15" t="s">
        <v>30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32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34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36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38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40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42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44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46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143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111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144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3" t="s">
        <v>0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</row>
    <row r="66" spans="1:16" ht="15.75" x14ac:dyDescent="0.25">
      <c r="A66" s="37" t="s">
        <v>148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</row>
    <row r="67" spans="1:16" ht="38.25" x14ac:dyDescent="0.25">
      <c r="A67" s="8" t="s">
        <v>131</v>
      </c>
      <c r="B67" s="8" t="s">
        <v>132</v>
      </c>
      <c r="C67" s="8" t="s">
        <v>133</v>
      </c>
      <c r="D67" s="8" t="s">
        <v>73</v>
      </c>
      <c r="E67" s="8" t="s">
        <v>74</v>
      </c>
      <c r="F67" s="8" t="s">
        <v>75</v>
      </c>
      <c r="G67" s="8" t="s">
        <v>107</v>
      </c>
      <c r="H67" s="8" t="s">
        <v>134</v>
      </c>
      <c r="I67" s="8" t="s">
        <v>135</v>
      </c>
      <c r="J67" s="8" t="s">
        <v>136</v>
      </c>
      <c r="K67" s="8" t="s">
        <v>137</v>
      </c>
      <c r="L67" s="8" t="s">
        <v>138</v>
      </c>
      <c r="M67" s="8" t="s">
        <v>139</v>
      </c>
      <c r="N67" s="8" t="s">
        <v>140</v>
      </c>
      <c r="O67" s="8" t="s">
        <v>141</v>
      </c>
      <c r="P67" s="8" t="s">
        <v>142</v>
      </c>
    </row>
    <row r="68" spans="1:16" x14ac:dyDescent="0.25">
      <c r="A68" s="15" t="s">
        <v>30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32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34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36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38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40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42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44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46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143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111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144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3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ht="15.75" x14ac:dyDescent="0.25">
      <c r="A82" s="37" t="s">
        <v>149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</row>
    <row r="83" spans="1:16" ht="38.25" x14ac:dyDescent="0.25">
      <c r="A83" s="8" t="s">
        <v>131</v>
      </c>
      <c r="B83" s="8" t="s">
        <v>132</v>
      </c>
      <c r="C83" s="8" t="s">
        <v>133</v>
      </c>
      <c r="D83" s="8" t="s">
        <v>73</v>
      </c>
      <c r="E83" s="8" t="s">
        <v>74</v>
      </c>
      <c r="F83" s="8" t="s">
        <v>75</v>
      </c>
      <c r="G83" s="8" t="s">
        <v>107</v>
      </c>
      <c r="H83" s="8" t="s">
        <v>134</v>
      </c>
      <c r="I83" s="8" t="s">
        <v>135</v>
      </c>
      <c r="J83" s="8" t="s">
        <v>136</v>
      </c>
      <c r="K83" s="8" t="s">
        <v>137</v>
      </c>
      <c r="L83" s="8" t="s">
        <v>138</v>
      </c>
      <c r="M83" s="8" t="s">
        <v>139</v>
      </c>
      <c r="N83" s="8" t="s">
        <v>140</v>
      </c>
      <c r="O83" s="8" t="s">
        <v>141</v>
      </c>
      <c r="P83" s="8" t="s">
        <v>142</v>
      </c>
    </row>
    <row r="84" spans="1:16" x14ac:dyDescent="0.25">
      <c r="A84" s="15" t="s">
        <v>30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32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34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36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38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40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42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44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46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143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111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144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3" t="s">
        <v>0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</row>
    <row r="98" spans="1:16" ht="15.75" x14ac:dyDescent="0.25">
      <c r="A98" s="37" t="s">
        <v>150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</row>
    <row r="99" spans="1:16" ht="38.25" x14ac:dyDescent="0.25">
      <c r="A99" s="8" t="s">
        <v>131</v>
      </c>
      <c r="B99" s="8" t="s">
        <v>132</v>
      </c>
      <c r="C99" s="8" t="s">
        <v>133</v>
      </c>
      <c r="D99" s="8" t="s">
        <v>73</v>
      </c>
      <c r="E99" s="8" t="s">
        <v>74</v>
      </c>
      <c r="F99" s="8" t="s">
        <v>75</v>
      </c>
      <c r="G99" s="8" t="s">
        <v>107</v>
      </c>
      <c r="H99" s="8" t="s">
        <v>134</v>
      </c>
      <c r="I99" s="8" t="s">
        <v>135</v>
      </c>
      <c r="J99" s="8" t="s">
        <v>136</v>
      </c>
      <c r="K99" s="8" t="s">
        <v>137</v>
      </c>
      <c r="L99" s="8" t="s">
        <v>138</v>
      </c>
      <c r="M99" s="8" t="s">
        <v>139</v>
      </c>
      <c r="N99" s="8" t="s">
        <v>140</v>
      </c>
      <c r="O99" s="8" t="s">
        <v>141</v>
      </c>
      <c r="P99" s="8" t="s">
        <v>142</v>
      </c>
    </row>
    <row r="100" spans="1:16" x14ac:dyDescent="0.25">
      <c r="A100" s="15" t="s">
        <v>30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32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34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36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38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40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42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44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46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143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111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144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3" t="s">
        <v>0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</row>
    <row r="114" spans="1:16" ht="15.75" x14ac:dyDescent="0.25">
      <c r="A114" s="37" t="s">
        <v>151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</row>
    <row r="115" spans="1:16" ht="38.25" x14ac:dyDescent="0.25">
      <c r="A115" s="8" t="s">
        <v>131</v>
      </c>
      <c r="B115" s="8" t="s">
        <v>132</v>
      </c>
      <c r="C115" s="8" t="s">
        <v>133</v>
      </c>
      <c r="D115" s="8" t="s">
        <v>73</v>
      </c>
      <c r="E115" s="8" t="s">
        <v>74</v>
      </c>
      <c r="F115" s="8" t="s">
        <v>75</v>
      </c>
      <c r="G115" s="8" t="s">
        <v>107</v>
      </c>
      <c r="H115" s="8" t="s">
        <v>134</v>
      </c>
      <c r="I115" s="8" t="s">
        <v>135</v>
      </c>
      <c r="J115" s="8" t="s">
        <v>136</v>
      </c>
      <c r="K115" s="8" t="s">
        <v>137</v>
      </c>
      <c r="L115" s="8" t="s">
        <v>138</v>
      </c>
      <c r="M115" s="8" t="s">
        <v>139</v>
      </c>
      <c r="N115" s="8" t="s">
        <v>140</v>
      </c>
      <c r="O115" s="8" t="s">
        <v>141</v>
      </c>
      <c r="P115" s="8" t="s">
        <v>142</v>
      </c>
    </row>
    <row r="116" spans="1:16" x14ac:dyDescent="0.25">
      <c r="A116" s="15" t="s">
        <v>30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32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34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36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38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40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42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44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46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143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111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144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3" t="s">
        <v>0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1:16" ht="15.75" x14ac:dyDescent="0.25">
      <c r="A130" s="37" t="s">
        <v>152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1:16" ht="38.25" x14ac:dyDescent="0.25">
      <c r="A131" s="8" t="s">
        <v>131</v>
      </c>
      <c r="B131" s="8" t="s">
        <v>132</v>
      </c>
      <c r="C131" s="8" t="s">
        <v>133</v>
      </c>
      <c r="D131" s="8" t="s">
        <v>73</v>
      </c>
      <c r="E131" s="8" t="s">
        <v>74</v>
      </c>
      <c r="F131" s="8" t="s">
        <v>75</v>
      </c>
      <c r="G131" s="8" t="s">
        <v>107</v>
      </c>
      <c r="H131" s="8" t="s">
        <v>134</v>
      </c>
      <c r="I131" s="8" t="s">
        <v>135</v>
      </c>
      <c r="J131" s="8" t="s">
        <v>136</v>
      </c>
      <c r="K131" s="8" t="s">
        <v>137</v>
      </c>
      <c r="L131" s="8" t="s">
        <v>138</v>
      </c>
      <c r="M131" s="8" t="s">
        <v>139</v>
      </c>
      <c r="N131" s="8" t="s">
        <v>140</v>
      </c>
      <c r="O131" s="8" t="s">
        <v>141</v>
      </c>
      <c r="P131" s="8" t="s">
        <v>142</v>
      </c>
    </row>
    <row r="132" spans="1:16" x14ac:dyDescent="0.25">
      <c r="A132" s="15" t="s">
        <v>30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32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34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36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38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40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42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44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46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143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111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144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3" t="s">
        <v>0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</row>
    <row r="146" spans="1:16" ht="15.75" x14ac:dyDescent="0.25">
      <c r="A146" s="37" t="s">
        <v>153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</row>
    <row r="147" spans="1:16" ht="38.25" x14ac:dyDescent="0.25">
      <c r="A147" s="8" t="s">
        <v>131</v>
      </c>
      <c r="B147" s="8" t="s">
        <v>132</v>
      </c>
      <c r="C147" s="8" t="s">
        <v>133</v>
      </c>
      <c r="D147" s="8" t="s">
        <v>73</v>
      </c>
      <c r="E147" s="8" t="s">
        <v>74</v>
      </c>
      <c r="F147" s="8" t="s">
        <v>75</v>
      </c>
      <c r="G147" s="8" t="s">
        <v>107</v>
      </c>
      <c r="H147" s="8" t="s">
        <v>134</v>
      </c>
      <c r="I147" s="8" t="s">
        <v>135</v>
      </c>
      <c r="J147" s="8" t="s">
        <v>136</v>
      </c>
      <c r="K147" s="8" t="s">
        <v>137</v>
      </c>
      <c r="L147" s="8" t="s">
        <v>138</v>
      </c>
      <c r="M147" s="8" t="s">
        <v>139</v>
      </c>
      <c r="N147" s="8" t="s">
        <v>140</v>
      </c>
      <c r="O147" s="8" t="s">
        <v>141</v>
      </c>
      <c r="P147" s="8" t="s">
        <v>142</v>
      </c>
    </row>
    <row r="148" spans="1:16" x14ac:dyDescent="0.25">
      <c r="A148" s="15" t="s">
        <v>30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32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34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36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38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40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42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44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46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143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111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144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3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</row>
    <row r="162" spans="1:16" ht="15.75" x14ac:dyDescent="0.25">
      <c r="A162" s="37" t="s">
        <v>154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</row>
    <row r="163" spans="1:16" ht="38.25" x14ac:dyDescent="0.25">
      <c r="A163" s="8" t="s">
        <v>131</v>
      </c>
      <c r="B163" s="8" t="s">
        <v>132</v>
      </c>
      <c r="C163" s="8" t="s">
        <v>133</v>
      </c>
      <c r="D163" s="8" t="s">
        <v>73</v>
      </c>
      <c r="E163" s="8" t="s">
        <v>74</v>
      </c>
      <c r="F163" s="8" t="s">
        <v>75</v>
      </c>
      <c r="G163" s="8" t="s">
        <v>107</v>
      </c>
      <c r="H163" s="8" t="s">
        <v>134</v>
      </c>
      <c r="I163" s="8" t="s">
        <v>135</v>
      </c>
      <c r="J163" s="8" t="s">
        <v>136</v>
      </c>
      <c r="K163" s="8" t="s">
        <v>137</v>
      </c>
      <c r="L163" s="8" t="s">
        <v>138</v>
      </c>
      <c r="M163" s="8" t="s">
        <v>139</v>
      </c>
      <c r="N163" s="8" t="s">
        <v>140</v>
      </c>
      <c r="O163" s="8" t="s">
        <v>141</v>
      </c>
      <c r="P163" s="8" t="s">
        <v>142</v>
      </c>
    </row>
    <row r="164" spans="1:16" x14ac:dyDescent="0.25">
      <c r="A164" s="15" t="s">
        <v>30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32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34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36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38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40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42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44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46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143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111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144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3" t="s">
        <v>0</v>
      </c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</row>
    <row r="178" spans="1:16" ht="15.75" x14ac:dyDescent="0.25">
      <c r="A178" s="37" t="s">
        <v>155</v>
      </c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</row>
    <row r="179" spans="1:16" ht="38.25" x14ac:dyDescent="0.25">
      <c r="A179" s="8" t="s">
        <v>131</v>
      </c>
      <c r="B179" s="8" t="s">
        <v>132</v>
      </c>
      <c r="C179" s="8" t="s">
        <v>133</v>
      </c>
      <c r="D179" s="8" t="s">
        <v>73</v>
      </c>
      <c r="E179" s="8" t="s">
        <v>74</v>
      </c>
      <c r="F179" s="8" t="s">
        <v>75</v>
      </c>
      <c r="G179" s="8" t="s">
        <v>107</v>
      </c>
      <c r="H179" s="8" t="s">
        <v>134</v>
      </c>
      <c r="I179" s="8" t="s">
        <v>135</v>
      </c>
      <c r="J179" s="8" t="s">
        <v>136</v>
      </c>
      <c r="K179" s="8" t="s">
        <v>137</v>
      </c>
      <c r="L179" s="8" t="s">
        <v>138</v>
      </c>
      <c r="M179" s="8" t="s">
        <v>139</v>
      </c>
      <c r="N179" s="8" t="s">
        <v>140</v>
      </c>
      <c r="O179" s="8" t="s">
        <v>141</v>
      </c>
      <c r="P179" s="8" t="s">
        <v>142</v>
      </c>
    </row>
    <row r="180" spans="1:16" x14ac:dyDescent="0.25">
      <c r="A180" s="15" t="s">
        <v>30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32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34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36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38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40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42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44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46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143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111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144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>
      <selection sqref="A1:G1"/>
    </sheetView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59</v>
      </c>
      <c r="B1" s="29"/>
      <c r="C1" s="29"/>
      <c r="D1" s="29"/>
      <c r="E1" s="29"/>
      <c r="F1" s="29"/>
      <c r="G1" s="29"/>
      <c r="H1" s="43" t="s">
        <v>60</v>
      </c>
      <c r="I1" s="29"/>
      <c r="J1" s="29"/>
      <c r="K1" s="29"/>
      <c r="L1" s="29"/>
      <c r="M1" s="29"/>
      <c r="N1" s="29"/>
      <c r="O1" s="43" t="s">
        <v>61</v>
      </c>
      <c r="P1" s="29"/>
      <c r="Q1" s="29"/>
      <c r="R1" s="29"/>
      <c r="S1" s="29"/>
      <c r="T1" s="29"/>
      <c r="U1" s="29"/>
      <c r="V1" s="43" t="s">
        <v>62</v>
      </c>
      <c r="W1" s="29"/>
      <c r="X1" s="29"/>
      <c r="Y1" s="29"/>
      <c r="Z1" s="29"/>
      <c r="AA1" s="29"/>
      <c r="AB1" s="29"/>
      <c r="AC1" s="43" t="s">
        <v>63</v>
      </c>
      <c r="AD1" s="29"/>
      <c r="AE1" s="29"/>
      <c r="AF1" s="29"/>
      <c r="AG1" s="29"/>
      <c r="AH1" s="29"/>
      <c r="AI1" s="29"/>
      <c r="AJ1" s="43" t="s">
        <v>64</v>
      </c>
      <c r="AK1" s="29"/>
      <c r="AL1" s="29"/>
      <c r="AM1" s="29"/>
      <c r="AN1" s="29"/>
      <c r="AO1" s="29"/>
      <c r="AP1" s="29"/>
      <c r="AQ1" s="43" t="s">
        <v>65</v>
      </c>
      <c r="AR1" s="29"/>
      <c r="AS1" s="29"/>
      <c r="AT1" s="29"/>
      <c r="AU1" s="29"/>
      <c r="AV1" s="29"/>
      <c r="AW1" s="29"/>
      <c r="AX1" s="43" t="s">
        <v>66</v>
      </c>
      <c r="AY1" s="29"/>
      <c r="AZ1" s="29"/>
      <c r="BA1" s="29"/>
      <c r="BB1" s="29"/>
      <c r="BC1" s="29"/>
      <c r="BD1" s="29"/>
      <c r="BE1" s="43" t="s">
        <v>67</v>
      </c>
      <c r="BF1" s="29"/>
      <c r="BG1" s="29"/>
      <c r="BH1" s="29"/>
      <c r="BI1" s="29"/>
      <c r="BJ1" s="29"/>
      <c r="BK1" s="29"/>
      <c r="BL1" s="43" t="s">
        <v>68</v>
      </c>
      <c r="BM1" s="29"/>
      <c r="BN1" s="29"/>
      <c r="BO1" s="29"/>
      <c r="BP1" s="29"/>
      <c r="BQ1" s="29"/>
      <c r="BR1" s="29"/>
      <c r="BS1" s="43" t="s">
        <v>69</v>
      </c>
      <c r="BT1" s="29"/>
      <c r="BU1" s="29"/>
      <c r="BV1" s="29"/>
      <c r="BW1" s="29"/>
      <c r="BX1" s="29"/>
      <c r="BY1" s="29"/>
      <c r="BZ1" s="43" t="s">
        <v>70</v>
      </c>
      <c r="CA1" s="29"/>
      <c r="CB1" s="29"/>
      <c r="CC1" s="29"/>
      <c r="CD1" s="29"/>
      <c r="CE1" s="29"/>
      <c r="CF1" s="29"/>
    </row>
    <row r="2" spans="1:84" x14ac:dyDescent="0.25">
      <c r="B2" s="42" t="s">
        <v>156</v>
      </c>
      <c r="C2" s="29"/>
      <c r="D2" s="44" t="s">
        <v>157</v>
      </c>
      <c r="E2" s="29"/>
      <c r="F2" s="41" t="s">
        <v>158</v>
      </c>
      <c r="G2" s="29"/>
      <c r="I2" s="42" t="s">
        <v>156</v>
      </c>
      <c r="J2" s="29"/>
      <c r="K2" s="44" t="s">
        <v>157</v>
      </c>
      <c r="L2" s="29"/>
      <c r="M2" s="41" t="s">
        <v>158</v>
      </c>
      <c r="N2" s="29"/>
      <c r="P2" s="42" t="s">
        <v>156</v>
      </c>
      <c r="Q2" s="29"/>
      <c r="R2" s="44" t="s">
        <v>157</v>
      </c>
      <c r="S2" s="29"/>
      <c r="T2" s="41" t="s">
        <v>158</v>
      </c>
      <c r="U2" s="29"/>
      <c r="W2" s="42" t="s">
        <v>156</v>
      </c>
      <c r="X2" s="29"/>
      <c r="Y2" s="44" t="s">
        <v>157</v>
      </c>
      <c r="Z2" s="29"/>
      <c r="AA2" s="41" t="s">
        <v>158</v>
      </c>
      <c r="AB2" s="29"/>
      <c r="AD2" s="42" t="s">
        <v>156</v>
      </c>
      <c r="AE2" s="29"/>
      <c r="AF2" s="44" t="s">
        <v>157</v>
      </c>
      <c r="AG2" s="29"/>
      <c r="AH2" s="41" t="s">
        <v>158</v>
      </c>
      <c r="AI2" s="29"/>
      <c r="AK2" s="42" t="s">
        <v>156</v>
      </c>
      <c r="AL2" s="29"/>
      <c r="AM2" s="44" t="s">
        <v>157</v>
      </c>
      <c r="AN2" s="29"/>
      <c r="AO2" s="41" t="s">
        <v>158</v>
      </c>
      <c r="AP2" s="29"/>
      <c r="AR2" s="42" t="s">
        <v>156</v>
      </c>
      <c r="AS2" s="29"/>
      <c r="AT2" s="44" t="s">
        <v>157</v>
      </c>
      <c r="AU2" s="29"/>
      <c r="AV2" s="41" t="s">
        <v>158</v>
      </c>
      <c r="AW2" s="29"/>
      <c r="AY2" s="42" t="s">
        <v>156</v>
      </c>
      <c r="AZ2" s="29"/>
      <c r="BA2" s="44" t="s">
        <v>157</v>
      </c>
      <c r="BB2" s="29"/>
      <c r="BC2" s="41" t="s">
        <v>158</v>
      </c>
      <c r="BD2" s="29"/>
      <c r="BF2" s="42" t="s">
        <v>156</v>
      </c>
      <c r="BG2" s="29"/>
      <c r="BH2" s="44" t="s">
        <v>157</v>
      </c>
      <c r="BI2" s="29"/>
      <c r="BJ2" s="41" t="s">
        <v>158</v>
      </c>
      <c r="BK2" s="29"/>
      <c r="BM2" s="42" t="s">
        <v>156</v>
      </c>
      <c r="BN2" s="29"/>
      <c r="BO2" s="44" t="s">
        <v>157</v>
      </c>
      <c r="BP2" s="29"/>
      <c r="BQ2" s="41" t="s">
        <v>158</v>
      </c>
      <c r="BR2" s="29"/>
      <c r="BT2" s="42" t="s">
        <v>156</v>
      </c>
      <c r="BU2" s="29"/>
      <c r="BV2" s="44" t="s">
        <v>157</v>
      </c>
      <c r="BW2" s="29"/>
      <c r="BX2" s="41" t="s">
        <v>158</v>
      </c>
      <c r="BY2" s="29"/>
      <c r="CA2" s="42" t="s">
        <v>156</v>
      </c>
      <c r="CB2" s="29"/>
      <c r="CC2" s="44" t="s">
        <v>157</v>
      </c>
      <c r="CD2" s="29"/>
      <c r="CE2" s="41" t="s">
        <v>158</v>
      </c>
      <c r="CF2" s="29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COUNTIFS(tblAdmissions[Month],1,tblAdmissions[AgeUnit],"Days",tblAdmissions[Age],"&gt;="&amp;0,tblAdmissions[Age],"&lt;="&amp;28,tblAdmissions[Sex],"M")</f>
        <v>28</v>
      </c>
      <c r="C4" s="4">
        <f>COUNTIFS(tblAdmissions[Month],1,tblAdmissions[AgeUnit],"Days",tblAdmissions[Age],"&gt;="&amp;0,tblAdmissions[Age],"&lt;="&amp;28,tblAdmissions[Sex],"F")</f>
        <v>18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28</v>
      </c>
      <c r="G4" s="4">
        <f>COUNTIFS(tblAdmissions[Month],1,tblAdmissions[AgeUnit],"Days",tblAdmissions[Age],"&gt;="&amp;0,tblAdmissions[Age],"&lt;="&amp;28,tblAdmissions[Sex],"F",tblAdmissions[NHIS],"Insured")</f>
        <v>18</v>
      </c>
      <c r="H4" s="4" t="s">
        <v>164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164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164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164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164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164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164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164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164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164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164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165</v>
      </c>
      <c r="B5" s="4">
        <f>COUNTIFS(tblAdmissions[Month],1,tblAdmissions[AgeUnit],"Months",tblAdmissions[Age],"&gt;="&amp;1,tblAdmissions[Age],"&lt;="&amp;11,tblAdmissions[Sex],"M")</f>
        <v>9</v>
      </c>
      <c r="C5" s="4">
        <f>COUNTIFS(tblAdmissions[Month],1,tblAdmissions[AgeUnit],"Months",tblAdmissions[Age],"&gt;="&amp;1,tblAdmissions[Age],"&lt;="&amp;11,tblAdmissions[Sex],"F")</f>
        <v>3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9</v>
      </c>
      <c r="G5" s="4">
        <f>COUNTIFS(tblAdmissions[Month],1,tblAdmissions[AgeUnit],"Months",tblAdmissions[Age],"&gt;="&amp;1,tblAdmissions[Age],"&lt;="&amp;11,tblAdmissions[Sex],"F",tblAdmissions[NHIS],"Insured")</f>
        <v>3</v>
      </c>
      <c r="H5" s="4" t="s">
        <v>165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165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165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165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165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165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165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165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165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165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165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166</v>
      </c>
      <c r="B6" s="4">
        <f>COUNTIFS(tblAdmissions[Month],1,tblAdmissions[AgeUnit],"Years",tblAdmissions[Age],"&gt;="&amp;1,tblAdmissions[Age],"&lt;="&amp;4,tblAdmissions[Sex],"M")</f>
        <v>25</v>
      </c>
      <c r="C6" s="4">
        <f>COUNTIFS(tblAdmissions[Month],1,tblAdmissions[AgeUnit],"Years",tblAdmissions[Age],"&gt;="&amp;1,tblAdmissions[Age],"&lt;="&amp;4,tblAdmissions[Sex],"F")</f>
        <v>16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25</v>
      </c>
      <c r="G6" s="4">
        <f>COUNTIFS(tblAdmissions[Month],1,tblAdmissions[AgeUnit],"Years",tblAdmissions[Age],"&gt;="&amp;1,tblAdmissions[Age],"&lt;="&amp;4,tblAdmissions[Sex],"F",tblAdmissions[NHIS],"Insured")</f>
        <v>16</v>
      </c>
      <c r="H6" s="4" t="s">
        <v>166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166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166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166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166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166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166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166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166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166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166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167</v>
      </c>
      <c r="B7" s="4">
        <f>COUNTIFS(tblAdmissions[Month],1,tblAdmissions[AgeUnit],"Years",tblAdmissions[Age],"&gt;="&amp;5,tblAdmissions[Age],"&lt;="&amp;9,tblAdmissions[Sex],"M")</f>
        <v>16</v>
      </c>
      <c r="C7" s="4">
        <f>COUNTIFS(tblAdmissions[Month],1,tblAdmissions[AgeUnit],"Years",tblAdmissions[Age],"&gt;="&amp;5,tblAdmissions[Age],"&lt;="&amp;9,tblAdmissions[Sex],"F")</f>
        <v>11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16</v>
      </c>
      <c r="G7" s="4">
        <f>COUNTIFS(tblAdmissions[Month],1,tblAdmissions[AgeUnit],"Years",tblAdmissions[Age],"&gt;="&amp;5,tblAdmissions[Age],"&lt;="&amp;9,tblAdmissions[Sex],"F",tblAdmissions[NHIS],"Insured")</f>
        <v>11</v>
      </c>
      <c r="H7" s="4" t="s">
        <v>167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167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167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167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167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167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167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167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167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167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167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168</v>
      </c>
      <c r="B8" s="4">
        <f>COUNTIFS(tblAdmissions[Month],1,tblAdmissions[AgeUnit],"Years",tblAdmissions[Age],"&gt;="&amp;10,tblAdmissions[Age],"&lt;="&amp;14,tblAdmissions[Sex],"M")</f>
        <v>11</v>
      </c>
      <c r="C8" s="4">
        <f>COUNTIFS(tblAdmissions[Month],1,tblAdmissions[AgeUnit],"Years",tblAdmissions[Age],"&gt;="&amp;10,tblAdmissions[Age],"&lt;="&amp;14,tblAdmissions[Sex],"F")</f>
        <v>5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11</v>
      </c>
      <c r="G8" s="4">
        <f>COUNTIFS(tblAdmissions[Month],1,tblAdmissions[AgeUnit],"Years",tblAdmissions[Age],"&gt;="&amp;10,tblAdmissions[Age],"&lt;="&amp;14,tblAdmissions[Sex],"F",tblAdmissions[NHIS],"Insured")</f>
        <v>5</v>
      </c>
      <c r="H8" s="4" t="s">
        <v>168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168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168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168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168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168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168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168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168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168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168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169</v>
      </c>
      <c r="B9" s="4">
        <f>COUNTIFS(tblAdmissions[Month],1,tblAdmissions[AgeUnit],"Years",tblAdmissions[Age],"&gt;="&amp;15,tblAdmissions[Age],"&lt;="&amp;17,tblAdmissions[Sex],"M")</f>
        <v>8</v>
      </c>
      <c r="C9" s="4">
        <f>COUNTIFS(tblAdmissions[Month],1,tblAdmissions[AgeUnit],"Years",tblAdmissions[Age],"&gt;="&amp;15,tblAdmissions[Age],"&lt;="&amp;17,tblAdmissions[Sex],"F")</f>
        <v>16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8</v>
      </c>
      <c r="G9" s="4">
        <f>COUNTIFS(tblAdmissions[Month],1,tblAdmissions[AgeUnit],"Years",tblAdmissions[Age],"&gt;="&amp;15,tblAdmissions[Age],"&lt;="&amp;17,tblAdmissions[Sex],"F",tblAdmissions[NHIS],"Insured")</f>
        <v>16</v>
      </c>
      <c r="H9" s="4" t="s">
        <v>169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169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169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169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169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169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169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169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169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169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169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170</v>
      </c>
      <c r="B10" s="4">
        <f>COUNTIFS(tblAdmissions[Month],1,tblAdmissions[AgeUnit],"Years",tblAdmissions[Age],"&gt;="&amp;18,tblAdmissions[Age],"&lt;="&amp;19,tblAdmissions[Sex],"M")</f>
        <v>4</v>
      </c>
      <c r="C10" s="4">
        <f>COUNTIFS(tblAdmissions[Month],1,tblAdmissions[AgeUnit],"Years",tblAdmissions[Age],"&gt;="&amp;18,tblAdmissions[Age],"&lt;="&amp;19,tblAdmissions[Sex],"F")</f>
        <v>24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4</v>
      </c>
      <c r="G10" s="4">
        <f>COUNTIFS(tblAdmissions[Month],1,tblAdmissions[AgeUnit],"Years",tblAdmissions[Age],"&gt;="&amp;18,tblAdmissions[Age],"&lt;="&amp;19,tblAdmissions[Sex],"F",tblAdmissions[NHIS],"Insured")</f>
        <v>24</v>
      </c>
      <c r="H10" s="4" t="s">
        <v>170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170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170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170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170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170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170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170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170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170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170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171</v>
      </c>
      <c r="B11" s="4">
        <f>COUNTIFS(tblAdmissions[Month],1,tblAdmissions[AgeUnit],"Years",tblAdmissions[Age],"&gt;="&amp;20,tblAdmissions[Age],"&lt;="&amp;34,tblAdmissions[Sex],"M")</f>
        <v>33</v>
      </c>
      <c r="C11" s="4">
        <f>COUNTIFS(tblAdmissions[Month],1,tblAdmissions[AgeUnit],"Years",tblAdmissions[Age],"&gt;="&amp;20,tblAdmissions[Age],"&lt;="&amp;34,tblAdmissions[Sex],"F")</f>
        <v>200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33</v>
      </c>
      <c r="G11" s="4">
        <f>COUNTIFS(tblAdmissions[Month],1,tblAdmissions[AgeUnit],"Years",tblAdmissions[Age],"&gt;="&amp;20,tblAdmissions[Age],"&lt;="&amp;34,tblAdmissions[Sex],"F",tblAdmissions[NHIS],"Insured")</f>
        <v>200</v>
      </c>
      <c r="H11" s="4" t="s">
        <v>171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171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171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171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171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171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171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171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171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171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171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172</v>
      </c>
      <c r="B12" s="4">
        <f>COUNTIFS(tblAdmissions[Month],1,tblAdmissions[AgeUnit],"Years",tblAdmissions[Age],"&gt;="&amp;35,tblAdmissions[Age],"&lt;="&amp;49,tblAdmissions[Sex],"M")</f>
        <v>31</v>
      </c>
      <c r="C12" s="4">
        <f>COUNTIFS(tblAdmissions[Month],1,tblAdmissions[AgeUnit],"Years",tblAdmissions[Age],"&gt;="&amp;35,tblAdmissions[Age],"&lt;="&amp;49,tblAdmissions[Sex],"F")</f>
        <v>80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31</v>
      </c>
      <c r="G12" s="4">
        <f>COUNTIFS(tblAdmissions[Month],1,tblAdmissions[AgeUnit],"Years",tblAdmissions[Age],"&gt;="&amp;35,tblAdmissions[Age],"&lt;="&amp;49,tblAdmissions[Sex],"F",tblAdmissions[NHIS],"Insured")</f>
        <v>80</v>
      </c>
      <c r="H12" s="4" t="s">
        <v>172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172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172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172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172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172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172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172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172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172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172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173</v>
      </c>
      <c r="B13" s="4">
        <f>COUNTIFS(tblAdmissions[Month],1,tblAdmissions[AgeUnit],"Years",tblAdmissions[Age],"&gt;="&amp;50,tblAdmissions[Age],"&lt;="&amp;59,tblAdmissions[Sex],"M")</f>
        <v>17</v>
      </c>
      <c r="C13" s="4">
        <f>COUNTIFS(tblAdmissions[Month],1,tblAdmissions[AgeUnit],"Years",tblAdmissions[Age],"&gt;="&amp;50,tblAdmissions[Age],"&lt;="&amp;59,tblAdmissions[Sex],"F")</f>
        <v>18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17</v>
      </c>
      <c r="G13" s="4">
        <f>COUNTIFS(tblAdmissions[Month],1,tblAdmissions[AgeUnit],"Years",tblAdmissions[Age],"&gt;="&amp;50,tblAdmissions[Age],"&lt;="&amp;59,tblAdmissions[Sex],"F",tblAdmissions[NHIS],"Insured")</f>
        <v>18</v>
      </c>
      <c r="H13" s="4" t="s">
        <v>173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173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173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173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173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173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173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173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173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173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173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174</v>
      </c>
      <c r="B14" s="4">
        <f>COUNTIFS(tblAdmissions[Month],1,tblAdmissions[AgeUnit],"Years",tblAdmissions[Age],"&gt;="&amp;60,tblAdmissions[Age],"&lt;="&amp;69,tblAdmissions[Sex],"M")</f>
        <v>22</v>
      </c>
      <c r="C14" s="4">
        <f>COUNTIFS(tblAdmissions[Month],1,tblAdmissions[AgeUnit],"Years",tblAdmissions[Age],"&gt;="&amp;60,tblAdmissions[Age],"&lt;="&amp;69,tblAdmissions[Sex],"F")</f>
        <v>22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22</v>
      </c>
      <c r="G14" s="4">
        <f>COUNTIFS(tblAdmissions[Month],1,tblAdmissions[AgeUnit],"Years",tblAdmissions[Age],"&gt;="&amp;60,tblAdmissions[Age],"&lt;="&amp;69,tblAdmissions[Sex],"F",tblAdmissions[NHIS],"Insured")</f>
        <v>22</v>
      </c>
      <c r="H14" s="4" t="s">
        <v>174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174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174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174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174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174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174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174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174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174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174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175</v>
      </c>
      <c r="B15" s="4">
        <f>COUNTIFS(tblAdmissions[Month],1,tblAdmissions[AgeUnit],"Years",tblAdmissions[Age],"&gt;="&amp;70,tblAdmissions[Age],"&lt;="&amp;200,tblAdmissions[Sex],"M")</f>
        <v>30</v>
      </c>
      <c r="C15" s="4">
        <f>COUNTIFS(tblAdmissions[Month],1,tblAdmissions[AgeUnit],"Years",tblAdmissions[Age],"&gt;="&amp;70,tblAdmissions[Age],"&lt;="&amp;200,tblAdmissions[Sex],"F")</f>
        <v>19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30</v>
      </c>
      <c r="G15" s="4">
        <f>COUNTIFS(tblAdmissions[Month],1,tblAdmissions[AgeUnit],"Years",tblAdmissions[Age],"&gt;="&amp;70,tblAdmissions[Age],"&lt;="&amp;200,tblAdmissions[Sex],"F",tblAdmissions[NHIS],"Insured")</f>
        <v>19</v>
      </c>
      <c r="H15" s="4" t="s">
        <v>175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175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175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175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175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175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175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175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175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175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175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176</v>
      </c>
      <c r="B16" s="9">
        <f t="shared" ref="B16:G16" si="0">SUM(B4:B15)</f>
        <v>234</v>
      </c>
      <c r="C16" s="9">
        <f t="shared" si="0"/>
        <v>432</v>
      </c>
      <c r="D16" s="9">
        <f t="shared" si="0"/>
        <v>0</v>
      </c>
      <c r="E16" s="9">
        <f t="shared" si="0"/>
        <v>0</v>
      </c>
      <c r="F16" s="9">
        <f t="shared" si="0"/>
        <v>234</v>
      </c>
      <c r="G16" s="9">
        <f t="shared" si="0"/>
        <v>432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CF16"/>
  <sheetViews>
    <sheetView workbookViewId="0">
      <selection activeCell="D13" sqref="D13"/>
    </sheetView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59</v>
      </c>
      <c r="B1" s="29"/>
      <c r="C1" s="29"/>
      <c r="D1" s="29"/>
      <c r="E1" s="29"/>
      <c r="F1" s="29"/>
      <c r="G1" s="29"/>
      <c r="H1" s="43" t="s">
        <v>60</v>
      </c>
      <c r="I1" s="29"/>
      <c r="J1" s="29"/>
      <c r="K1" s="29"/>
      <c r="L1" s="29"/>
      <c r="M1" s="29"/>
      <c r="N1" s="29"/>
      <c r="O1" s="43" t="s">
        <v>61</v>
      </c>
      <c r="P1" s="29"/>
      <c r="Q1" s="29"/>
      <c r="R1" s="29"/>
      <c r="S1" s="29"/>
      <c r="T1" s="29"/>
      <c r="U1" s="29"/>
      <c r="V1" s="43" t="s">
        <v>62</v>
      </c>
      <c r="W1" s="29"/>
      <c r="X1" s="29"/>
      <c r="Y1" s="29"/>
      <c r="Z1" s="29"/>
      <c r="AA1" s="29"/>
      <c r="AB1" s="29"/>
      <c r="AC1" s="43" t="s">
        <v>63</v>
      </c>
      <c r="AD1" s="29"/>
      <c r="AE1" s="29"/>
      <c r="AF1" s="29"/>
      <c r="AG1" s="29"/>
      <c r="AH1" s="29"/>
      <c r="AI1" s="29"/>
      <c r="AJ1" s="43" t="s">
        <v>64</v>
      </c>
      <c r="AK1" s="29"/>
      <c r="AL1" s="29"/>
      <c r="AM1" s="29"/>
      <c r="AN1" s="29"/>
      <c r="AO1" s="29"/>
      <c r="AP1" s="29"/>
      <c r="AQ1" s="43" t="s">
        <v>65</v>
      </c>
      <c r="AR1" s="29"/>
      <c r="AS1" s="29"/>
      <c r="AT1" s="29"/>
      <c r="AU1" s="29"/>
      <c r="AV1" s="29"/>
      <c r="AW1" s="29"/>
      <c r="AX1" s="43" t="s">
        <v>66</v>
      </c>
      <c r="AY1" s="29"/>
      <c r="AZ1" s="29"/>
      <c r="BA1" s="29"/>
      <c r="BB1" s="29"/>
      <c r="BC1" s="29"/>
      <c r="BD1" s="29"/>
      <c r="BE1" s="43" t="s">
        <v>67</v>
      </c>
      <c r="BF1" s="29"/>
      <c r="BG1" s="29"/>
      <c r="BH1" s="29"/>
      <c r="BI1" s="29"/>
      <c r="BJ1" s="29"/>
      <c r="BK1" s="29"/>
      <c r="BL1" s="43" t="s">
        <v>68</v>
      </c>
      <c r="BM1" s="29"/>
      <c r="BN1" s="29"/>
      <c r="BO1" s="29"/>
      <c r="BP1" s="29"/>
      <c r="BQ1" s="29"/>
      <c r="BR1" s="29"/>
      <c r="BS1" s="43" t="s">
        <v>69</v>
      </c>
      <c r="BT1" s="29"/>
      <c r="BU1" s="29"/>
      <c r="BV1" s="29"/>
      <c r="BW1" s="29"/>
      <c r="BX1" s="29"/>
      <c r="BY1" s="29"/>
      <c r="BZ1" s="43" t="s">
        <v>70</v>
      </c>
      <c r="CA1" s="29"/>
      <c r="CB1" s="29"/>
      <c r="CC1" s="29"/>
      <c r="CD1" s="29"/>
      <c r="CE1" s="29"/>
      <c r="CF1" s="29"/>
    </row>
    <row r="2" spans="1:84" x14ac:dyDescent="0.25">
      <c r="B2" s="42" t="s">
        <v>156</v>
      </c>
      <c r="C2" s="29"/>
      <c r="D2" s="44" t="s">
        <v>157</v>
      </c>
      <c r="E2" s="29"/>
      <c r="F2" s="41" t="s">
        <v>158</v>
      </c>
      <c r="G2" s="29"/>
      <c r="I2" s="42" t="s">
        <v>156</v>
      </c>
      <c r="J2" s="29"/>
      <c r="K2" s="44" t="s">
        <v>157</v>
      </c>
      <c r="L2" s="29"/>
      <c r="M2" s="41" t="s">
        <v>158</v>
      </c>
      <c r="N2" s="29"/>
      <c r="P2" s="42" t="s">
        <v>156</v>
      </c>
      <c r="Q2" s="29"/>
      <c r="R2" s="44" t="s">
        <v>157</v>
      </c>
      <c r="S2" s="29"/>
      <c r="T2" s="41" t="s">
        <v>158</v>
      </c>
      <c r="U2" s="29"/>
      <c r="W2" s="42" t="s">
        <v>156</v>
      </c>
      <c r="X2" s="29"/>
      <c r="Y2" s="44" t="s">
        <v>157</v>
      </c>
      <c r="Z2" s="29"/>
      <c r="AA2" s="41" t="s">
        <v>158</v>
      </c>
      <c r="AB2" s="29"/>
      <c r="AD2" s="42" t="s">
        <v>156</v>
      </c>
      <c r="AE2" s="29"/>
      <c r="AF2" s="44" t="s">
        <v>157</v>
      </c>
      <c r="AG2" s="29"/>
      <c r="AH2" s="41" t="s">
        <v>158</v>
      </c>
      <c r="AI2" s="29"/>
      <c r="AK2" s="42" t="s">
        <v>156</v>
      </c>
      <c r="AL2" s="29"/>
      <c r="AM2" s="44" t="s">
        <v>157</v>
      </c>
      <c r="AN2" s="29"/>
      <c r="AO2" s="41" t="s">
        <v>158</v>
      </c>
      <c r="AP2" s="29"/>
      <c r="AR2" s="42" t="s">
        <v>156</v>
      </c>
      <c r="AS2" s="29"/>
      <c r="AT2" s="44" t="s">
        <v>157</v>
      </c>
      <c r="AU2" s="29"/>
      <c r="AV2" s="41" t="s">
        <v>158</v>
      </c>
      <c r="AW2" s="29"/>
      <c r="AY2" s="42" t="s">
        <v>156</v>
      </c>
      <c r="AZ2" s="29"/>
      <c r="BA2" s="44" t="s">
        <v>157</v>
      </c>
      <c r="BB2" s="29"/>
      <c r="BC2" s="41" t="s">
        <v>158</v>
      </c>
      <c r="BD2" s="29"/>
      <c r="BF2" s="42" t="s">
        <v>156</v>
      </c>
      <c r="BG2" s="29"/>
      <c r="BH2" s="44" t="s">
        <v>157</v>
      </c>
      <c r="BI2" s="29"/>
      <c r="BJ2" s="41" t="s">
        <v>158</v>
      </c>
      <c r="BK2" s="29"/>
      <c r="BM2" s="42" t="s">
        <v>156</v>
      </c>
      <c r="BN2" s="29"/>
      <c r="BO2" s="44" t="s">
        <v>157</v>
      </c>
      <c r="BP2" s="29"/>
      <c r="BQ2" s="41" t="s">
        <v>158</v>
      </c>
      <c r="BR2" s="29"/>
      <c r="BT2" s="42" t="s">
        <v>156</v>
      </c>
      <c r="BU2" s="29"/>
      <c r="BV2" s="44" t="s">
        <v>157</v>
      </c>
      <c r="BW2" s="29"/>
      <c r="BX2" s="41" t="s">
        <v>158</v>
      </c>
      <c r="BY2" s="29"/>
      <c r="CA2" s="42" t="s">
        <v>156</v>
      </c>
      <c r="CB2" s="29"/>
      <c r="CC2" s="44" t="s">
        <v>157</v>
      </c>
      <c r="CD2" s="29"/>
      <c r="CE2" s="41" t="s">
        <v>158</v>
      </c>
      <c r="CF2" s="29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COUNTIFS(tblDeaths[Month],1,tblDeaths[AgeUnit],"Days",tblDeaths[Age],"&gt;="&amp;0,tblDeaths[Age],"&lt;="&amp;28,tblDeaths[Sex],"M")</f>
        <v>1</v>
      </c>
      <c r="C4" s="4">
        <f>COUNTIFS(tblDeaths[Month],1,tblDeaths[AgeUnit],"Days",tblDeaths[Age],"&gt;="&amp;0,tblDeaths[Age],"&lt;="&amp;28,tblDeaths[Sex],"F")</f>
        <v>7</v>
      </c>
      <c r="D4" s="4">
        <f>COUNTIFS(tblDeaths[Month],1,tblDeaths[AgeUnit],"Days",tblDeaths[Age],"&gt;="&amp;0,tblDeaths[Age],"&lt;="&amp;28,tblDeaths[Sex],"M",tblDeaths[NHIS],"Non-Insured")</f>
        <v>0</v>
      </c>
      <c r="E4" s="4">
        <f>COUNTIFS(tblDeaths[Month],1,tblDeaths[AgeUnit],"Days",tblDeaths[Age],"&gt;="&amp;0,tblDeaths[Age],"&lt;="&amp;28,tblDeaths[Sex],"F",tblDeaths[NHIS],"Non-Insured")</f>
        <v>0</v>
      </c>
      <c r="F4" s="4">
        <f>COUNTIFS(tblDeaths[Month],1,tblDeaths[AgeUnit],"Days",tblDeaths[Age],"&gt;="&amp;0,tblDeaths[Age],"&lt;="&amp;28,tblDeaths[Sex],"M",tblDeaths[NHIS],"Insured")</f>
        <v>1</v>
      </c>
      <c r="G4" s="4">
        <f>COUNTIFS(tblDeaths[Month],1,tblDeaths[AgeUnit],"Days",tblDeaths[Age],"&gt;="&amp;0,tblDeaths[Age],"&lt;="&amp;28,tblDeaths[Sex],"F",tblDeaths[NHIS],"Insured")</f>
        <v>7</v>
      </c>
      <c r="H4" s="4" t="s">
        <v>164</v>
      </c>
      <c r="I4" s="4">
        <f>COUNTIFS(tblDeaths[Month],2,tblDeaths[AgeUnit],"Days",tblDeaths[Age],"&gt;="&amp;0,tblDeaths[Age],"&lt;="&amp;28,tblDeaths[Sex],"M")</f>
        <v>0</v>
      </c>
      <c r="J4" s="4">
        <f>COUNTIFS(tblDeaths[Month],2,tblDeaths[AgeUnit],"Days",tblDeaths[Age],"&gt;="&amp;0,tblDeaths[Age],"&lt;="&amp;28,tblDeaths[Sex],"F")</f>
        <v>0</v>
      </c>
      <c r="K4" s="4">
        <f>COUNTIFS(tblDeaths[Month],2,tblDeaths[AgeUnit],"Days",tblDeaths[Age],"&gt;="&amp;0,tblDeaths[Age],"&lt;="&amp;28,tblDeaths[Sex],"M",tblDeaths[NHIS],"Non-Insured")</f>
        <v>0</v>
      </c>
      <c r="L4" s="4">
        <f>COUNTIFS(tblDeaths[Month],2,tblDeaths[AgeUnit],"Days",tblDeaths[Age],"&gt;="&amp;0,tblDeaths[Age],"&lt;="&amp;28,tblDeaths[Sex],"F",tblDeaths[NHIS],"Non-Insured")</f>
        <v>0</v>
      </c>
      <c r="M4" s="4">
        <f>COUNTIFS(tblDeaths[Month],2,tblDeaths[AgeUnit],"Days",tblDeaths[Age],"&gt;="&amp;0,tblDeaths[Age],"&lt;="&amp;28,tblDeaths[Sex],"M",tblDeaths[NHIS],"Insured")</f>
        <v>0</v>
      </c>
      <c r="N4" s="4">
        <f>COUNTIFS(tblDeaths[Month],2,tblDeaths[AgeUnit],"Days",tblDeaths[Age],"&gt;="&amp;0,tblDeaths[Age],"&lt;="&amp;28,tblDeaths[Sex],"F",tblDeaths[NHIS],"Insured")</f>
        <v>0</v>
      </c>
      <c r="O4" s="4" t="s">
        <v>164</v>
      </c>
      <c r="P4" s="4">
        <f>COUNTIFS(tblDeaths[Month],3,tblDeaths[AgeUnit],"Days",tblDeaths[Age],"&gt;="&amp;0,tblDeaths[Age],"&lt;="&amp;28,tblDeaths[Sex],"M")</f>
        <v>0</v>
      </c>
      <c r="Q4" s="4">
        <f>COUNTIFS(tblDeaths[Month],3,tblDeaths[AgeUnit],"Days",tblDeaths[Age],"&gt;="&amp;0,tblDeaths[Age],"&lt;="&amp;28,tblDeaths[Sex],"F")</f>
        <v>0</v>
      </c>
      <c r="R4" s="4">
        <f>COUNTIFS(tblDeaths[Month],3,tblDeaths[AgeUnit],"Days",tblDeaths[Age],"&gt;="&amp;0,tblDeaths[Age],"&lt;="&amp;28,tblDeaths[Sex],"M",tblDeaths[NHIS],"Non-Insured")</f>
        <v>0</v>
      </c>
      <c r="S4" s="4">
        <f>COUNTIFS(tblDeaths[Month],3,tblDeaths[AgeUnit],"Days",tblDeaths[Age],"&gt;="&amp;0,tblDeaths[Age],"&lt;="&amp;28,tblDeaths[Sex],"F",tblDeaths[NHIS],"Non-Insured")</f>
        <v>0</v>
      </c>
      <c r="T4" s="4">
        <f>COUNTIFS(tblDeaths[Month],3,tblDeaths[AgeUnit],"Days",tblDeaths[Age],"&gt;="&amp;0,tblDeaths[Age],"&lt;="&amp;28,tblDeaths[Sex],"M",tblDeaths[NHIS],"Insured")</f>
        <v>0</v>
      </c>
      <c r="U4" s="4">
        <f>COUNTIFS(tblDeaths[Month],3,tblDeaths[AgeUnit],"Days",tblDeaths[Age],"&gt;="&amp;0,tblDeaths[Age],"&lt;="&amp;28,tblDeaths[Sex],"F",tblDeaths[NHIS],"Insured")</f>
        <v>0</v>
      </c>
      <c r="V4" s="4" t="s">
        <v>164</v>
      </c>
      <c r="W4" s="4">
        <f>COUNTIFS(tblDeaths[Month],4,tblDeaths[AgeUnit],"Days",tblDeaths[Age],"&gt;="&amp;0,tblDeaths[Age],"&lt;="&amp;28,tblDeaths[Sex],"M")</f>
        <v>0</v>
      </c>
      <c r="X4" s="4">
        <f>COUNTIFS(tblDeaths[Month],4,tblDeaths[AgeUnit],"Days",tblDeaths[Age],"&gt;="&amp;0,tblDeaths[Age],"&lt;="&amp;28,tblDeaths[Sex],"F")</f>
        <v>0</v>
      </c>
      <c r="Y4" s="4">
        <f>COUNTIFS(tblDeaths[Month],4,tblDeaths[AgeUnit],"Days",tblDeaths[Age],"&gt;="&amp;0,tblDeaths[Age],"&lt;="&amp;28,tblDeaths[Sex],"M",tblDeaths[NHIS],"Non-Insured")</f>
        <v>0</v>
      </c>
      <c r="Z4" s="4">
        <f>COUNTIFS(tblDeaths[Month],4,tblDeaths[AgeUnit],"Days",tblDeaths[Age],"&gt;="&amp;0,tblDeaths[Age],"&lt;="&amp;28,tblDeaths[Sex],"F",tblDeaths[NHIS],"Non-Insured")</f>
        <v>0</v>
      </c>
      <c r="AA4" s="4">
        <f>COUNTIFS(tblDeaths[Month],4,tblDeaths[AgeUnit],"Days",tblDeaths[Age],"&gt;="&amp;0,tblDeaths[Age],"&lt;="&amp;28,tblDeaths[Sex],"M",tblDeaths[NHIS],"Insured")</f>
        <v>0</v>
      </c>
      <c r="AB4" s="4">
        <f>COUNTIFS(tblDeaths[Month],4,tblDeaths[AgeUnit],"Days",tblDeaths[Age],"&gt;="&amp;0,tblDeaths[Age],"&lt;="&amp;28,tblDeaths[Sex],"F",tblDeaths[NHIS],"Insured")</f>
        <v>0</v>
      </c>
      <c r="AC4" s="4" t="s">
        <v>164</v>
      </c>
      <c r="AD4" s="4">
        <f>COUNTIFS(tblDeaths[Month],5,tblDeaths[AgeUnit],"Days",tblDeaths[Age],"&gt;="&amp;0,tblDeaths[Age],"&lt;="&amp;28,tblDeaths[Sex],"M")</f>
        <v>0</v>
      </c>
      <c r="AE4" s="4">
        <f>COUNTIFS(tblDeaths[Month],5,tblDeaths[AgeUnit],"Days",tblDeaths[Age],"&gt;="&amp;0,tblDeaths[Age],"&lt;="&amp;28,tblDeaths[Sex],"F")</f>
        <v>0</v>
      </c>
      <c r="AF4" s="4">
        <f>COUNTIFS(tblDeaths[Month],5,tblDeaths[AgeUnit],"Days",tblDeaths[Age],"&gt;="&amp;0,tblDeaths[Age],"&lt;="&amp;28,tblDeaths[Sex],"M",tblDeaths[NHIS],"Non-Insured")</f>
        <v>0</v>
      </c>
      <c r="AG4" s="4">
        <f>COUNTIFS(tblDeaths[Month],5,tblDeaths[AgeUnit],"Days",tblDeaths[Age],"&gt;="&amp;0,tblDeaths[Age],"&lt;="&amp;28,tblDeaths[Sex],"F",tblDeaths[NHIS],"Non-Insured")</f>
        <v>0</v>
      </c>
      <c r="AH4" s="4">
        <f>COUNTIFS(tblDeaths[Month],5,tblDeaths[AgeUnit],"Days",tblDeaths[Age],"&gt;="&amp;0,tblDeaths[Age],"&lt;="&amp;28,tblDeaths[Sex],"M",tblDeaths[NHIS],"Insured")</f>
        <v>0</v>
      </c>
      <c r="AI4" s="4">
        <f>COUNTIFS(tblDeaths[Month],5,tblDeaths[AgeUnit],"Days",tblDeaths[Age],"&gt;="&amp;0,tblDeaths[Age],"&lt;="&amp;28,tblDeaths[Sex],"F",tblDeaths[NHIS],"Insured")</f>
        <v>0</v>
      </c>
      <c r="AJ4" s="4" t="s">
        <v>164</v>
      </c>
      <c r="AK4" s="4">
        <f>COUNTIFS(tblDeaths[Month],6,tblDeaths[AgeUnit],"Days",tblDeaths[Age],"&gt;="&amp;0,tblDeaths[Age],"&lt;="&amp;28,tblDeaths[Sex],"M")</f>
        <v>0</v>
      </c>
      <c r="AL4" s="4">
        <f>COUNTIFS(tblDeaths[Month],6,tblDeaths[AgeUnit],"Days",tblDeaths[Age],"&gt;="&amp;0,tblDeaths[Age],"&lt;="&amp;28,tblDeaths[Sex],"F")</f>
        <v>0</v>
      </c>
      <c r="AM4" s="4">
        <f>COUNTIFS(tblDeaths[Month],6,tblDeaths[AgeUnit],"Days",tblDeaths[Age],"&gt;="&amp;0,tblDeaths[Age],"&lt;="&amp;28,tblDeaths[Sex],"M",tblDeaths[NHIS],"Non-Insured")</f>
        <v>0</v>
      </c>
      <c r="AN4" s="4">
        <f>COUNTIFS(tblDeaths[Month],6,tblDeaths[AgeUnit],"Days",tblDeaths[Age],"&gt;="&amp;0,tblDeaths[Age],"&lt;="&amp;28,tblDeaths[Sex],"F",tblDeaths[NHIS],"Non-Insured")</f>
        <v>0</v>
      </c>
      <c r="AO4" s="4">
        <f>COUNTIFS(tblDeaths[Month],6,tblDeaths[AgeUnit],"Days",tblDeaths[Age],"&gt;="&amp;0,tblDeaths[Age],"&lt;="&amp;28,tblDeaths[Sex],"M",tblDeaths[NHIS],"Insured")</f>
        <v>0</v>
      </c>
      <c r="AP4" s="4">
        <f>COUNTIFS(tblDeaths[Month],6,tblDeaths[AgeUnit],"Days",tblDeaths[Age],"&gt;="&amp;0,tblDeaths[Age],"&lt;="&amp;28,tblDeaths[Sex],"F",tblDeaths[NHIS],"Insured")</f>
        <v>0</v>
      </c>
      <c r="AQ4" s="4" t="s">
        <v>164</v>
      </c>
      <c r="AR4" s="4">
        <f>COUNTIFS(tblDeaths[Month],7,tblDeaths[AgeUnit],"Days",tblDeaths[Age],"&gt;="&amp;0,tblDeaths[Age],"&lt;="&amp;28,tblDeaths[Sex],"M")</f>
        <v>0</v>
      </c>
      <c r="AS4" s="4">
        <f>COUNTIFS(tblDeaths[Month],7,tblDeaths[AgeUnit],"Days",tblDeaths[Age],"&gt;="&amp;0,tblDeaths[Age],"&lt;="&amp;28,tblDeaths[Sex],"F")</f>
        <v>0</v>
      </c>
      <c r="AT4" s="4">
        <f>COUNTIFS(tblDeaths[Month],7,tblDeaths[AgeUnit],"Days",tblDeaths[Age],"&gt;="&amp;0,tblDeaths[Age],"&lt;="&amp;28,tblDeaths[Sex],"M",tblDeaths[NHIS],"Non-Insured")</f>
        <v>0</v>
      </c>
      <c r="AU4" s="4">
        <f>COUNTIFS(tblDeaths[Month],7,tblDeaths[AgeUnit],"Days",tblDeaths[Age],"&gt;="&amp;0,tblDeaths[Age],"&lt;="&amp;28,tblDeaths[Sex],"F",tblDeaths[NHIS],"Non-Insured")</f>
        <v>0</v>
      </c>
      <c r="AV4" s="4">
        <f>COUNTIFS(tblDeaths[Month],7,tblDeaths[AgeUnit],"Days",tblDeaths[Age],"&gt;="&amp;0,tblDeaths[Age],"&lt;="&amp;28,tblDeaths[Sex],"M",tblDeaths[NHIS],"Insured")</f>
        <v>0</v>
      </c>
      <c r="AW4" s="4">
        <f>COUNTIFS(tblDeaths[Month],7,tblDeaths[AgeUnit],"Days",tblDeaths[Age],"&gt;="&amp;0,tblDeaths[Age],"&lt;="&amp;28,tblDeaths[Sex],"F",tblDeaths[NHIS],"Insured")</f>
        <v>0</v>
      </c>
      <c r="AX4" s="4" t="s">
        <v>164</v>
      </c>
      <c r="AY4" s="4">
        <f>COUNTIFS(tblDeaths[Month],8,tblDeaths[AgeUnit],"Days",tblDeaths[Age],"&gt;="&amp;0,tblDeaths[Age],"&lt;="&amp;28,tblDeaths[Sex],"M")</f>
        <v>0</v>
      </c>
      <c r="AZ4" s="4">
        <f>COUNTIFS(tblDeaths[Month],8,tblDeaths[AgeUnit],"Days",tblDeaths[Age],"&gt;="&amp;0,tblDeaths[Age],"&lt;="&amp;28,tblDeaths[Sex],"F")</f>
        <v>0</v>
      </c>
      <c r="BA4" s="4">
        <f>COUNTIFS(tblDeaths[Month],8,tblDeaths[AgeUnit],"Days",tblDeaths[Age],"&gt;="&amp;0,tblDeaths[Age],"&lt;="&amp;28,tblDeaths[Sex],"M",tblDeaths[NHIS],"Non-Insured")</f>
        <v>0</v>
      </c>
      <c r="BB4" s="4">
        <f>COUNTIFS(tblDeaths[Month],8,tblDeaths[AgeUnit],"Days",tblDeaths[Age],"&gt;="&amp;0,tblDeaths[Age],"&lt;="&amp;28,tblDeaths[Sex],"F",tblDeaths[NHIS],"Non-Insured")</f>
        <v>0</v>
      </c>
      <c r="BC4" s="4">
        <f>COUNTIFS(tblDeaths[Month],8,tblDeaths[AgeUnit],"Days",tblDeaths[Age],"&gt;="&amp;0,tblDeaths[Age],"&lt;="&amp;28,tblDeaths[Sex],"M",tblDeaths[NHIS],"Insured")</f>
        <v>0</v>
      </c>
      <c r="BD4" s="4">
        <f>COUNTIFS(tblDeaths[Month],8,tblDeaths[AgeUnit],"Days",tblDeaths[Age],"&gt;="&amp;0,tblDeaths[Age],"&lt;="&amp;28,tblDeaths[Sex],"F",tblDeaths[NHIS],"Insured")</f>
        <v>0</v>
      </c>
      <c r="BE4" s="4" t="s">
        <v>164</v>
      </c>
      <c r="BF4" s="4">
        <f>COUNTIFS(tblDeaths[Month],9,tblDeaths[AgeUnit],"Days",tblDeaths[Age],"&gt;="&amp;0,tblDeaths[Age],"&lt;="&amp;28,tblDeaths[Sex],"M")</f>
        <v>0</v>
      </c>
      <c r="BG4" s="4">
        <f>COUNTIFS(tblDeaths[Month],9,tblDeaths[AgeUnit],"Days",tblDeaths[Age],"&gt;="&amp;0,tblDeaths[Age],"&lt;="&amp;28,tblDeaths[Sex],"F")</f>
        <v>0</v>
      </c>
      <c r="BH4" s="4">
        <f>COUNTIFS(tblDeaths[Month],9,tblDeaths[AgeUnit],"Days",tblDeaths[Age],"&gt;="&amp;0,tblDeaths[Age],"&lt;="&amp;28,tblDeaths[Sex],"M",tblDeaths[NHIS],"Non-Insured")</f>
        <v>0</v>
      </c>
      <c r="BI4" s="4">
        <f>COUNTIFS(tblDeaths[Month],9,tblDeaths[AgeUnit],"Days",tblDeaths[Age],"&gt;="&amp;0,tblDeaths[Age],"&lt;="&amp;28,tblDeaths[Sex],"F",tblDeaths[NHIS],"Non-Insured")</f>
        <v>0</v>
      </c>
      <c r="BJ4" s="4">
        <f>COUNTIFS(tblDeaths[Month],9,tblDeaths[AgeUnit],"Days",tblDeaths[Age],"&gt;="&amp;0,tblDeaths[Age],"&lt;="&amp;28,tblDeaths[Sex],"M",tblDeaths[NHIS],"Insured")</f>
        <v>0</v>
      </c>
      <c r="BK4" s="4">
        <f>COUNTIFS(tblDeaths[Month],9,tblDeaths[AgeUnit],"Days",tblDeaths[Age],"&gt;="&amp;0,tblDeaths[Age],"&lt;="&amp;28,tblDeaths[Sex],"F",tblDeaths[NHIS],"Insured")</f>
        <v>0</v>
      </c>
      <c r="BL4" s="4" t="s">
        <v>164</v>
      </c>
      <c r="BM4" s="4">
        <f>COUNTIFS(tblDeaths[Month],10,tblDeaths[AgeUnit],"Days",tblDeaths[Age],"&gt;="&amp;0,tblDeaths[Age],"&lt;="&amp;28,tblDeaths[Sex],"M")</f>
        <v>0</v>
      </c>
      <c r="BN4" s="4">
        <f>COUNTIFS(tblDeaths[Month],10,tblDeaths[AgeUnit],"Days",tblDeaths[Age],"&gt;="&amp;0,tblDeaths[Age],"&lt;="&amp;28,tblDeaths[Sex],"F")</f>
        <v>0</v>
      </c>
      <c r="BO4" s="4">
        <f>COUNTIFS(tblDeaths[Month],10,tblDeaths[AgeUnit],"Days",tblDeaths[Age],"&gt;="&amp;0,tblDeaths[Age],"&lt;="&amp;28,tblDeaths[Sex],"M",tblDeaths[NHIS],"Non-Insured")</f>
        <v>0</v>
      </c>
      <c r="BP4" s="4">
        <f>COUNTIFS(tblDeaths[Month],10,tblDeaths[AgeUnit],"Days",tblDeaths[Age],"&gt;="&amp;0,tblDeaths[Age],"&lt;="&amp;28,tblDeaths[Sex],"F",tblDeaths[NHIS],"Non-Insured")</f>
        <v>0</v>
      </c>
      <c r="BQ4" s="4">
        <f>COUNTIFS(tblDeaths[Month],10,tblDeaths[AgeUnit],"Days",tblDeaths[Age],"&gt;="&amp;0,tblDeaths[Age],"&lt;="&amp;28,tblDeaths[Sex],"M",tblDeaths[NHIS],"Insured")</f>
        <v>0</v>
      </c>
      <c r="BR4" s="4">
        <f>COUNTIFS(tblDeaths[Month],10,tblDeaths[AgeUnit],"Days",tblDeaths[Age],"&gt;="&amp;0,tblDeaths[Age],"&lt;="&amp;28,tblDeaths[Sex],"F",tblDeaths[NHIS],"Insured")</f>
        <v>0</v>
      </c>
      <c r="BS4" s="4" t="s">
        <v>164</v>
      </c>
      <c r="BT4" s="4">
        <f>COUNTIFS(tblDeaths[Month],11,tblDeaths[AgeUnit],"Days",tblDeaths[Age],"&gt;="&amp;0,tblDeaths[Age],"&lt;="&amp;28,tblDeaths[Sex],"M")</f>
        <v>0</v>
      </c>
      <c r="BU4" s="4">
        <f>COUNTIFS(tblDeaths[Month],11,tblDeaths[AgeUnit],"Days",tblDeaths[Age],"&gt;="&amp;0,tblDeaths[Age],"&lt;="&amp;28,tblDeaths[Sex],"F")</f>
        <v>0</v>
      </c>
      <c r="BV4" s="4">
        <f>COUNTIFS(tblDeaths[Month],11,tblDeaths[AgeUnit],"Days",tblDeaths[Age],"&gt;="&amp;0,tblDeaths[Age],"&lt;="&amp;28,tblDeaths[Sex],"M",tblDeaths[NHIS],"Non-Insured")</f>
        <v>0</v>
      </c>
      <c r="BW4" s="4">
        <f>COUNTIFS(tblDeaths[Month],11,tblDeaths[AgeUnit],"Days",tblDeaths[Age],"&gt;="&amp;0,tblDeaths[Age],"&lt;="&amp;28,tblDeaths[Sex],"F",tblDeaths[NHIS],"Non-Insured")</f>
        <v>0</v>
      </c>
      <c r="BX4" s="4">
        <f>COUNTIFS(tblDeaths[Month],11,tblDeaths[AgeUnit],"Days",tblDeaths[Age],"&gt;="&amp;0,tblDeaths[Age],"&lt;="&amp;28,tblDeaths[Sex],"M",tblDeaths[NHIS],"Insured")</f>
        <v>0</v>
      </c>
      <c r="BY4" s="4">
        <f>COUNTIFS(tblDeaths[Month],11,tblDeaths[AgeUnit],"Days",tblDeaths[Age],"&gt;="&amp;0,tblDeaths[Age],"&lt;="&amp;28,tblDeaths[Sex],"F",tblDeaths[NHIS],"Insured")</f>
        <v>0</v>
      </c>
      <c r="BZ4" s="4" t="s">
        <v>164</v>
      </c>
      <c r="CA4" s="4">
        <f>COUNTIFS(tblDeaths[Month],12,tblDeaths[AgeUnit],"Days",tblDeaths[Age],"&gt;="&amp;0,tblDeaths[Age],"&lt;="&amp;28,tblDeaths[Sex],"M")</f>
        <v>0</v>
      </c>
      <c r="CB4" s="4">
        <f>COUNTIFS(tblDeaths[Month],12,tblDeaths[AgeUnit],"Days",tblDeaths[Age],"&gt;="&amp;0,tblDeaths[Age],"&lt;="&amp;28,tblDeaths[Sex],"F")</f>
        <v>0</v>
      </c>
      <c r="CC4" s="4">
        <f>COUNTIFS(tblDeaths[Month],12,tblDeaths[AgeUnit],"Days",tblDeaths[Age],"&gt;="&amp;0,tblDeaths[Age],"&lt;="&amp;28,tblDeaths[Sex],"M",tblDeaths[NHIS],"Non-Insured")</f>
        <v>0</v>
      </c>
      <c r="CD4" s="4">
        <f>COUNTIFS(tblDeaths[Month],12,tblDeaths[AgeUnit],"Days",tblDeaths[Age],"&gt;="&amp;0,tblDeaths[Age],"&lt;="&amp;28,tblDeaths[Sex],"F",tblDeaths[NHIS],"Non-Insured")</f>
        <v>0</v>
      </c>
      <c r="CE4" s="4">
        <f>COUNTIFS(tblDeaths[Month],12,tblDeaths[AgeUnit],"Days",tblDeaths[Age],"&gt;="&amp;0,tblDeaths[Age],"&lt;="&amp;28,tblDeaths[Sex],"M",tblDeaths[NHIS],"Insured")</f>
        <v>0</v>
      </c>
      <c r="CF4" s="4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4" t="s">
        <v>165</v>
      </c>
      <c r="B5" s="4">
        <f>COUNTIFS(tblDeaths[Month],1,tblDeaths[AgeUnit],"Months",tblDeaths[Age],"&gt;="&amp;1,tblDeaths[Age],"&lt;="&amp;11,tblDeaths[Sex],"M")</f>
        <v>0</v>
      </c>
      <c r="C5" s="4">
        <f>COUNTIFS(tblDeaths[Month],1,tblDeaths[AgeUnit],"Months",tblDeaths[Age],"&gt;="&amp;1,tblDeaths[Age],"&lt;="&amp;11,tblDeaths[Sex],"F")</f>
        <v>0</v>
      </c>
      <c r="D5" s="4">
        <f>COUNTIFS(tblDeaths[Month],1,tblDeaths[AgeUnit],"Months",tblDeaths[Age],"&gt;="&amp;1,tblDeaths[Age],"&lt;="&amp;11,tblDeaths[Sex],"M",tblDeaths[NHIS],"Non-Insured")</f>
        <v>0</v>
      </c>
      <c r="E5" s="4">
        <f>COUNTIFS(tblDeaths[Month],1,tblDeaths[AgeUnit],"Months",tblDeaths[Age],"&gt;="&amp;1,tblDeaths[Age],"&lt;="&amp;11,tblDeaths[Sex],"F",tblDeaths[NHIS],"Non-Insured")</f>
        <v>0</v>
      </c>
      <c r="F5" s="4">
        <f>COUNTIFS(tblDeaths[Month],1,tblDeaths[AgeUnit],"Months",tblDeaths[Age],"&gt;="&amp;1,tblDeaths[Age],"&lt;="&amp;11,tblDeaths[Sex],"M",tblDeaths[NHIS],"Insured")</f>
        <v>0</v>
      </c>
      <c r="G5" s="4">
        <f>COUNTIFS(tblDeaths[Month],1,tblDeaths[AgeUnit],"Months",tblDeaths[Age],"&gt;="&amp;1,tblDeaths[Age],"&lt;="&amp;11,tblDeaths[Sex],"F",tblDeaths[NHIS],"Insured")</f>
        <v>0</v>
      </c>
      <c r="H5" s="4" t="s">
        <v>165</v>
      </c>
      <c r="I5" s="4">
        <f>COUNTIFS(tblDeaths[Month],2,tblDeaths[AgeUnit],"Months",tblDeaths[Age],"&gt;="&amp;1,tblDeaths[Age],"&lt;="&amp;11,tblDeaths[Sex],"M")</f>
        <v>0</v>
      </c>
      <c r="J5" s="4">
        <f>COUNTIFS(tblDeaths[Month],2,tblDeaths[AgeUnit],"Months",tblDeaths[Age],"&gt;="&amp;1,tblDeaths[Age],"&lt;="&amp;11,tblDeaths[Sex],"F")</f>
        <v>0</v>
      </c>
      <c r="K5" s="4">
        <f>COUNTIFS(tblDeaths[Month],2,tblDeaths[AgeUnit],"Months",tblDeaths[Age],"&gt;="&amp;1,tblDeaths[Age],"&lt;="&amp;11,tblDeaths[Sex],"M",tblDeaths[NHIS],"Non-Insured")</f>
        <v>0</v>
      </c>
      <c r="L5" s="4">
        <f>COUNTIFS(tblDeaths[Month],2,tblDeaths[AgeUnit],"Months",tblDeaths[Age],"&gt;="&amp;1,tblDeaths[Age],"&lt;="&amp;11,tblDeaths[Sex],"F",tblDeaths[NHIS],"Non-Insured")</f>
        <v>0</v>
      </c>
      <c r="M5" s="4">
        <f>COUNTIFS(tblDeaths[Month],2,tblDeaths[AgeUnit],"Months",tblDeaths[Age],"&gt;="&amp;1,tblDeaths[Age],"&lt;="&amp;11,tblDeaths[Sex],"M",tblDeaths[NHIS],"Insured")</f>
        <v>0</v>
      </c>
      <c r="N5" s="4">
        <f>COUNTIFS(tblDeaths[Month],2,tblDeaths[AgeUnit],"Months",tblDeaths[Age],"&gt;="&amp;1,tblDeaths[Age],"&lt;="&amp;11,tblDeaths[Sex],"F",tblDeaths[NHIS],"Insured")</f>
        <v>0</v>
      </c>
      <c r="O5" s="4" t="s">
        <v>165</v>
      </c>
      <c r="P5" s="4">
        <f>COUNTIFS(tblDeaths[Month],3,tblDeaths[AgeUnit],"Months",tblDeaths[Age],"&gt;="&amp;1,tblDeaths[Age],"&lt;="&amp;11,tblDeaths[Sex],"M")</f>
        <v>0</v>
      </c>
      <c r="Q5" s="4">
        <f>COUNTIFS(tblDeaths[Month],3,tblDeaths[AgeUnit],"Months",tblDeaths[Age],"&gt;="&amp;1,tblDeaths[Age],"&lt;="&amp;11,tblDeaths[Sex],"F")</f>
        <v>0</v>
      </c>
      <c r="R5" s="4">
        <f>COUNTIFS(tblDeaths[Month],3,tblDeaths[AgeUnit],"Months",tblDeaths[Age],"&gt;="&amp;1,tblDeaths[Age],"&lt;="&amp;11,tblDeaths[Sex],"M",tblDeaths[NHIS],"Non-Insured")</f>
        <v>0</v>
      </c>
      <c r="S5" s="4">
        <f>COUNTIFS(tblDeaths[Month],3,tblDeaths[AgeUnit],"Months",tblDeaths[Age],"&gt;="&amp;1,tblDeaths[Age],"&lt;="&amp;11,tblDeaths[Sex],"F",tblDeaths[NHIS],"Non-Insured")</f>
        <v>0</v>
      </c>
      <c r="T5" s="4">
        <f>COUNTIFS(tblDeaths[Month],3,tblDeaths[AgeUnit],"Months",tblDeaths[Age],"&gt;="&amp;1,tblDeaths[Age],"&lt;="&amp;11,tblDeaths[Sex],"M",tblDeaths[NHIS],"Insured")</f>
        <v>0</v>
      </c>
      <c r="U5" s="4">
        <f>COUNTIFS(tblDeaths[Month],3,tblDeaths[AgeUnit],"Months",tblDeaths[Age],"&gt;="&amp;1,tblDeaths[Age],"&lt;="&amp;11,tblDeaths[Sex],"F",tblDeaths[NHIS],"Insured")</f>
        <v>0</v>
      </c>
      <c r="V5" s="4" t="s">
        <v>165</v>
      </c>
      <c r="W5" s="4">
        <f>COUNTIFS(tblDeaths[Month],4,tblDeaths[AgeUnit],"Months",tblDeaths[Age],"&gt;="&amp;1,tblDeaths[Age],"&lt;="&amp;11,tblDeaths[Sex],"M")</f>
        <v>0</v>
      </c>
      <c r="X5" s="4">
        <f>COUNTIFS(tblDeaths[Month],4,tblDeaths[AgeUnit],"Months",tblDeaths[Age],"&gt;="&amp;1,tblDeaths[Age],"&lt;="&amp;11,tblDeaths[Sex],"F")</f>
        <v>0</v>
      </c>
      <c r="Y5" s="4">
        <f>COUNTIFS(tblDeaths[Month],4,tblDeaths[AgeUnit],"Months",tblDeaths[Age],"&gt;="&amp;1,tblDeaths[Age],"&lt;="&amp;11,tblDeaths[Sex],"M",tblDeaths[NHIS],"Non-Insured")</f>
        <v>0</v>
      </c>
      <c r="Z5" s="4">
        <f>COUNTIFS(tblDeaths[Month],4,tblDeaths[AgeUnit],"Months",tblDeaths[Age],"&gt;="&amp;1,tblDeaths[Age],"&lt;="&amp;11,tblDeaths[Sex],"F",tblDeaths[NHIS],"Non-Insured")</f>
        <v>0</v>
      </c>
      <c r="AA5" s="4">
        <f>COUNTIFS(tblDeaths[Month],4,tblDeaths[AgeUnit],"Months",tblDeaths[Age],"&gt;="&amp;1,tblDeaths[Age],"&lt;="&amp;11,tblDeaths[Sex],"M",tblDeaths[NHIS],"Insured")</f>
        <v>0</v>
      </c>
      <c r="AB5" s="4">
        <f>COUNTIFS(tblDeaths[Month],4,tblDeaths[AgeUnit],"Months",tblDeaths[Age],"&gt;="&amp;1,tblDeaths[Age],"&lt;="&amp;11,tblDeaths[Sex],"F",tblDeaths[NHIS],"Insured")</f>
        <v>0</v>
      </c>
      <c r="AC5" s="4" t="s">
        <v>165</v>
      </c>
      <c r="AD5" s="4">
        <f>COUNTIFS(tblDeaths[Month],5,tblDeaths[AgeUnit],"Months",tblDeaths[Age],"&gt;="&amp;1,tblDeaths[Age],"&lt;="&amp;11,tblDeaths[Sex],"M")</f>
        <v>0</v>
      </c>
      <c r="AE5" s="4">
        <f>COUNTIFS(tblDeaths[Month],5,tblDeaths[AgeUnit],"Months",tblDeaths[Age],"&gt;="&amp;1,tblDeaths[Age],"&lt;="&amp;11,tblDeaths[Sex],"F")</f>
        <v>0</v>
      </c>
      <c r="AF5" s="4">
        <f>COUNTIFS(tblDeaths[Month],5,tblDeaths[AgeUnit],"Months",tblDeaths[Age],"&gt;="&amp;1,tblDeaths[Age],"&lt;="&amp;11,tblDeaths[Sex],"M",tblDeaths[NHIS],"Non-Insured")</f>
        <v>0</v>
      </c>
      <c r="AG5" s="4">
        <f>COUNTIFS(tblDeaths[Month],5,tblDeaths[AgeUnit],"Months",tblDeaths[Age],"&gt;="&amp;1,tblDeaths[Age],"&lt;="&amp;11,tblDeaths[Sex],"F",tblDeaths[NHIS],"Non-Insured")</f>
        <v>0</v>
      </c>
      <c r="AH5" s="4">
        <f>COUNTIFS(tblDeaths[Month],5,tblDeaths[AgeUnit],"Months",tblDeaths[Age],"&gt;="&amp;1,tblDeaths[Age],"&lt;="&amp;11,tblDeaths[Sex],"M",tblDeaths[NHIS],"Insured")</f>
        <v>0</v>
      </c>
      <c r="AI5" s="4">
        <f>COUNTIFS(tblDeaths[Month],5,tblDeaths[AgeUnit],"Months",tblDeaths[Age],"&gt;="&amp;1,tblDeaths[Age],"&lt;="&amp;11,tblDeaths[Sex],"F",tblDeaths[NHIS],"Insured")</f>
        <v>0</v>
      </c>
      <c r="AJ5" s="4" t="s">
        <v>165</v>
      </c>
      <c r="AK5" s="4">
        <f>COUNTIFS(tblDeaths[Month],6,tblDeaths[AgeUnit],"Months",tblDeaths[Age],"&gt;="&amp;1,tblDeaths[Age],"&lt;="&amp;11,tblDeaths[Sex],"M")</f>
        <v>0</v>
      </c>
      <c r="AL5" s="4">
        <f>COUNTIFS(tblDeaths[Month],6,tblDeaths[AgeUnit],"Months",tblDeaths[Age],"&gt;="&amp;1,tblDeaths[Age],"&lt;="&amp;11,tblDeaths[Sex],"F")</f>
        <v>0</v>
      </c>
      <c r="AM5" s="4">
        <f>COUNTIFS(tblDeaths[Month],6,tblDeaths[AgeUnit],"Months",tblDeaths[Age],"&gt;="&amp;1,tblDeaths[Age],"&lt;="&amp;11,tblDeaths[Sex],"M",tblDeaths[NHIS],"Non-Insured")</f>
        <v>0</v>
      </c>
      <c r="AN5" s="4">
        <f>COUNTIFS(tblDeaths[Month],6,tblDeaths[AgeUnit],"Months",tblDeaths[Age],"&gt;="&amp;1,tblDeaths[Age],"&lt;="&amp;11,tblDeaths[Sex],"F",tblDeaths[NHIS],"Non-Insured")</f>
        <v>0</v>
      </c>
      <c r="AO5" s="4">
        <f>COUNTIFS(tblDeaths[Month],6,tblDeaths[AgeUnit],"Months",tblDeaths[Age],"&gt;="&amp;1,tblDeaths[Age],"&lt;="&amp;11,tblDeaths[Sex],"M",tblDeaths[NHIS],"Insured")</f>
        <v>0</v>
      </c>
      <c r="AP5" s="4">
        <f>COUNTIFS(tblDeaths[Month],6,tblDeaths[AgeUnit],"Months",tblDeaths[Age],"&gt;="&amp;1,tblDeaths[Age],"&lt;="&amp;11,tblDeaths[Sex],"F",tblDeaths[NHIS],"Insured")</f>
        <v>0</v>
      </c>
      <c r="AQ5" s="4" t="s">
        <v>165</v>
      </c>
      <c r="AR5" s="4">
        <f>COUNTIFS(tblDeaths[Month],7,tblDeaths[AgeUnit],"Months",tblDeaths[Age],"&gt;="&amp;1,tblDeaths[Age],"&lt;="&amp;11,tblDeaths[Sex],"M")</f>
        <v>0</v>
      </c>
      <c r="AS5" s="4">
        <f>COUNTIFS(tblDeaths[Month],7,tblDeaths[AgeUnit],"Months",tblDeaths[Age],"&gt;="&amp;1,tblDeaths[Age],"&lt;="&amp;11,tblDeaths[Sex],"F")</f>
        <v>0</v>
      </c>
      <c r="AT5" s="4">
        <f>COUNTIFS(tblDeaths[Month],7,tblDeaths[AgeUnit],"Months",tblDeaths[Age],"&gt;="&amp;1,tblDeaths[Age],"&lt;="&amp;11,tblDeaths[Sex],"M",tblDeaths[NHIS],"Non-Insured")</f>
        <v>0</v>
      </c>
      <c r="AU5" s="4">
        <f>COUNTIFS(tblDeaths[Month],7,tblDeaths[AgeUnit],"Months",tblDeaths[Age],"&gt;="&amp;1,tblDeaths[Age],"&lt;="&amp;11,tblDeaths[Sex],"F",tblDeaths[NHIS],"Non-Insured")</f>
        <v>0</v>
      </c>
      <c r="AV5" s="4">
        <f>COUNTIFS(tblDeaths[Month],7,tblDeaths[AgeUnit],"Months",tblDeaths[Age],"&gt;="&amp;1,tblDeaths[Age],"&lt;="&amp;11,tblDeaths[Sex],"M",tblDeaths[NHIS],"Insured")</f>
        <v>0</v>
      </c>
      <c r="AW5" s="4">
        <f>COUNTIFS(tblDeaths[Month],7,tblDeaths[AgeUnit],"Months",tblDeaths[Age],"&gt;="&amp;1,tblDeaths[Age],"&lt;="&amp;11,tblDeaths[Sex],"F",tblDeaths[NHIS],"Insured")</f>
        <v>0</v>
      </c>
      <c r="AX5" s="4" t="s">
        <v>165</v>
      </c>
      <c r="AY5" s="4">
        <f>COUNTIFS(tblDeaths[Month],8,tblDeaths[AgeUnit],"Months",tblDeaths[Age],"&gt;="&amp;1,tblDeaths[Age],"&lt;="&amp;11,tblDeaths[Sex],"M")</f>
        <v>0</v>
      </c>
      <c r="AZ5" s="4">
        <f>COUNTIFS(tblDeaths[Month],8,tblDeaths[AgeUnit],"Months",tblDeaths[Age],"&gt;="&amp;1,tblDeaths[Age],"&lt;="&amp;11,tblDeaths[Sex],"F")</f>
        <v>0</v>
      </c>
      <c r="BA5" s="4">
        <f>COUNTIFS(tblDeaths[Month],8,tblDeaths[AgeUnit],"Months",tblDeaths[Age],"&gt;="&amp;1,tblDeaths[Age],"&lt;="&amp;11,tblDeaths[Sex],"M",tblDeaths[NHIS],"Non-Insured")</f>
        <v>0</v>
      </c>
      <c r="BB5" s="4">
        <f>COUNTIFS(tblDeaths[Month],8,tblDeaths[AgeUnit],"Months",tblDeaths[Age],"&gt;="&amp;1,tblDeaths[Age],"&lt;="&amp;11,tblDeaths[Sex],"F",tblDeaths[NHIS],"Non-Insured")</f>
        <v>0</v>
      </c>
      <c r="BC5" s="4">
        <f>COUNTIFS(tblDeaths[Month],8,tblDeaths[AgeUnit],"Months",tblDeaths[Age],"&gt;="&amp;1,tblDeaths[Age],"&lt;="&amp;11,tblDeaths[Sex],"M",tblDeaths[NHIS],"Insured")</f>
        <v>0</v>
      </c>
      <c r="BD5" s="4">
        <f>COUNTIFS(tblDeaths[Month],8,tblDeaths[AgeUnit],"Months",tblDeaths[Age],"&gt;="&amp;1,tblDeaths[Age],"&lt;="&amp;11,tblDeaths[Sex],"F",tblDeaths[NHIS],"Insured")</f>
        <v>0</v>
      </c>
      <c r="BE5" s="4" t="s">
        <v>165</v>
      </c>
      <c r="BF5" s="4">
        <f>COUNTIFS(tblDeaths[Month],9,tblDeaths[AgeUnit],"Months",tblDeaths[Age],"&gt;="&amp;1,tblDeaths[Age],"&lt;="&amp;11,tblDeaths[Sex],"M")</f>
        <v>0</v>
      </c>
      <c r="BG5" s="4">
        <f>COUNTIFS(tblDeaths[Month],9,tblDeaths[AgeUnit],"Months",tblDeaths[Age],"&gt;="&amp;1,tblDeaths[Age],"&lt;="&amp;11,tblDeaths[Sex],"F")</f>
        <v>0</v>
      </c>
      <c r="BH5" s="4">
        <f>COUNTIFS(tblDeaths[Month],9,tblDeaths[AgeUnit],"Months",tblDeaths[Age],"&gt;="&amp;1,tblDeaths[Age],"&lt;="&amp;11,tblDeaths[Sex],"M",tblDeaths[NHIS],"Non-Insured")</f>
        <v>0</v>
      </c>
      <c r="BI5" s="4">
        <f>COUNTIFS(tblDeaths[Month],9,tblDeaths[AgeUnit],"Months",tblDeaths[Age],"&gt;="&amp;1,tblDeaths[Age],"&lt;="&amp;11,tblDeaths[Sex],"F",tblDeaths[NHIS],"Non-Insured")</f>
        <v>0</v>
      </c>
      <c r="BJ5" s="4">
        <f>COUNTIFS(tblDeaths[Month],9,tblDeaths[AgeUnit],"Months",tblDeaths[Age],"&gt;="&amp;1,tblDeaths[Age],"&lt;="&amp;11,tblDeaths[Sex],"M",tblDeaths[NHIS],"Insured")</f>
        <v>0</v>
      </c>
      <c r="BK5" s="4">
        <f>COUNTIFS(tblDeaths[Month],9,tblDeaths[AgeUnit],"Months",tblDeaths[Age],"&gt;="&amp;1,tblDeaths[Age],"&lt;="&amp;11,tblDeaths[Sex],"F",tblDeaths[NHIS],"Insured")</f>
        <v>0</v>
      </c>
      <c r="BL5" s="4" t="s">
        <v>165</v>
      </c>
      <c r="BM5" s="4">
        <f>COUNTIFS(tblDeaths[Month],10,tblDeaths[AgeUnit],"Months",tblDeaths[Age],"&gt;="&amp;1,tblDeaths[Age],"&lt;="&amp;11,tblDeaths[Sex],"M")</f>
        <v>0</v>
      </c>
      <c r="BN5" s="4">
        <f>COUNTIFS(tblDeaths[Month],10,tblDeaths[AgeUnit],"Months",tblDeaths[Age],"&gt;="&amp;1,tblDeaths[Age],"&lt;="&amp;11,tblDeaths[Sex],"F")</f>
        <v>0</v>
      </c>
      <c r="BO5" s="4">
        <f>COUNTIFS(tblDeaths[Month],10,tblDeaths[AgeUnit],"Months",tblDeaths[Age],"&gt;="&amp;1,tblDeaths[Age],"&lt;="&amp;11,tblDeaths[Sex],"M",tblDeaths[NHIS],"Non-Insured")</f>
        <v>0</v>
      </c>
      <c r="BP5" s="4">
        <f>COUNTIFS(tblDeaths[Month],10,tblDeaths[AgeUnit],"Months",tblDeaths[Age],"&gt;="&amp;1,tblDeaths[Age],"&lt;="&amp;11,tblDeaths[Sex],"F",tblDeaths[NHIS],"Non-Insured")</f>
        <v>0</v>
      </c>
      <c r="BQ5" s="4">
        <f>COUNTIFS(tblDeaths[Month],10,tblDeaths[AgeUnit],"Months",tblDeaths[Age],"&gt;="&amp;1,tblDeaths[Age],"&lt;="&amp;11,tblDeaths[Sex],"M",tblDeaths[NHIS],"Insured")</f>
        <v>0</v>
      </c>
      <c r="BR5" s="4">
        <f>COUNTIFS(tblDeaths[Month],10,tblDeaths[AgeUnit],"Months",tblDeaths[Age],"&gt;="&amp;1,tblDeaths[Age],"&lt;="&amp;11,tblDeaths[Sex],"F",tblDeaths[NHIS],"Insured")</f>
        <v>0</v>
      </c>
      <c r="BS5" s="4" t="s">
        <v>165</v>
      </c>
      <c r="BT5" s="4">
        <f>COUNTIFS(tblDeaths[Month],11,tblDeaths[AgeUnit],"Months",tblDeaths[Age],"&gt;="&amp;1,tblDeaths[Age],"&lt;="&amp;11,tblDeaths[Sex],"M")</f>
        <v>0</v>
      </c>
      <c r="BU5" s="4">
        <f>COUNTIFS(tblDeaths[Month],11,tblDeaths[AgeUnit],"Months",tblDeaths[Age],"&gt;="&amp;1,tblDeaths[Age],"&lt;="&amp;11,tblDeaths[Sex],"F")</f>
        <v>0</v>
      </c>
      <c r="BV5" s="4">
        <f>COUNTIFS(tblDeaths[Month],11,tblDeaths[AgeUnit],"Months",tblDeaths[Age],"&gt;="&amp;1,tblDeaths[Age],"&lt;="&amp;11,tblDeaths[Sex],"M",tblDeaths[NHIS],"Non-Insured")</f>
        <v>0</v>
      </c>
      <c r="BW5" s="4">
        <f>COUNTIFS(tblDeaths[Month],11,tblDeaths[AgeUnit],"Months",tblDeaths[Age],"&gt;="&amp;1,tblDeaths[Age],"&lt;="&amp;11,tblDeaths[Sex],"F",tblDeaths[NHIS],"Non-Insured")</f>
        <v>0</v>
      </c>
      <c r="BX5" s="4">
        <f>COUNTIFS(tblDeaths[Month],11,tblDeaths[AgeUnit],"Months",tblDeaths[Age],"&gt;="&amp;1,tblDeaths[Age],"&lt;="&amp;11,tblDeaths[Sex],"M",tblDeaths[NHIS],"Insured")</f>
        <v>0</v>
      </c>
      <c r="BY5" s="4">
        <f>COUNTIFS(tblDeaths[Month],11,tblDeaths[AgeUnit],"Months",tblDeaths[Age],"&gt;="&amp;1,tblDeaths[Age],"&lt;="&amp;11,tblDeaths[Sex],"F",tblDeaths[NHIS],"Insured")</f>
        <v>0</v>
      </c>
      <c r="BZ5" s="4" t="s">
        <v>165</v>
      </c>
      <c r="CA5" s="4">
        <f>COUNTIFS(tblDeaths[Month],12,tblDeaths[AgeUnit],"Months",tblDeaths[Age],"&gt;="&amp;1,tblDeaths[Age],"&lt;="&amp;11,tblDeaths[Sex],"M")</f>
        <v>0</v>
      </c>
      <c r="CB5" s="4">
        <f>COUNTIFS(tblDeaths[Month],12,tblDeaths[AgeUnit],"Months",tblDeaths[Age],"&gt;="&amp;1,tblDeaths[Age],"&lt;="&amp;11,tblDeaths[Sex],"F")</f>
        <v>0</v>
      </c>
      <c r="CC5" s="4">
        <f>COUNTIFS(tblDeaths[Month],12,tblDeaths[AgeUnit],"Months",tblDeaths[Age],"&gt;="&amp;1,tblDeaths[Age],"&lt;="&amp;11,tblDeaths[Sex],"M",tblDeaths[NHIS],"Non-Insured")</f>
        <v>0</v>
      </c>
      <c r="CD5" s="4">
        <f>COUNTIFS(tblDeaths[Month],12,tblDeaths[AgeUnit],"Months",tblDeaths[Age],"&gt;="&amp;1,tblDeaths[Age],"&lt;="&amp;11,tblDeaths[Sex],"F",tblDeaths[NHIS],"Non-Insured")</f>
        <v>0</v>
      </c>
      <c r="CE5" s="4">
        <f>COUNTIFS(tblDeaths[Month],12,tblDeaths[AgeUnit],"Months",tblDeaths[Age],"&gt;="&amp;1,tblDeaths[Age],"&lt;="&amp;11,tblDeaths[Sex],"M",tblDeaths[NHIS],"Insured")</f>
        <v>0</v>
      </c>
      <c r="CF5" s="4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4" t="s">
        <v>166</v>
      </c>
      <c r="B6" s="4">
        <f>COUNTIFS(tblDeaths[Month],1,tblDeaths[AgeUnit],"Years",tblDeaths[Age],"&gt;="&amp;1,tblDeaths[Age],"&lt;="&amp;4,tblDeaths[Sex],"M")</f>
        <v>0</v>
      </c>
      <c r="C6" s="4">
        <f>COUNTIFS(tblDeaths[Month],1,tblDeaths[AgeUnit],"Years",tblDeaths[Age],"&gt;="&amp;1,tblDeaths[Age],"&lt;="&amp;4,tblDeaths[Sex],"F")</f>
        <v>0</v>
      </c>
      <c r="D6" s="4">
        <f>COUNTIFS(tblDeaths[Month],1,tblDeaths[AgeUnit],"Years",tblDeaths[Age],"&gt;="&amp;1,tblDeaths[Age],"&lt;="&amp;4,tblDeaths[Sex],"M",tblDeaths[NHIS],"Non-Insured")</f>
        <v>0</v>
      </c>
      <c r="E6" s="4">
        <f>COUNTIFS(tblDeaths[Month],1,tblDeaths[AgeUnit],"Years",tblDeaths[Age],"&gt;="&amp;1,tblDeaths[Age],"&lt;="&amp;4,tblDeaths[Sex],"F",tblDeaths[NHIS],"Non-Insured")</f>
        <v>0</v>
      </c>
      <c r="F6" s="4">
        <f>COUNTIFS(tblDeaths[Month],1,tblDeaths[AgeUnit],"Years",tblDeaths[Age],"&gt;="&amp;1,tblDeaths[Age],"&lt;="&amp;4,tblDeaths[Sex],"M",tblDeaths[NHIS],"Insured")</f>
        <v>0</v>
      </c>
      <c r="G6" s="4">
        <f>COUNTIFS(tblDeaths[Month],1,tblDeaths[AgeUnit],"Years",tblDeaths[Age],"&gt;="&amp;1,tblDeaths[Age],"&lt;="&amp;4,tblDeaths[Sex],"F",tblDeaths[NHIS],"Insured")</f>
        <v>0</v>
      </c>
      <c r="H6" s="4" t="s">
        <v>166</v>
      </c>
      <c r="I6" s="4">
        <f>COUNTIFS(tblDeaths[Month],2,tblDeaths[AgeUnit],"Years",tblDeaths[Age],"&gt;="&amp;1,tblDeaths[Age],"&lt;="&amp;4,tblDeaths[Sex],"M")</f>
        <v>0</v>
      </c>
      <c r="J6" s="4">
        <f>COUNTIFS(tblDeaths[Month],2,tblDeaths[AgeUnit],"Years",tblDeaths[Age],"&gt;="&amp;1,tblDeaths[Age],"&lt;="&amp;4,tblDeaths[Sex],"F")</f>
        <v>0</v>
      </c>
      <c r="K6" s="4">
        <f>COUNTIFS(tblDeaths[Month],2,tblDeaths[AgeUnit],"Years",tblDeaths[Age],"&gt;="&amp;1,tblDeaths[Age],"&lt;="&amp;4,tblDeaths[Sex],"M",tblDeaths[NHIS],"Non-Insured")</f>
        <v>0</v>
      </c>
      <c r="L6" s="4">
        <f>COUNTIFS(tblDeaths[Month],2,tblDeaths[AgeUnit],"Years",tblDeaths[Age],"&gt;="&amp;1,tblDeaths[Age],"&lt;="&amp;4,tblDeaths[Sex],"F",tblDeaths[NHIS],"Non-Insured")</f>
        <v>0</v>
      </c>
      <c r="M6" s="4">
        <f>COUNTIFS(tblDeaths[Month],2,tblDeaths[AgeUnit],"Years",tblDeaths[Age],"&gt;="&amp;1,tblDeaths[Age],"&lt;="&amp;4,tblDeaths[Sex],"M",tblDeaths[NHIS],"Insured")</f>
        <v>0</v>
      </c>
      <c r="N6" s="4">
        <f>COUNTIFS(tblDeaths[Month],2,tblDeaths[AgeUnit],"Years",tblDeaths[Age],"&gt;="&amp;1,tblDeaths[Age],"&lt;="&amp;4,tblDeaths[Sex],"F",tblDeaths[NHIS],"Insured")</f>
        <v>0</v>
      </c>
      <c r="O6" s="4" t="s">
        <v>166</v>
      </c>
      <c r="P6" s="4">
        <f>COUNTIFS(tblDeaths[Month],3,tblDeaths[AgeUnit],"Years",tblDeaths[Age],"&gt;="&amp;1,tblDeaths[Age],"&lt;="&amp;4,tblDeaths[Sex],"M")</f>
        <v>0</v>
      </c>
      <c r="Q6" s="4">
        <f>COUNTIFS(tblDeaths[Month],3,tblDeaths[AgeUnit],"Years",tblDeaths[Age],"&gt;="&amp;1,tblDeaths[Age],"&lt;="&amp;4,tblDeaths[Sex],"F")</f>
        <v>0</v>
      </c>
      <c r="R6" s="4">
        <f>COUNTIFS(tblDeaths[Month],3,tblDeaths[AgeUnit],"Years",tblDeaths[Age],"&gt;="&amp;1,tblDeaths[Age],"&lt;="&amp;4,tblDeaths[Sex],"M",tblDeaths[NHIS],"Non-Insured")</f>
        <v>0</v>
      </c>
      <c r="S6" s="4">
        <f>COUNTIFS(tblDeaths[Month],3,tblDeaths[AgeUnit],"Years",tblDeaths[Age],"&gt;="&amp;1,tblDeaths[Age],"&lt;="&amp;4,tblDeaths[Sex],"F",tblDeaths[NHIS],"Non-Insured")</f>
        <v>0</v>
      </c>
      <c r="T6" s="4">
        <f>COUNTIFS(tblDeaths[Month],3,tblDeaths[AgeUnit],"Years",tblDeaths[Age],"&gt;="&amp;1,tblDeaths[Age],"&lt;="&amp;4,tblDeaths[Sex],"M",tblDeaths[NHIS],"Insured")</f>
        <v>0</v>
      </c>
      <c r="U6" s="4">
        <f>COUNTIFS(tblDeaths[Month],3,tblDeaths[AgeUnit],"Years",tblDeaths[Age],"&gt;="&amp;1,tblDeaths[Age],"&lt;="&amp;4,tblDeaths[Sex],"F",tblDeaths[NHIS],"Insured")</f>
        <v>0</v>
      </c>
      <c r="V6" s="4" t="s">
        <v>166</v>
      </c>
      <c r="W6" s="4">
        <f>COUNTIFS(tblDeaths[Month],4,tblDeaths[AgeUnit],"Years",tblDeaths[Age],"&gt;="&amp;1,tblDeaths[Age],"&lt;="&amp;4,tblDeaths[Sex],"M")</f>
        <v>0</v>
      </c>
      <c r="X6" s="4">
        <f>COUNTIFS(tblDeaths[Month],4,tblDeaths[AgeUnit],"Years",tblDeaths[Age],"&gt;="&amp;1,tblDeaths[Age],"&lt;="&amp;4,tblDeaths[Sex],"F")</f>
        <v>0</v>
      </c>
      <c r="Y6" s="4">
        <f>COUNTIFS(tblDeaths[Month],4,tblDeaths[AgeUnit],"Years",tblDeaths[Age],"&gt;="&amp;1,tblDeaths[Age],"&lt;="&amp;4,tblDeaths[Sex],"M",tblDeaths[NHIS],"Non-Insured")</f>
        <v>0</v>
      </c>
      <c r="Z6" s="4">
        <f>COUNTIFS(tblDeaths[Month],4,tblDeaths[AgeUnit],"Years",tblDeaths[Age],"&gt;="&amp;1,tblDeaths[Age],"&lt;="&amp;4,tblDeaths[Sex],"F",tblDeaths[NHIS],"Non-Insured")</f>
        <v>0</v>
      </c>
      <c r="AA6" s="4">
        <f>COUNTIFS(tblDeaths[Month],4,tblDeaths[AgeUnit],"Years",tblDeaths[Age],"&gt;="&amp;1,tblDeaths[Age],"&lt;="&amp;4,tblDeaths[Sex],"M",tblDeaths[NHIS],"Insured")</f>
        <v>0</v>
      </c>
      <c r="AB6" s="4">
        <f>COUNTIFS(tblDeaths[Month],4,tblDeaths[AgeUnit],"Years",tblDeaths[Age],"&gt;="&amp;1,tblDeaths[Age],"&lt;="&amp;4,tblDeaths[Sex],"F",tblDeaths[NHIS],"Insured")</f>
        <v>0</v>
      </c>
      <c r="AC6" s="4" t="s">
        <v>166</v>
      </c>
      <c r="AD6" s="4">
        <f>COUNTIFS(tblDeaths[Month],5,tblDeaths[AgeUnit],"Years",tblDeaths[Age],"&gt;="&amp;1,tblDeaths[Age],"&lt;="&amp;4,tblDeaths[Sex],"M")</f>
        <v>0</v>
      </c>
      <c r="AE6" s="4">
        <f>COUNTIFS(tblDeaths[Month],5,tblDeaths[AgeUnit],"Years",tblDeaths[Age],"&gt;="&amp;1,tblDeaths[Age],"&lt;="&amp;4,tblDeaths[Sex],"F")</f>
        <v>0</v>
      </c>
      <c r="AF6" s="4">
        <f>COUNTIFS(tblDeaths[Month],5,tblDeaths[AgeUnit],"Years",tblDeaths[Age],"&gt;="&amp;1,tblDeaths[Age],"&lt;="&amp;4,tblDeaths[Sex],"M",tblDeaths[NHIS],"Non-Insured")</f>
        <v>0</v>
      </c>
      <c r="AG6" s="4">
        <f>COUNTIFS(tblDeaths[Month],5,tblDeaths[AgeUnit],"Years",tblDeaths[Age],"&gt;="&amp;1,tblDeaths[Age],"&lt;="&amp;4,tblDeaths[Sex],"F",tblDeaths[NHIS],"Non-Insured")</f>
        <v>0</v>
      </c>
      <c r="AH6" s="4">
        <f>COUNTIFS(tblDeaths[Month],5,tblDeaths[AgeUnit],"Years",tblDeaths[Age],"&gt;="&amp;1,tblDeaths[Age],"&lt;="&amp;4,tblDeaths[Sex],"M",tblDeaths[NHIS],"Insured")</f>
        <v>0</v>
      </c>
      <c r="AI6" s="4">
        <f>COUNTIFS(tblDeaths[Month],5,tblDeaths[AgeUnit],"Years",tblDeaths[Age],"&gt;="&amp;1,tblDeaths[Age],"&lt;="&amp;4,tblDeaths[Sex],"F",tblDeaths[NHIS],"Insured")</f>
        <v>0</v>
      </c>
      <c r="AJ6" s="4" t="s">
        <v>166</v>
      </c>
      <c r="AK6" s="4">
        <f>COUNTIFS(tblDeaths[Month],6,tblDeaths[AgeUnit],"Years",tblDeaths[Age],"&gt;="&amp;1,tblDeaths[Age],"&lt;="&amp;4,tblDeaths[Sex],"M")</f>
        <v>0</v>
      </c>
      <c r="AL6" s="4">
        <f>COUNTIFS(tblDeaths[Month],6,tblDeaths[AgeUnit],"Years",tblDeaths[Age],"&gt;="&amp;1,tblDeaths[Age],"&lt;="&amp;4,tblDeaths[Sex],"F")</f>
        <v>0</v>
      </c>
      <c r="AM6" s="4">
        <f>COUNTIFS(tblDeaths[Month],6,tblDeaths[AgeUnit],"Years",tblDeaths[Age],"&gt;="&amp;1,tblDeaths[Age],"&lt;="&amp;4,tblDeaths[Sex],"M",tblDeaths[NHIS],"Non-Insured")</f>
        <v>0</v>
      </c>
      <c r="AN6" s="4">
        <f>COUNTIFS(tblDeaths[Month],6,tblDeaths[AgeUnit],"Years",tblDeaths[Age],"&gt;="&amp;1,tblDeaths[Age],"&lt;="&amp;4,tblDeaths[Sex],"F",tblDeaths[NHIS],"Non-Insured")</f>
        <v>0</v>
      </c>
      <c r="AO6" s="4">
        <f>COUNTIFS(tblDeaths[Month],6,tblDeaths[AgeUnit],"Years",tblDeaths[Age],"&gt;="&amp;1,tblDeaths[Age],"&lt;="&amp;4,tblDeaths[Sex],"M",tblDeaths[NHIS],"Insured")</f>
        <v>0</v>
      </c>
      <c r="AP6" s="4">
        <f>COUNTIFS(tblDeaths[Month],6,tblDeaths[AgeUnit],"Years",tblDeaths[Age],"&gt;="&amp;1,tblDeaths[Age],"&lt;="&amp;4,tblDeaths[Sex],"F",tblDeaths[NHIS],"Insured")</f>
        <v>0</v>
      </c>
      <c r="AQ6" s="4" t="s">
        <v>166</v>
      </c>
      <c r="AR6" s="4">
        <f>COUNTIFS(tblDeaths[Month],7,tblDeaths[AgeUnit],"Years",tblDeaths[Age],"&gt;="&amp;1,tblDeaths[Age],"&lt;="&amp;4,tblDeaths[Sex],"M")</f>
        <v>0</v>
      </c>
      <c r="AS6" s="4">
        <f>COUNTIFS(tblDeaths[Month],7,tblDeaths[AgeUnit],"Years",tblDeaths[Age],"&gt;="&amp;1,tblDeaths[Age],"&lt;="&amp;4,tblDeaths[Sex],"F")</f>
        <v>0</v>
      </c>
      <c r="AT6" s="4">
        <f>COUNTIFS(tblDeaths[Month],7,tblDeaths[AgeUnit],"Years",tblDeaths[Age],"&gt;="&amp;1,tblDeaths[Age],"&lt;="&amp;4,tblDeaths[Sex],"M",tblDeaths[NHIS],"Non-Insured")</f>
        <v>0</v>
      </c>
      <c r="AU6" s="4">
        <f>COUNTIFS(tblDeaths[Month],7,tblDeaths[AgeUnit],"Years",tblDeaths[Age],"&gt;="&amp;1,tblDeaths[Age],"&lt;="&amp;4,tblDeaths[Sex],"F",tblDeaths[NHIS],"Non-Insured")</f>
        <v>0</v>
      </c>
      <c r="AV6" s="4">
        <f>COUNTIFS(tblDeaths[Month],7,tblDeaths[AgeUnit],"Years",tblDeaths[Age],"&gt;="&amp;1,tblDeaths[Age],"&lt;="&amp;4,tblDeaths[Sex],"M",tblDeaths[NHIS],"Insured")</f>
        <v>0</v>
      </c>
      <c r="AW6" s="4">
        <f>COUNTIFS(tblDeaths[Month],7,tblDeaths[AgeUnit],"Years",tblDeaths[Age],"&gt;="&amp;1,tblDeaths[Age],"&lt;="&amp;4,tblDeaths[Sex],"F",tblDeaths[NHIS],"Insured")</f>
        <v>0</v>
      </c>
      <c r="AX6" s="4" t="s">
        <v>166</v>
      </c>
      <c r="AY6" s="4">
        <f>COUNTIFS(tblDeaths[Month],8,tblDeaths[AgeUnit],"Years",tblDeaths[Age],"&gt;="&amp;1,tblDeaths[Age],"&lt;="&amp;4,tblDeaths[Sex],"M")</f>
        <v>0</v>
      </c>
      <c r="AZ6" s="4">
        <f>COUNTIFS(tblDeaths[Month],8,tblDeaths[AgeUnit],"Years",tblDeaths[Age],"&gt;="&amp;1,tblDeaths[Age],"&lt;="&amp;4,tblDeaths[Sex],"F")</f>
        <v>0</v>
      </c>
      <c r="BA6" s="4">
        <f>COUNTIFS(tblDeaths[Month],8,tblDeaths[AgeUnit],"Years",tblDeaths[Age],"&gt;="&amp;1,tblDeaths[Age],"&lt;="&amp;4,tblDeaths[Sex],"M",tblDeaths[NHIS],"Non-Insured")</f>
        <v>0</v>
      </c>
      <c r="BB6" s="4">
        <f>COUNTIFS(tblDeaths[Month],8,tblDeaths[AgeUnit],"Years",tblDeaths[Age],"&gt;="&amp;1,tblDeaths[Age],"&lt;="&amp;4,tblDeaths[Sex],"F",tblDeaths[NHIS],"Non-Insured")</f>
        <v>0</v>
      </c>
      <c r="BC6" s="4">
        <f>COUNTIFS(tblDeaths[Month],8,tblDeaths[AgeUnit],"Years",tblDeaths[Age],"&gt;="&amp;1,tblDeaths[Age],"&lt;="&amp;4,tblDeaths[Sex],"M",tblDeaths[NHIS],"Insured")</f>
        <v>0</v>
      </c>
      <c r="BD6" s="4">
        <f>COUNTIFS(tblDeaths[Month],8,tblDeaths[AgeUnit],"Years",tblDeaths[Age],"&gt;="&amp;1,tblDeaths[Age],"&lt;="&amp;4,tblDeaths[Sex],"F",tblDeaths[NHIS],"Insured")</f>
        <v>0</v>
      </c>
      <c r="BE6" s="4" t="s">
        <v>166</v>
      </c>
      <c r="BF6" s="4">
        <f>COUNTIFS(tblDeaths[Month],9,tblDeaths[AgeUnit],"Years",tblDeaths[Age],"&gt;="&amp;1,tblDeaths[Age],"&lt;="&amp;4,tblDeaths[Sex],"M")</f>
        <v>0</v>
      </c>
      <c r="BG6" s="4">
        <f>COUNTIFS(tblDeaths[Month],9,tblDeaths[AgeUnit],"Years",tblDeaths[Age],"&gt;="&amp;1,tblDeaths[Age],"&lt;="&amp;4,tblDeaths[Sex],"F")</f>
        <v>0</v>
      </c>
      <c r="BH6" s="4">
        <f>COUNTIFS(tblDeaths[Month],9,tblDeaths[AgeUnit],"Years",tblDeaths[Age],"&gt;="&amp;1,tblDeaths[Age],"&lt;="&amp;4,tblDeaths[Sex],"M",tblDeaths[NHIS],"Non-Insured")</f>
        <v>0</v>
      </c>
      <c r="BI6" s="4">
        <f>COUNTIFS(tblDeaths[Month],9,tblDeaths[AgeUnit],"Years",tblDeaths[Age],"&gt;="&amp;1,tblDeaths[Age],"&lt;="&amp;4,tblDeaths[Sex],"F",tblDeaths[NHIS],"Non-Insured")</f>
        <v>0</v>
      </c>
      <c r="BJ6" s="4">
        <f>COUNTIFS(tblDeaths[Month],9,tblDeaths[AgeUnit],"Years",tblDeaths[Age],"&gt;="&amp;1,tblDeaths[Age],"&lt;="&amp;4,tblDeaths[Sex],"M",tblDeaths[NHIS],"Insured")</f>
        <v>0</v>
      </c>
      <c r="BK6" s="4">
        <f>COUNTIFS(tblDeaths[Month],9,tblDeaths[AgeUnit],"Years",tblDeaths[Age],"&gt;="&amp;1,tblDeaths[Age],"&lt;="&amp;4,tblDeaths[Sex],"F",tblDeaths[NHIS],"Insured")</f>
        <v>0</v>
      </c>
      <c r="BL6" s="4" t="s">
        <v>166</v>
      </c>
      <c r="BM6" s="4">
        <f>COUNTIFS(tblDeaths[Month],10,tblDeaths[AgeUnit],"Years",tblDeaths[Age],"&gt;="&amp;1,tblDeaths[Age],"&lt;="&amp;4,tblDeaths[Sex],"M")</f>
        <v>0</v>
      </c>
      <c r="BN6" s="4">
        <f>COUNTIFS(tblDeaths[Month],10,tblDeaths[AgeUnit],"Years",tblDeaths[Age],"&gt;="&amp;1,tblDeaths[Age],"&lt;="&amp;4,tblDeaths[Sex],"F")</f>
        <v>0</v>
      </c>
      <c r="BO6" s="4">
        <f>COUNTIFS(tblDeaths[Month],10,tblDeaths[AgeUnit],"Years",tblDeaths[Age],"&gt;="&amp;1,tblDeaths[Age],"&lt;="&amp;4,tblDeaths[Sex],"M",tblDeaths[NHIS],"Non-Insured")</f>
        <v>0</v>
      </c>
      <c r="BP6" s="4">
        <f>COUNTIFS(tblDeaths[Month],10,tblDeaths[AgeUnit],"Years",tblDeaths[Age],"&gt;="&amp;1,tblDeaths[Age],"&lt;="&amp;4,tblDeaths[Sex],"F",tblDeaths[NHIS],"Non-Insured")</f>
        <v>0</v>
      </c>
      <c r="BQ6" s="4">
        <f>COUNTIFS(tblDeaths[Month],10,tblDeaths[AgeUnit],"Years",tblDeaths[Age],"&gt;="&amp;1,tblDeaths[Age],"&lt;="&amp;4,tblDeaths[Sex],"M",tblDeaths[NHIS],"Insured")</f>
        <v>0</v>
      </c>
      <c r="BR6" s="4">
        <f>COUNTIFS(tblDeaths[Month],10,tblDeaths[AgeUnit],"Years",tblDeaths[Age],"&gt;="&amp;1,tblDeaths[Age],"&lt;="&amp;4,tblDeaths[Sex],"F",tblDeaths[NHIS],"Insured")</f>
        <v>0</v>
      </c>
      <c r="BS6" s="4" t="s">
        <v>166</v>
      </c>
      <c r="BT6" s="4">
        <f>COUNTIFS(tblDeaths[Month],11,tblDeaths[AgeUnit],"Years",tblDeaths[Age],"&gt;="&amp;1,tblDeaths[Age],"&lt;="&amp;4,tblDeaths[Sex],"M")</f>
        <v>0</v>
      </c>
      <c r="BU6" s="4">
        <f>COUNTIFS(tblDeaths[Month],11,tblDeaths[AgeUnit],"Years",tblDeaths[Age],"&gt;="&amp;1,tblDeaths[Age],"&lt;="&amp;4,tblDeaths[Sex],"F")</f>
        <v>0</v>
      </c>
      <c r="BV6" s="4">
        <f>COUNTIFS(tblDeaths[Month],11,tblDeaths[AgeUnit],"Years",tblDeaths[Age],"&gt;="&amp;1,tblDeaths[Age],"&lt;="&amp;4,tblDeaths[Sex],"M",tblDeaths[NHIS],"Non-Insured")</f>
        <v>0</v>
      </c>
      <c r="BW6" s="4">
        <f>COUNTIFS(tblDeaths[Month],11,tblDeaths[AgeUnit],"Years",tblDeaths[Age],"&gt;="&amp;1,tblDeaths[Age],"&lt;="&amp;4,tblDeaths[Sex],"F",tblDeaths[NHIS],"Non-Insured")</f>
        <v>0</v>
      </c>
      <c r="BX6" s="4">
        <f>COUNTIFS(tblDeaths[Month],11,tblDeaths[AgeUnit],"Years",tblDeaths[Age],"&gt;="&amp;1,tblDeaths[Age],"&lt;="&amp;4,tblDeaths[Sex],"M",tblDeaths[NHIS],"Insured")</f>
        <v>0</v>
      </c>
      <c r="BY6" s="4">
        <f>COUNTIFS(tblDeaths[Month],11,tblDeaths[AgeUnit],"Years",tblDeaths[Age],"&gt;="&amp;1,tblDeaths[Age],"&lt;="&amp;4,tblDeaths[Sex],"F",tblDeaths[NHIS],"Insured")</f>
        <v>0</v>
      </c>
      <c r="BZ6" s="4" t="s">
        <v>166</v>
      </c>
      <c r="CA6" s="4">
        <f>COUNTIFS(tblDeaths[Month],12,tblDeaths[AgeUnit],"Years",tblDeaths[Age],"&gt;="&amp;1,tblDeaths[Age],"&lt;="&amp;4,tblDeaths[Sex],"M")</f>
        <v>0</v>
      </c>
      <c r="CB6" s="4">
        <f>COUNTIFS(tblDeaths[Month],12,tblDeaths[AgeUnit],"Years",tblDeaths[Age],"&gt;="&amp;1,tblDeaths[Age],"&lt;="&amp;4,tblDeaths[Sex],"F")</f>
        <v>0</v>
      </c>
      <c r="CC6" s="4">
        <f>COUNTIFS(tblDeaths[Month],12,tblDeaths[AgeUnit],"Years",tblDeaths[Age],"&gt;="&amp;1,tblDeaths[Age],"&lt;="&amp;4,tblDeaths[Sex],"M",tblDeaths[NHIS],"Non-Insured")</f>
        <v>0</v>
      </c>
      <c r="CD6" s="4">
        <f>COUNTIFS(tblDeaths[Month],12,tblDeaths[AgeUnit],"Years",tblDeaths[Age],"&gt;="&amp;1,tblDeaths[Age],"&lt;="&amp;4,tblDeaths[Sex],"F",tblDeaths[NHIS],"Non-Insured")</f>
        <v>0</v>
      </c>
      <c r="CE6" s="4">
        <f>COUNTIFS(tblDeaths[Month],12,tblDeaths[AgeUnit],"Years",tblDeaths[Age],"&gt;="&amp;1,tblDeaths[Age],"&lt;="&amp;4,tblDeaths[Sex],"M",tblDeaths[NHIS],"Insured")</f>
        <v>0</v>
      </c>
      <c r="CF6" s="4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4" t="s">
        <v>167</v>
      </c>
      <c r="B7" s="4">
        <f>COUNTIFS(tblDeaths[Month],1,tblDeaths[AgeUnit],"Years",tblDeaths[Age],"&gt;="&amp;5,tblDeaths[Age],"&lt;="&amp;9,tblDeaths[Sex],"M")</f>
        <v>0</v>
      </c>
      <c r="C7" s="4">
        <f>COUNTIFS(tblDeaths[Month],1,tblDeaths[AgeUnit],"Years",tblDeaths[Age],"&gt;="&amp;5,tblDeaths[Age],"&lt;="&amp;9,tblDeaths[Sex],"F")</f>
        <v>0</v>
      </c>
      <c r="D7" s="4">
        <f>COUNTIFS(tblDeaths[Month],1,tblDeaths[AgeUnit],"Years",tblDeaths[Age],"&gt;="&amp;5,tblDeaths[Age],"&lt;="&amp;9,tblDeaths[Sex],"M",tblDeaths[NHIS],"Non-Insured")</f>
        <v>0</v>
      </c>
      <c r="E7" s="4">
        <f>COUNTIFS(tblDeaths[Month],1,tblDeaths[AgeUnit],"Years",tblDeaths[Age],"&gt;="&amp;5,tblDeaths[Age],"&lt;="&amp;9,tblDeaths[Sex],"F",tblDeaths[NHIS],"Non-Insured")</f>
        <v>0</v>
      </c>
      <c r="F7" s="4">
        <f>COUNTIFS(tblDeaths[Month],1,tblDeaths[AgeUnit],"Years",tblDeaths[Age],"&gt;="&amp;5,tblDeaths[Age],"&lt;="&amp;9,tblDeaths[Sex],"M",tblDeaths[NHIS],"Insured")</f>
        <v>0</v>
      </c>
      <c r="G7" s="4">
        <f>COUNTIFS(tblDeaths[Month],1,tblDeaths[AgeUnit],"Years",tblDeaths[Age],"&gt;="&amp;5,tblDeaths[Age],"&lt;="&amp;9,tblDeaths[Sex],"F",tblDeaths[NHIS],"Insured")</f>
        <v>0</v>
      </c>
      <c r="H7" s="4" t="s">
        <v>167</v>
      </c>
      <c r="I7" s="4">
        <f>COUNTIFS(tblDeaths[Month],2,tblDeaths[AgeUnit],"Years",tblDeaths[Age],"&gt;="&amp;5,tblDeaths[Age],"&lt;="&amp;9,tblDeaths[Sex],"M")</f>
        <v>0</v>
      </c>
      <c r="J7" s="4">
        <f>COUNTIFS(tblDeaths[Month],2,tblDeaths[AgeUnit],"Years",tblDeaths[Age],"&gt;="&amp;5,tblDeaths[Age],"&lt;="&amp;9,tblDeaths[Sex],"F")</f>
        <v>0</v>
      </c>
      <c r="K7" s="4">
        <f>COUNTIFS(tblDeaths[Month],2,tblDeaths[AgeUnit],"Years",tblDeaths[Age],"&gt;="&amp;5,tblDeaths[Age],"&lt;="&amp;9,tblDeaths[Sex],"M",tblDeaths[NHIS],"Non-Insured")</f>
        <v>0</v>
      </c>
      <c r="L7" s="4">
        <f>COUNTIFS(tblDeaths[Month],2,tblDeaths[AgeUnit],"Years",tblDeaths[Age],"&gt;="&amp;5,tblDeaths[Age],"&lt;="&amp;9,tblDeaths[Sex],"F",tblDeaths[NHIS],"Non-Insured")</f>
        <v>0</v>
      </c>
      <c r="M7" s="4">
        <f>COUNTIFS(tblDeaths[Month],2,tblDeaths[AgeUnit],"Years",tblDeaths[Age],"&gt;="&amp;5,tblDeaths[Age],"&lt;="&amp;9,tblDeaths[Sex],"M",tblDeaths[NHIS],"Insured")</f>
        <v>0</v>
      </c>
      <c r="N7" s="4">
        <f>COUNTIFS(tblDeaths[Month],2,tblDeaths[AgeUnit],"Years",tblDeaths[Age],"&gt;="&amp;5,tblDeaths[Age],"&lt;="&amp;9,tblDeaths[Sex],"F",tblDeaths[NHIS],"Insured")</f>
        <v>0</v>
      </c>
      <c r="O7" s="4" t="s">
        <v>167</v>
      </c>
      <c r="P7" s="4">
        <f>COUNTIFS(tblDeaths[Month],3,tblDeaths[AgeUnit],"Years",tblDeaths[Age],"&gt;="&amp;5,tblDeaths[Age],"&lt;="&amp;9,tblDeaths[Sex],"M")</f>
        <v>0</v>
      </c>
      <c r="Q7" s="4">
        <f>COUNTIFS(tblDeaths[Month],3,tblDeaths[AgeUnit],"Years",tblDeaths[Age],"&gt;="&amp;5,tblDeaths[Age],"&lt;="&amp;9,tblDeaths[Sex],"F")</f>
        <v>0</v>
      </c>
      <c r="R7" s="4">
        <f>COUNTIFS(tblDeaths[Month],3,tblDeaths[AgeUnit],"Years",tblDeaths[Age],"&gt;="&amp;5,tblDeaths[Age],"&lt;="&amp;9,tblDeaths[Sex],"M",tblDeaths[NHIS],"Non-Insured")</f>
        <v>0</v>
      </c>
      <c r="S7" s="4">
        <f>COUNTIFS(tblDeaths[Month],3,tblDeaths[AgeUnit],"Years",tblDeaths[Age],"&gt;="&amp;5,tblDeaths[Age],"&lt;="&amp;9,tblDeaths[Sex],"F",tblDeaths[NHIS],"Non-Insured")</f>
        <v>0</v>
      </c>
      <c r="T7" s="4">
        <f>COUNTIFS(tblDeaths[Month],3,tblDeaths[AgeUnit],"Years",tblDeaths[Age],"&gt;="&amp;5,tblDeaths[Age],"&lt;="&amp;9,tblDeaths[Sex],"M",tblDeaths[NHIS],"Insured")</f>
        <v>0</v>
      </c>
      <c r="U7" s="4">
        <f>COUNTIFS(tblDeaths[Month],3,tblDeaths[AgeUnit],"Years",tblDeaths[Age],"&gt;="&amp;5,tblDeaths[Age],"&lt;="&amp;9,tblDeaths[Sex],"F",tblDeaths[NHIS],"Insured")</f>
        <v>0</v>
      </c>
      <c r="V7" s="4" t="s">
        <v>167</v>
      </c>
      <c r="W7" s="4">
        <f>COUNTIFS(tblDeaths[Month],4,tblDeaths[AgeUnit],"Years",tblDeaths[Age],"&gt;="&amp;5,tblDeaths[Age],"&lt;="&amp;9,tblDeaths[Sex],"M")</f>
        <v>0</v>
      </c>
      <c r="X7" s="4">
        <f>COUNTIFS(tblDeaths[Month],4,tblDeaths[AgeUnit],"Years",tblDeaths[Age],"&gt;="&amp;5,tblDeaths[Age],"&lt;="&amp;9,tblDeaths[Sex],"F")</f>
        <v>0</v>
      </c>
      <c r="Y7" s="4">
        <f>COUNTIFS(tblDeaths[Month],4,tblDeaths[AgeUnit],"Years",tblDeaths[Age],"&gt;="&amp;5,tblDeaths[Age],"&lt;="&amp;9,tblDeaths[Sex],"M",tblDeaths[NHIS],"Non-Insured")</f>
        <v>0</v>
      </c>
      <c r="Z7" s="4">
        <f>COUNTIFS(tblDeaths[Month],4,tblDeaths[AgeUnit],"Years",tblDeaths[Age],"&gt;="&amp;5,tblDeaths[Age],"&lt;="&amp;9,tblDeaths[Sex],"F",tblDeaths[NHIS],"Non-Insured")</f>
        <v>0</v>
      </c>
      <c r="AA7" s="4">
        <f>COUNTIFS(tblDeaths[Month],4,tblDeaths[AgeUnit],"Years",tblDeaths[Age],"&gt;="&amp;5,tblDeaths[Age],"&lt;="&amp;9,tblDeaths[Sex],"M",tblDeaths[NHIS],"Insured")</f>
        <v>0</v>
      </c>
      <c r="AB7" s="4">
        <f>COUNTIFS(tblDeaths[Month],4,tblDeaths[AgeUnit],"Years",tblDeaths[Age],"&gt;="&amp;5,tblDeaths[Age],"&lt;="&amp;9,tblDeaths[Sex],"F",tblDeaths[NHIS],"Insured")</f>
        <v>0</v>
      </c>
      <c r="AC7" s="4" t="s">
        <v>167</v>
      </c>
      <c r="AD7" s="4">
        <f>COUNTIFS(tblDeaths[Month],5,tblDeaths[AgeUnit],"Years",tblDeaths[Age],"&gt;="&amp;5,tblDeaths[Age],"&lt;="&amp;9,tblDeaths[Sex],"M")</f>
        <v>0</v>
      </c>
      <c r="AE7" s="4">
        <f>COUNTIFS(tblDeaths[Month],5,tblDeaths[AgeUnit],"Years",tblDeaths[Age],"&gt;="&amp;5,tblDeaths[Age],"&lt;="&amp;9,tblDeaths[Sex],"F")</f>
        <v>0</v>
      </c>
      <c r="AF7" s="4">
        <f>COUNTIFS(tblDeaths[Month],5,tblDeaths[AgeUnit],"Years",tblDeaths[Age],"&gt;="&amp;5,tblDeaths[Age],"&lt;="&amp;9,tblDeaths[Sex],"M",tblDeaths[NHIS],"Non-Insured")</f>
        <v>0</v>
      </c>
      <c r="AG7" s="4">
        <f>COUNTIFS(tblDeaths[Month],5,tblDeaths[AgeUnit],"Years",tblDeaths[Age],"&gt;="&amp;5,tblDeaths[Age],"&lt;="&amp;9,tblDeaths[Sex],"F",tblDeaths[NHIS],"Non-Insured")</f>
        <v>0</v>
      </c>
      <c r="AH7" s="4">
        <f>COUNTIFS(tblDeaths[Month],5,tblDeaths[AgeUnit],"Years",tblDeaths[Age],"&gt;="&amp;5,tblDeaths[Age],"&lt;="&amp;9,tblDeaths[Sex],"M",tblDeaths[NHIS],"Insured")</f>
        <v>0</v>
      </c>
      <c r="AI7" s="4">
        <f>COUNTIFS(tblDeaths[Month],5,tblDeaths[AgeUnit],"Years",tblDeaths[Age],"&gt;="&amp;5,tblDeaths[Age],"&lt;="&amp;9,tblDeaths[Sex],"F",tblDeaths[NHIS],"Insured")</f>
        <v>0</v>
      </c>
      <c r="AJ7" s="4" t="s">
        <v>167</v>
      </c>
      <c r="AK7" s="4">
        <f>COUNTIFS(tblDeaths[Month],6,tblDeaths[AgeUnit],"Years",tblDeaths[Age],"&gt;="&amp;5,tblDeaths[Age],"&lt;="&amp;9,tblDeaths[Sex],"M")</f>
        <v>0</v>
      </c>
      <c r="AL7" s="4">
        <f>COUNTIFS(tblDeaths[Month],6,tblDeaths[AgeUnit],"Years",tblDeaths[Age],"&gt;="&amp;5,tblDeaths[Age],"&lt;="&amp;9,tblDeaths[Sex],"F")</f>
        <v>0</v>
      </c>
      <c r="AM7" s="4">
        <f>COUNTIFS(tblDeaths[Month],6,tblDeaths[AgeUnit],"Years",tblDeaths[Age],"&gt;="&amp;5,tblDeaths[Age],"&lt;="&amp;9,tblDeaths[Sex],"M",tblDeaths[NHIS],"Non-Insured")</f>
        <v>0</v>
      </c>
      <c r="AN7" s="4">
        <f>COUNTIFS(tblDeaths[Month],6,tblDeaths[AgeUnit],"Years",tblDeaths[Age],"&gt;="&amp;5,tblDeaths[Age],"&lt;="&amp;9,tblDeaths[Sex],"F",tblDeaths[NHIS],"Non-Insured")</f>
        <v>0</v>
      </c>
      <c r="AO7" s="4">
        <f>COUNTIFS(tblDeaths[Month],6,tblDeaths[AgeUnit],"Years",tblDeaths[Age],"&gt;="&amp;5,tblDeaths[Age],"&lt;="&amp;9,tblDeaths[Sex],"M",tblDeaths[NHIS],"Insured")</f>
        <v>0</v>
      </c>
      <c r="AP7" s="4">
        <f>COUNTIFS(tblDeaths[Month],6,tblDeaths[AgeUnit],"Years",tblDeaths[Age],"&gt;="&amp;5,tblDeaths[Age],"&lt;="&amp;9,tblDeaths[Sex],"F",tblDeaths[NHIS],"Insured")</f>
        <v>0</v>
      </c>
      <c r="AQ7" s="4" t="s">
        <v>167</v>
      </c>
      <c r="AR7" s="4">
        <f>COUNTIFS(tblDeaths[Month],7,tblDeaths[AgeUnit],"Years",tblDeaths[Age],"&gt;="&amp;5,tblDeaths[Age],"&lt;="&amp;9,tblDeaths[Sex],"M")</f>
        <v>0</v>
      </c>
      <c r="AS7" s="4">
        <f>COUNTIFS(tblDeaths[Month],7,tblDeaths[AgeUnit],"Years",tblDeaths[Age],"&gt;="&amp;5,tblDeaths[Age],"&lt;="&amp;9,tblDeaths[Sex],"F")</f>
        <v>0</v>
      </c>
      <c r="AT7" s="4">
        <f>COUNTIFS(tblDeaths[Month],7,tblDeaths[AgeUnit],"Years",tblDeaths[Age],"&gt;="&amp;5,tblDeaths[Age],"&lt;="&amp;9,tblDeaths[Sex],"M",tblDeaths[NHIS],"Non-Insured")</f>
        <v>0</v>
      </c>
      <c r="AU7" s="4">
        <f>COUNTIFS(tblDeaths[Month],7,tblDeaths[AgeUnit],"Years",tblDeaths[Age],"&gt;="&amp;5,tblDeaths[Age],"&lt;="&amp;9,tblDeaths[Sex],"F",tblDeaths[NHIS],"Non-Insured")</f>
        <v>0</v>
      </c>
      <c r="AV7" s="4">
        <f>COUNTIFS(tblDeaths[Month],7,tblDeaths[AgeUnit],"Years",tblDeaths[Age],"&gt;="&amp;5,tblDeaths[Age],"&lt;="&amp;9,tblDeaths[Sex],"M",tblDeaths[NHIS],"Insured")</f>
        <v>0</v>
      </c>
      <c r="AW7" s="4">
        <f>COUNTIFS(tblDeaths[Month],7,tblDeaths[AgeUnit],"Years",tblDeaths[Age],"&gt;="&amp;5,tblDeaths[Age],"&lt;="&amp;9,tblDeaths[Sex],"F",tblDeaths[NHIS],"Insured")</f>
        <v>0</v>
      </c>
      <c r="AX7" s="4" t="s">
        <v>167</v>
      </c>
      <c r="AY7" s="4">
        <f>COUNTIFS(tblDeaths[Month],8,tblDeaths[AgeUnit],"Years",tblDeaths[Age],"&gt;="&amp;5,tblDeaths[Age],"&lt;="&amp;9,tblDeaths[Sex],"M")</f>
        <v>0</v>
      </c>
      <c r="AZ7" s="4">
        <f>COUNTIFS(tblDeaths[Month],8,tblDeaths[AgeUnit],"Years",tblDeaths[Age],"&gt;="&amp;5,tblDeaths[Age],"&lt;="&amp;9,tblDeaths[Sex],"F")</f>
        <v>0</v>
      </c>
      <c r="BA7" s="4">
        <f>COUNTIFS(tblDeaths[Month],8,tblDeaths[AgeUnit],"Years",tblDeaths[Age],"&gt;="&amp;5,tblDeaths[Age],"&lt;="&amp;9,tblDeaths[Sex],"M",tblDeaths[NHIS],"Non-Insured")</f>
        <v>0</v>
      </c>
      <c r="BB7" s="4">
        <f>COUNTIFS(tblDeaths[Month],8,tblDeaths[AgeUnit],"Years",tblDeaths[Age],"&gt;="&amp;5,tblDeaths[Age],"&lt;="&amp;9,tblDeaths[Sex],"F",tblDeaths[NHIS],"Non-Insured")</f>
        <v>0</v>
      </c>
      <c r="BC7" s="4">
        <f>COUNTIFS(tblDeaths[Month],8,tblDeaths[AgeUnit],"Years",tblDeaths[Age],"&gt;="&amp;5,tblDeaths[Age],"&lt;="&amp;9,tblDeaths[Sex],"M",tblDeaths[NHIS],"Insured")</f>
        <v>0</v>
      </c>
      <c r="BD7" s="4">
        <f>COUNTIFS(tblDeaths[Month],8,tblDeaths[AgeUnit],"Years",tblDeaths[Age],"&gt;="&amp;5,tblDeaths[Age],"&lt;="&amp;9,tblDeaths[Sex],"F",tblDeaths[NHIS],"Insured")</f>
        <v>0</v>
      </c>
      <c r="BE7" s="4" t="s">
        <v>167</v>
      </c>
      <c r="BF7" s="4">
        <f>COUNTIFS(tblDeaths[Month],9,tblDeaths[AgeUnit],"Years",tblDeaths[Age],"&gt;="&amp;5,tblDeaths[Age],"&lt;="&amp;9,tblDeaths[Sex],"M")</f>
        <v>0</v>
      </c>
      <c r="BG7" s="4">
        <f>COUNTIFS(tblDeaths[Month],9,tblDeaths[AgeUnit],"Years",tblDeaths[Age],"&gt;="&amp;5,tblDeaths[Age],"&lt;="&amp;9,tblDeaths[Sex],"F")</f>
        <v>0</v>
      </c>
      <c r="BH7" s="4">
        <f>COUNTIFS(tblDeaths[Month],9,tblDeaths[AgeUnit],"Years",tblDeaths[Age],"&gt;="&amp;5,tblDeaths[Age],"&lt;="&amp;9,tblDeaths[Sex],"M",tblDeaths[NHIS],"Non-Insured")</f>
        <v>0</v>
      </c>
      <c r="BI7" s="4">
        <f>COUNTIFS(tblDeaths[Month],9,tblDeaths[AgeUnit],"Years",tblDeaths[Age],"&gt;="&amp;5,tblDeaths[Age],"&lt;="&amp;9,tblDeaths[Sex],"F",tblDeaths[NHIS],"Non-Insured")</f>
        <v>0</v>
      </c>
      <c r="BJ7" s="4">
        <f>COUNTIFS(tblDeaths[Month],9,tblDeaths[AgeUnit],"Years",tblDeaths[Age],"&gt;="&amp;5,tblDeaths[Age],"&lt;="&amp;9,tblDeaths[Sex],"M",tblDeaths[NHIS],"Insured")</f>
        <v>0</v>
      </c>
      <c r="BK7" s="4">
        <f>COUNTIFS(tblDeaths[Month],9,tblDeaths[AgeUnit],"Years",tblDeaths[Age],"&gt;="&amp;5,tblDeaths[Age],"&lt;="&amp;9,tblDeaths[Sex],"F",tblDeaths[NHIS],"Insured")</f>
        <v>0</v>
      </c>
      <c r="BL7" s="4" t="s">
        <v>167</v>
      </c>
      <c r="BM7" s="4">
        <f>COUNTIFS(tblDeaths[Month],10,tblDeaths[AgeUnit],"Years",tblDeaths[Age],"&gt;="&amp;5,tblDeaths[Age],"&lt;="&amp;9,tblDeaths[Sex],"M")</f>
        <v>0</v>
      </c>
      <c r="BN7" s="4">
        <f>COUNTIFS(tblDeaths[Month],10,tblDeaths[AgeUnit],"Years",tblDeaths[Age],"&gt;="&amp;5,tblDeaths[Age],"&lt;="&amp;9,tblDeaths[Sex],"F")</f>
        <v>0</v>
      </c>
      <c r="BO7" s="4">
        <f>COUNTIFS(tblDeaths[Month],10,tblDeaths[AgeUnit],"Years",tblDeaths[Age],"&gt;="&amp;5,tblDeaths[Age],"&lt;="&amp;9,tblDeaths[Sex],"M",tblDeaths[NHIS],"Non-Insured")</f>
        <v>0</v>
      </c>
      <c r="BP7" s="4">
        <f>COUNTIFS(tblDeaths[Month],10,tblDeaths[AgeUnit],"Years",tblDeaths[Age],"&gt;="&amp;5,tblDeaths[Age],"&lt;="&amp;9,tblDeaths[Sex],"F",tblDeaths[NHIS],"Non-Insured")</f>
        <v>0</v>
      </c>
      <c r="BQ7" s="4">
        <f>COUNTIFS(tblDeaths[Month],10,tblDeaths[AgeUnit],"Years",tblDeaths[Age],"&gt;="&amp;5,tblDeaths[Age],"&lt;="&amp;9,tblDeaths[Sex],"M",tblDeaths[NHIS],"Insured")</f>
        <v>0</v>
      </c>
      <c r="BR7" s="4">
        <f>COUNTIFS(tblDeaths[Month],10,tblDeaths[AgeUnit],"Years",tblDeaths[Age],"&gt;="&amp;5,tblDeaths[Age],"&lt;="&amp;9,tblDeaths[Sex],"F",tblDeaths[NHIS],"Insured")</f>
        <v>0</v>
      </c>
      <c r="BS7" s="4" t="s">
        <v>167</v>
      </c>
      <c r="BT7" s="4">
        <f>COUNTIFS(tblDeaths[Month],11,tblDeaths[AgeUnit],"Years",tblDeaths[Age],"&gt;="&amp;5,tblDeaths[Age],"&lt;="&amp;9,tblDeaths[Sex],"M")</f>
        <v>0</v>
      </c>
      <c r="BU7" s="4">
        <f>COUNTIFS(tblDeaths[Month],11,tblDeaths[AgeUnit],"Years",tblDeaths[Age],"&gt;="&amp;5,tblDeaths[Age],"&lt;="&amp;9,tblDeaths[Sex],"F")</f>
        <v>0</v>
      </c>
      <c r="BV7" s="4">
        <f>COUNTIFS(tblDeaths[Month],11,tblDeaths[AgeUnit],"Years",tblDeaths[Age],"&gt;="&amp;5,tblDeaths[Age],"&lt;="&amp;9,tblDeaths[Sex],"M",tblDeaths[NHIS],"Non-Insured")</f>
        <v>0</v>
      </c>
      <c r="BW7" s="4">
        <f>COUNTIFS(tblDeaths[Month],11,tblDeaths[AgeUnit],"Years",tblDeaths[Age],"&gt;="&amp;5,tblDeaths[Age],"&lt;="&amp;9,tblDeaths[Sex],"F",tblDeaths[NHIS],"Non-Insured")</f>
        <v>0</v>
      </c>
      <c r="BX7" s="4">
        <f>COUNTIFS(tblDeaths[Month],11,tblDeaths[AgeUnit],"Years",tblDeaths[Age],"&gt;="&amp;5,tblDeaths[Age],"&lt;="&amp;9,tblDeaths[Sex],"M",tblDeaths[NHIS],"Insured")</f>
        <v>0</v>
      </c>
      <c r="BY7" s="4">
        <f>COUNTIFS(tblDeaths[Month],11,tblDeaths[AgeUnit],"Years",tblDeaths[Age],"&gt;="&amp;5,tblDeaths[Age],"&lt;="&amp;9,tblDeaths[Sex],"F",tblDeaths[NHIS],"Insured")</f>
        <v>0</v>
      </c>
      <c r="BZ7" s="4" t="s">
        <v>167</v>
      </c>
      <c r="CA7" s="4">
        <f>COUNTIFS(tblDeaths[Month],12,tblDeaths[AgeUnit],"Years",tblDeaths[Age],"&gt;="&amp;5,tblDeaths[Age],"&lt;="&amp;9,tblDeaths[Sex],"M")</f>
        <v>0</v>
      </c>
      <c r="CB7" s="4">
        <f>COUNTIFS(tblDeaths[Month],12,tblDeaths[AgeUnit],"Years",tblDeaths[Age],"&gt;="&amp;5,tblDeaths[Age],"&lt;="&amp;9,tblDeaths[Sex],"F")</f>
        <v>0</v>
      </c>
      <c r="CC7" s="4">
        <f>COUNTIFS(tblDeaths[Month],12,tblDeaths[AgeUnit],"Years",tblDeaths[Age],"&gt;="&amp;5,tblDeaths[Age],"&lt;="&amp;9,tblDeaths[Sex],"M",tblDeaths[NHIS],"Non-Insured")</f>
        <v>0</v>
      </c>
      <c r="CD7" s="4">
        <f>COUNTIFS(tblDeaths[Month],12,tblDeaths[AgeUnit],"Years",tblDeaths[Age],"&gt;="&amp;5,tblDeaths[Age],"&lt;="&amp;9,tblDeaths[Sex],"F",tblDeaths[NHIS],"Non-Insured")</f>
        <v>0</v>
      </c>
      <c r="CE7" s="4">
        <f>COUNTIFS(tblDeaths[Month],12,tblDeaths[AgeUnit],"Years",tblDeaths[Age],"&gt;="&amp;5,tblDeaths[Age],"&lt;="&amp;9,tblDeaths[Sex],"M",tblDeaths[NHIS],"Insured")</f>
        <v>0</v>
      </c>
      <c r="CF7" s="4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4" t="s">
        <v>168</v>
      </c>
      <c r="B8" s="4">
        <f>COUNTIFS(tblDeaths[Month],1,tblDeaths[AgeUnit],"Years",tblDeaths[Age],"&gt;="&amp;10,tblDeaths[Age],"&lt;="&amp;14,tblDeaths[Sex],"M")</f>
        <v>0</v>
      </c>
      <c r="C8" s="4">
        <f>COUNTIFS(tblDeaths[Month],1,tblDeaths[AgeUnit],"Years",tblDeaths[Age],"&gt;="&amp;10,tblDeaths[Age],"&lt;="&amp;14,tblDeaths[Sex],"F")</f>
        <v>0</v>
      </c>
      <c r="D8" s="4">
        <f>COUNTIFS(tblDeaths[Month],1,tblDeaths[AgeUnit],"Years",tblDeaths[Age],"&gt;="&amp;10,tblDeaths[Age],"&lt;="&amp;14,tblDeaths[Sex],"M",tblDeaths[NHIS],"Non-Insured")</f>
        <v>0</v>
      </c>
      <c r="E8" s="4">
        <f>COUNTIFS(tblDeaths[Month],1,tblDeaths[AgeUnit],"Years",tblDeaths[Age],"&gt;="&amp;10,tblDeaths[Age],"&lt;="&amp;14,tblDeaths[Sex],"F",tblDeaths[NHIS],"Non-Insured")</f>
        <v>0</v>
      </c>
      <c r="F8" s="4">
        <f>COUNTIFS(tblDeaths[Month],1,tblDeaths[AgeUnit],"Years",tblDeaths[Age],"&gt;="&amp;10,tblDeaths[Age],"&lt;="&amp;14,tblDeaths[Sex],"M",tblDeaths[NHIS],"Insured")</f>
        <v>0</v>
      </c>
      <c r="G8" s="4">
        <f>COUNTIFS(tblDeaths[Month],1,tblDeaths[AgeUnit],"Years",tblDeaths[Age],"&gt;="&amp;10,tblDeaths[Age],"&lt;="&amp;14,tblDeaths[Sex],"F",tblDeaths[NHIS],"Insured")</f>
        <v>0</v>
      </c>
      <c r="H8" s="4" t="s">
        <v>168</v>
      </c>
      <c r="I8" s="4">
        <f>COUNTIFS(tblDeaths[Month],2,tblDeaths[AgeUnit],"Years",tblDeaths[Age],"&gt;="&amp;10,tblDeaths[Age],"&lt;="&amp;14,tblDeaths[Sex],"M")</f>
        <v>0</v>
      </c>
      <c r="J8" s="4">
        <f>COUNTIFS(tblDeaths[Month],2,tblDeaths[AgeUnit],"Years",tblDeaths[Age],"&gt;="&amp;10,tblDeaths[Age],"&lt;="&amp;14,tblDeaths[Sex],"F")</f>
        <v>0</v>
      </c>
      <c r="K8" s="4">
        <f>COUNTIFS(tblDeaths[Month],2,tblDeaths[AgeUnit],"Years",tblDeaths[Age],"&gt;="&amp;10,tblDeaths[Age],"&lt;="&amp;14,tblDeaths[Sex],"M",tblDeaths[NHIS],"Non-Insured")</f>
        <v>0</v>
      </c>
      <c r="L8" s="4">
        <f>COUNTIFS(tblDeaths[Month],2,tblDeaths[AgeUnit],"Years",tblDeaths[Age],"&gt;="&amp;10,tblDeaths[Age],"&lt;="&amp;14,tblDeaths[Sex],"F",tblDeaths[NHIS],"Non-Insured")</f>
        <v>0</v>
      </c>
      <c r="M8" s="4">
        <f>COUNTIFS(tblDeaths[Month],2,tblDeaths[AgeUnit],"Years",tblDeaths[Age],"&gt;="&amp;10,tblDeaths[Age],"&lt;="&amp;14,tblDeaths[Sex],"M",tblDeaths[NHIS],"Insured")</f>
        <v>0</v>
      </c>
      <c r="N8" s="4">
        <f>COUNTIFS(tblDeaths[Month],2,tblDeaths[AgeUnit],"Years",tblDeaths[Age],"&gt;="&amp;10,tblDeaths[Age],"&lt;="&amp;14,tblDeaths[Sex],"F",tblDeaths[NHIS],"Insured")</f>
        <v>0</v>
      </c>
      <c r="O8" s="4" t="s">
        <v>168</v>
      </c>
      <c r="P8" s="4">
        <f>COUNTIFS(tblDeaths[Month],3,tblDeaths[AgeUnit],"Years",tblDeaths[Age],"&gt;="&amp;10,tblDeaths[Age],"&lt;="&amp;14,tblDeaths[Sex],"M")</f>
        <v>0</v>
      </c>
      <c r="Q8" s="4">
        <f>COUNTIFS(tblDeaths[Month],3,tblDeaths[AgeUnit],"Years",tblDeaths[Age],"&gt;="&amp;10,tblDeaths[Age],"&lt;="&amp;14,tblDeaths[Sex],"F")</f>
        <v>0</v>
      </c>
      <c r="R8" s="4">
        <f>COUNTIFS(tblDeaths[Month],3,tblDeaths[AgeUnit],"Years",tblDeaths[Age],"&gt;="&amp;10,tblDeaths[Age],"&lt;="&amp;14,tblDeaths[Sex],"M",tblDeaths[NHIS],"Non-Insured")</f>
        <v>0</v>
      </c>
      <c r="S8" s="4">
        <f>COUNTIFS(tblDeaths[Month],3,tblDeaths[AgeUnit],"Years",tblDeaths[Age],"&gt;="&amp;10,tblDeaths[Age],"&lt;="&amp;14,tblDeaths[Sex],"F",tblDeaths[NHIS],"Non-Insured")</f>
        <v>0</v>
      </c>
      <c r="T8" s="4">
        <f>COUNTIFS(tblDeaths[Month],3,tblDeaths[AgeUnit],"Years",tblDeaths[Age],"&gt;="&amp;10,tblDeaths[Age],"&lt;="&amp;14,tblDeaths[Sex],"M",tblDeaths[NHIS],"Insured")</f>
        <v>0</v>
      </c>
      <c r="U8" s="4">
        <f>COUNTIFS(tblDeaths[Month],3,tblDeaths[AgeUnit],"Years",tblDeaths[Age],"&gt;="&amp;10,tblDeaths[Age],"&lt;="&amp;14,tblDeaths[Sex],"F",tblDeaths[NHIS],"Insured")</f>
        <v>0</v>
      </c>
      <c r="V8" s="4" t="s">
        <v>168</v>
      </c>
      <c r="W8" s="4">
        <f>COUNTIFS(tblDeaths[Month],4,tblDeaths[AgeUnit],"Years",tblDeaths[Age],"&gt;="&amp;10,tblDeaths[Age],"&lt;="&amp;14,tblDeaths[Sex],"M")</f>
        <v>0</v>
      </c>
      <c r="X8" s="4">
        <f>COUNTIFS(tblDeaths[Month],4,tblDeaths[AgeUnit],"Years",tblDeaths[Age],"&gt;="&amp;10,tblDeaths[Age],"&lt;="&amp;14,tblDeaths[Sex],"F")</f>
        <v>0</v>
      </c>
      <c r="Y8" s="4">
        <f>COUNTIFS(tblDeaths[Month],4,tblDeaths[AgeUnit],"Years",tblDeaths[Age],"&gt;="&amp;10,tblDeaths[Age],"&lt;="&amp;14,tblDeaths[Sex],"M",tblDeaths[NHIS],"Non-Insured")</f>
        <v>0</v>
      </c>
      <c r="Z8" s="4">
        <f>COUNTIFS(tblDeaths[Month],4,tblDeaths[AgeUnit],"Years",tblDeaths[Age],"&gt;="&amp;10,tblDeaths[Age],"&lt;="&amp;14,tblDeaths[Sex],"F",tblDeaths[NHIS],"Non-Insured")</f>
        <v>0</v>
      </c>
      <c r="AA8" s="4">
        <f>COUNTIFS(tblDeaths[Month],4,tblDeaths[AgeUnit],"Years",tblDeaths[Age],"&gt;="&amp;10,tblDeaths[Age],"&lt;="&amp;14,tblDeaths[Sex],"M",tblDeaths[NHIS],"Insured")</f>
        <v>0</v>
      </c>
      <c r="AB8" s="4">
        <f>COUNTIFS(tblDeaths[Month],4,tblDeaths[AgeUnit],"Years",tblDeaths[Age],"&gt;="&amp;10,tblDeaths[Age],"&lt;="&amp;14,tblDeaths[Sex],"F",tblDeaths[NHIS],"Insured")</f>
        <v>0</v>
      </c>
      <c r="AC8" s="4" t="s">
        <v>168</v>
      </c>
      <c r="AD8" s="4">
        <f>COUNTIFS(tblDeaths[Month],5,tblDeaths[AgeUnit],"Years",tblDeaths[Age],"&gt;="&amp;10,tblDeaths[Age],"&lt;="&amp;14,tblDeaths[Sex],"M")</f>
        <v>0</v>
      </c>
      <c r="AE8" s="4">
        <f>COUNTIFS(tblDeaths[Month],5,tblDeaths[AgeUnit],"Years",tblDeaths[Age],"&gt;="&amp;10,tblDeaths[Age],"&lt;="&amp;14,tblDeaths[Sex],"F")</f>
        <v>0</v>
      </c>
      <c r="AF8" s="4">
        <f>COUNTIFS(tblDeaths[Month],5,tblDeaths[AgeUnit],"Years",tblDeaths[Age],"&gt;="&amp;10,tblDeaths[Age],"&lt;="&amp;14,tblDeaths[Sex],"M",tblDeaths[NHIS],"Non-Insured")</f>
        <v>0</v>
      </c>
      <c r="AG8" s="4">
        <f>COUNTIFS(tblDeaths[Month],5,tblDeaths[AgeUnit],"Years",tblDeaths[Age],"&gt;="&amp;10,tblDeaths[Age],"&lt;="&amp;14,tblDeaths[Sex],"F",tblDeaths[NHIS],"Non-Insured")</f>
        <v>0</v>
      </c>
      <c r="AH8" s="4">
        <f>COUNTIFS(tblDeaths[Month],5,tblDeaths[AgeUnit],"Years",tblDeaths[Age],"&gt;="&amp;10,tblDeaths[Age],"&lt;="&amp;14,tblDeaths[Sex],"M",tblDeaths[NHIS],"Insured")</f>
        <v>0</v>
      </c>
      <c r="AI8" s="4">
        <f>COUNTIFS(tblDeaths[Month],5,tblDeaths[AgeUnit],"Years",tblDeaths[Age],"&gt;="&amp;10,tblDeaths[Age],"&lt;="&amp;14,tblDeaths[Sex],"F",tblDeaths[NHIS],"Insured")</f>
        <v>0</v>
      </c>
      <c r="AJ8" s="4" t="s">
        <v>168</v>
      </c>
      <c r="AK8" s="4">
        <f>COUNTIFS(tblDeaths[Month],6,tblDeaths[AgeUnit],"Years",tblDeaths[Age],"&gt;="&amp;10,tblDeaths[Age],"&lt;="&amp;14,tblDeaths[Sex],"M")</f>
        <v>0</v>
      </c>
      <c r="AL8" s="4">
        <f>COUNTIFS(tblDeaths[Month],6,tblDeaths[AgeUnit],"Years",tblDeaths[Age],"&gt;="&amp;10,tblDeaths[Age],"&lt;="&amp;14,tblDeaths[Sex],"F")</f>
        <v>0</v>
      </c>
      <c r="AM8" s="4">
        <f>COUNTIFS(tblDeaths[Month],6,tblDeaths[AgeUnit],"Years",tblDeaths[Age],"&gt;="&amp;10,tblDeaths[Age],"&lt;="&amp;14,tblDeaths[Sex],"M",tblDeaths[NHIS],"Non-Insured")</f>
        <v>0</v>
      </c>
      <c r="AN8" s="4">
        <f>COUNTIFS(tblDeaths[Month],6,tblDeaths[AgeUnit],"Years",tblDeaths[Age],"&gt;="&amp;10,tblDeaths[Age],"&lt;="&amp;14,tblDeaths[Sex],"F",tblDeaths[NHIS],"Non-Insured")</f>
        <v>0</v>
      </c>
      <c r="AO8" s="4">
        <f>COUNTIFS(tblDeaths[Month],6,tblDeaths[AgeUnit],"Years",tblDeaths[Age],"&gt;="&amp;10,tblDeaths[Age],"&lt;="&amp;14,tblDeaths[Sex],"M",tblDeaths[NHIS],"Insured")</f>
        <v>0</v>
      </c>
      <c r="AP8" s="4">
        <f>COUNTIFS(tblDeaths[Month],6,tblDeaths[AgeUnit],"Years",tblDeaths[Age],"&gt;="&amp;10,tblDeaths[Age],"&lt;="&amp;14,tblDeaths[Sex],"F",tblDeaths[NHIS],"Insured")</f>
        <v>0</v>
      </c>
      <c r="AQ8" s="4" t="s">
        <v>168</v>
      </c>
      <c r="AR8" s="4">
        <f>COUNTIFS(tblDeaths[Month],7,tblDeaths[AgeUnit],"Years",tblDeaths[Age],"&gt;="&amp;10,tblDeaths[Age],"&lt;="&amp;14,tblDeaths[Sex],"M")</f>
        <v>0</v>
      </c>
      <c r="AS8" s="4">
        <f>COUNTIFS(tblDeaths[Month],7,tblDeaths[AgeUnit],"Years",tblDeaths[Age],"&gt;="&amp;10,tblDeaths[Age],"&lt;="&amp;14,tblDeaths[Sex],"F")</f>
        <v>0</v>
      </c>
      <c r="AT8" s="4">
        <f>COUNTIFS(tblDeaths[Month],7,tblDeaths[AgeUnit],"Years",tblDeaths[Age],"&gt;="&amp;10,tblDeaths[Age],"&lt;="&amp;14,tblDeaths[Sex],"M",tblDeaths[NHIS],"Non-Insured")</f>
        <v>0</v>
      </c>
      <c r="AU8" s="4">
        <f>COUNTIFS(tblDeaths[Month],7,tblDeaths[AgeUnit],"Years",tblDeaths[Age],"&gt;="&amp;10,tblDeaths[Age],"&lt;="&amp;14,tblDeaths[Sex],"F",tblDeaths[NHIS],"Non-Insured")</f>
        <v>0</v>
      </c>
      <c r="AV8" s="4">
        <f>COUNTIFS(tblDeaths[Month],7,tblDeaths[AgeUnit],"Years",tblDeaths[Age],"&gt;="&amp;10,tblDeaths[Age],"&lt;="&amp;14,tblDeaths[Sex],"M",tblDeaths[NHIS],"Insured")</f>
        <v>0</v>
      </c>
      <c r="AW8" s="4">
        <f>COUNTIFS(tblDeaths[Month],7,tblDeaths[AgeUnit],"Years",tblDeaths[Age],"&gt;="&amp;10,tblDeaths[Age],"&lt;="&amp;14,tblDeaths[Sex],"F",tblDeaths[NHIS],"Insured")</f>
        <v>0</v>
      </c>
      <c r="AX8" s="4" t="s">
        <v>168</v>
      </c>
      <c r="AY8" s="4">
        <f>COUNTIFS(tblDeaths[Month],8,tblDeaths[AgeUnit],"Years",tblDeaths[Age],"&gt;="&amp;10,tblDeaths[Age],"&lt;="&amp;14,tblDeaths[Sex],"M")</f>
        <v>0</v>
      </c>
      <c r="AZ8" s="4">
        <f>COUNTIFS(tblDeaths[Month],8,tblDeaths[AgeUnit],"Years",tblDeaths[Age],"&gt;="&amp;10,tblDeaths[Age],"&lt;="&amp;14,tblDeaths[Sex],"F")</f>
        <v>0</v>
      </c>
      <c r="BA8" s="4">
        <f>COUNTIFS(tblDeaths[Month],8,tblDeaths[AgeUnit],"Years",tblDeaths[Age],"&gt;="&amp;10,tblDeaths[Age],"&lt;="&amp;14,tblDeaths[Sex],"M",tblDeaths[NHIS],"Non-Insured")</f>
        <v>0</v>
      </c>
      <c r="BB8" s="4">
        <f>COUNTIFS(tblDeaths[Month],8,tblDeaths[AgeUnit],"Years",tblDeaths[Age],"&gt;="&amp;10,tblDeaths[Age],"&lt;="&amp;14,tblDeaths[Sex],"F",tblDeaths[NHIS],"Non-Insured")</f>
        <v>0</v>
      </c>
      <c r="BC8" s="4">
        <f>COUNTIFS(tblDeaths[Month],8,tblDeaths[AgeUnit],"Years",tblDeaths[Age],"&gt;="&amp;10,tblDeaths[Age],"&lt;="&amp;14,tblDeaths[Sex],"M",tblDeaths[NHIS],"Insured")</f>
        <v>0</v>
      </c>
      <c r="BD8" s="4">
        <f>COUNTIFS(tblDeaths[Month],8,tblDeaths[AgeUnit],"Years",tblDeaths[Age],"&gt;="&amp;10,tblDeaths[Age],"&lt;="&amp;14,tblDeaths[Sex],"F",tblDeaths[NHIS],"Insured")</f>
        <v>0</v>
      </c>
      <c r="BE8" s="4" t="s">
        <v>168</v>
      </c>
      <c r="BF8" s="4">
        <f>COUNTIFS(tblDeaths[Month],9,tblDeaths[AgeUnit],"Years",tblDeaths[Age],"&gt;="&amp;10,tblDeaths[Age],"&lt;="&amp;14,tblDeaths[Sex],"M")</f>
        <v>0</v>
      </c>
      <c r="BG8" s="4">
        <f>COUNTIFS(tblDeaths[Month],9,tblDeaths[AgeUnit],"Years",tblDeaths[Age],"&gt;="&amp;10,tblDeaths[Age],"&lt;="&amp;14,tblDeaths[Sex],"F")</f>
        <v>0</v>
      </c>
      <c r="BH8" s="4">
        <f>COUNTIFS(tblDeaths[Month],9,tblDeaths[AgeUnit],"Years",tblDeaths[Age],"&gt;="&amp;10,tblDeaths[Age],"&lt;="&amp;14,tblDeaths[Sex],"M",tblDeaths[NHIS],"Non-Insured")</f>
        <v>0</v>
      </c>
      <c r="BI8" s="4">
        <f>COUNTIFS(tblDeaths[Month],9,tblDeaths[AgeUnit],"Years",tblDeaths[Age],"&gt;="&amp;10,tblDeaths[Age],"&lt;="&amp;14,tblDeaths[Sex],"F",tblDeaths[NHIS],"Non-Insured")</f>
        <v>0</v>
      </c>
      <c r="BJ8" s="4">
        <f>COUNTIFS(tblDeaths[Month],9,tblDeaths[AgeUnit],"Years",tblDeaths[Age],"&gt;="&amp;10,tblDeaths[Age],"&lt;="&amp;14,tblDeaths[Sex],"M",tblDeaths[NHIS],"Insured")</f>
        <v>0</v>
      </c>
      <c r="BK8" s="4">
        <f>COUNTIFS(tblDeaths[Month],9,tblDeaths[AgeUnit],"Years",tblDeaths[Age],"&gt;="&amp;10,tblDeaths[Age],"&lt;="&amp;14,tblDeaths[Sex],"F",tblDeaths[NHIS],"Insured")</f>
        <v>0</v>
      </c>
      <c r="BL8" s="4" t="s">
        <v>168</v>
      </c>
      <c r="BM8" s="4">
        <f>COUNTIFS(tblDeaths[Month],10,tblDeaths[AgeUnit],"Years",tblDeaths[Age],"&gt;="&amp;10,tblDeaths[Age],"&lt;="&amp;14,tblDeaths[Sex],"M")</f>
        <v>0</v>
      </c>
      <c r="BN8" s="4">
        <f>COUNTIFS(tblDeaths[Month],10,tblDeaths[AgeUnit],"Years",tblDeaths[Age],"&gt;="&amp;10,tblDeaths[Age],"&lt;="&amp;14,tblDeaths[Sex],"F")</f>
        <v>0</v>
      </c>
      <c r="BO8" s="4">
        <f>COUNTIFS(tblDeaths[Month],10,tblDeaths[AgeUnit],"Years",tblDeaths[Age],"&gt;="&amp;10,tblDeaths[Age],"&lt;="&amp;14,tblDeaths[Sex],"M",tblDeaths[NHIS],"Non-Insured")</f>
        <v>0</v>
      </c>
      <c r="BP8" s="4">
        <f>COUNTIFS(tblDeaths[Month],10,tblDeaths[AgeUnit],"Years",tblDeaths[Age],"&gt;="&amp;10,tblDeaths[Age],"&lt;="&amp;14,tblDeaths[Sex],"F",tblDeaths[NHIS],"Non-Insured")</f>
        <v>0</v>
      </c>
      <c r="BQ8" s="4">
        <f>COUNTIFS(tblDeaths[Month],10,tblDeaths[AgeUnit],"Years",tblDeaths[Age],"&gt;="&amp;10,tblDeaths[Age],"&lt;="&amp;14,tblDeaths[Sex],"M",tblDeaths[NHIS],"Insured")</f>
        <v>0</v>
      </c>
      <c r="BR8" s="4">
        <f>COUNTIFS(tblDeaths[Month],10,tblDeaths[AgeUnit],"Years",tblDeaths[Age],"&gt;="&amp;10,tblDeaths[Age],"&lt;="&amp;14,tblDeaths[Sex],"F",tblDeaths[NHIS],"Insured")</f>
        <v>0</v>
      </c>
      <c r="BS8" s="4" t="s">
        <v>168</v>
      </c>
      <c r="BT8" s="4">
        <f>COUNTIFS(tblDeaths[Month],11,tblDeaths[AgeUnit],"Years",tblDeaths[Age],"&gt;="&amp;10,tblDeaths[Age],"&lt;="&amp;14,tblDeaths[Sex],"M")</f>
        <v>0</v>
      </c>
      <c r="BU8" s="4">
        <f>COUNTIFS(tblDeaths[Month],11,tblDeaths[AgeUnit],"Years",tblDeaths[Age],"&gt;="&amp;10,tblDeaths[Age],"&lt;="&amp;14,tblDeaths[Sex],"F")</f>
        <v>0</v>
      </c>
      <c r="BV8" s="4">
        <f>COUNTIFS(tblDeaths[Month],11,tblDeaths[AgeUnit],"Years",tblDeaths[Age],"&gt;="&amp;10,tblDeaths[Age],"&lt;="&amp;14,tblDeaths[Sex],"M",tblDeaths[NHIS],"Non-Insured")</f>
        <v>0</v>
      </c>
      <c r="BW8" s="4">
        <f>COUNTIFS(tblDeaths[Month],11,tblDeaths[AgeUnit],"Years",tblDeaths[Age],"&gt;="&amp;10,tblDeaths[Age],"&lt;="&amp;14,tblDeaths[Sex],"F",tblDeaths[NHIS],"Non-Insured")</f>
        <v>0</v>
      </c>
      <c r="BX8" s="4">
        <f>COUNTIFS(tblDeaths[Month],11,tblDeaths[AgeUnit],"Years",tblDeaths[Age],"&gt;="&amp;10,tblDeaths[Age],"&lt;="&amp;14,tblDeaths[Sex],"M",tblDeaths[NHIS],"Insured")</f>
        <v>0</v>
      </c>
      <c r="BY8" s="4">
        <f>COUNTIFS(tblDeaths[Month],11,tblDeaths[AgeUnit],"Years",tblDeaths[Age],"&gt;="&amp;10,tblDeaths[Age],"&lt;="&amp;14,tblDeaths[Sex],"F",tblDeaths[NHIS],"Insured")</f>
        <v>0</v>
      </c>
      <c r="BZ8" s="4" t="s">
        <v>168</v>
      </c>
      <c r="CA8" s="4">
        <f>COUNTIFS(tblDeaths[Month],12,tblDeaths[AgeUnit],"Years",tblDeaths[Age],"&gt;="&amp;10,tblDeaths[Age],"&lt;="&amp;14,tblDeaths[Sex],"M")</f>
        <v>0</v>
      </c>
      <c r="CB8" s="4">
        <f>COUNTIFS(tblDeaths[Month],12,tblDeaths[AgeUnit],"Years",tblDeaths[Age],"&gt;="&amp;10,tblDeaths[Age],"&lt;="&amp;14,tblDeaths[Sex],"F")</f>
        <v>0</v>
      </c>
      <c r="CC8" s="4">
        <f>COUNTIFS(tblDeaths[Month],12,tblDeaths[AgeUnit],"Years",tblDeaths[Age],"&gt;="&amp;10,tblDeaths[Age],"&lt;="&amp;14,tblDeaths[Sex],"M",tblDeaths[NHIS],"Non-Insured")</f>
        <v>0</v>
      </c>
      <c r="CD8" s="4">
        <f>COUNTIFS(tblDeaths[Month],12,tblDeaths[AgeUnit],"Years",tblDeaths[Age],"&gt;="&amp;10,tblDeaths[Age],"&lt;="&amp;14,tblDeaths[Sex],"F",tblDeaths[NHIS],"Non-Insured")</f>
        <v>0</v>
      </c>
      <c r="CE8" s="4">
        <f>COUNTIFS(tblDeaths[Month],12,tblDeaths[AgeUnit],"Years",tblDeaths[Age],"&gt;="&amp;10,tblDeaths[Age],"&lt;="&amp;14,tblDeaths[Sex],"M",tblDeaths[NHIS],"Insured")</f>
        <v>0</v>
      </c>
      <c r="CF8" s="4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4" t="s">
        <v>169</v>
      </c>
      <c r="B9" s="4">
        <f>COUNTIFS(tblDeaths[Month],1,tblDeaths[AgeUnit],"Years",tblDeaths[Age],"&gt;="&amp;15,tblDeaths[Age],"&lt;="&amp;17,tblDeaths[Sex],"M")</f>
        <v>0</v>
      </c>
      <c r="C9" s="4">
        <f>COUNTIFS(tblDeaths[Month],1,tblDeaths[AgeUnit],"Years",tblDeaths[Age],"&gt;="&amp;15,tblDeaths[Age],"&lt;="&amp;17,tblDeaths[Sex],"F")</f>
        <v>0</v>
      </c>
      <c r="D9" s="4">
        <f>COUNTIFS(tblDeaths[Month],1,tblDeaths[AgeUnit],"Years",tblDeaths[Age],"&gt;="&amp;15,tblDeaths[Age],"&lt;="&amp;17,tblDeaths[Sex],"M",tblDeaths[NHIS],"Non-Insured")</f>
        <v>0</v>
      </c>
      <c r="E9" s="4">
        <f>COUNTIFS(tblDeaths[Month],1,tblDeaths[AgeUnit],"Years",tblDeaths[Age],"&gt;="&amp;15,tblDeaths[Age],"&lt;="&amp;17,tblDeaths[Sex],"F",tblDeaths[NHIS],"Non-Insured")</f>
        <v>0</v>
      </c>
      <c r="F9" s="4">
        <f>COUNTIFS(tblDeaths[Month],1,tblDeaths[AgeUnit],"Years",tblDeaths[Age],"&gt;="&amp;15,tblDeaths[Age],"&lt;="&amp;17,tblDeaths[Sex],"M",tblDeaths[NHIS],"Insured")</f>
        <v>0</v>
      </c>
      <c r="G9" s="4">
        <f>COUNTIFS(tblDeaths[Month],1,tblDeaths[AgeUnit],"Years",tblDeaths[Age],"&gt;="&amp;15,tblDeaths[Age],"&lt;="&amp;17,tblDeaths[Sex],"F",tblDeaths[NHIS],"Insured")</f>
        <v>0</v>
      </c>
      <c r="H9" s="4" t="s">
        <v>169</v>
      </c>
      <c r="I9" s="4">
        <f>COUNTIFS(tblDeaths[Month],2,tblDeaths[AgeUnit],"Years",tblDeaths[Age],"&gt;="&amp;15,tblDeaths[Age],"&lt;="&amp;17,tblDeaths[Sex],"M")</f>
        <v>0</v>
      </c>
      <c r="J9" s="4">
        <f>COUNTIFS(tblDeaths[Month],2,tblDeaths[AgeUnit],"Years",tblDeaths[Age],"&gt;="&amp;15,tblDeaths[Age],"&lt;="&amp;17,tblDeaths[Sex],"F")</f>
        <v>0</v>
      </c>
      <c r="K9" s="4">
        <f>COUNTIFS(tblDeaths[Month],2,tblDeaths[AgeUnit],"Years",tblDeaths[Age],"&gt;="&amp;15,tblDeaths[Age],"&lt;="&amp;17,tblDeaths[Sex],"M",tblDeaths[NHIS],"Non-Insured")</f>
        <v>0</v>
      </c>
      <c r="L9" s="4">
        <f>COUNTIFS(tblDeaths[Month],2,tblDeaths[AgeUnit],"Years",tblDeaths[Age],"&gt;="&amp;15,tblDeaths[Age],"&lt;="&amp;17,tblDeaths[Sex],"F",tblDeaths[NHIS],"Non-Insured")</f>
        <v>0</v>
      </c>
      <c r="M9" s="4">
        <f>COUNTIFS(tblDeaths[Month],2,tblDeaths[AgeUnit],"Years",tblDeaths[Age],"&gt;="&amp;15,tblDeaths[Age],"&lt;="&amp;17,tblDeaths[Sex],"M",tblDeaths[NHIS],"Insured")</f>
        <v>0</v>
      </c>
      <c r="N9" s="4">
        <f>COUNTIFS(tblDeaths[Month],2,tblDeaths[AgeUnit],"Years",tblDeaths[Age],"&gt;="&amp;15,tblDeaths[Age],"&lt;="&amp;17,tblDeaths[Sex],"F",tblDeaths[NHIS],"Insured")</f>
        <v>0</v>
      </c>
      <c r="O9" s="4" t="s">
        <v>169</v>
      </c>
      <c r="P9" s="4">
        <f>COUNTIFS(tblDeaths[Month],3,tblDeaths[AgeUnit],"Years",tblDeaths[Age],"&gt;="&amp;15,tblDeaths[Age],"&lt;="&amp;17,tblDeaths[Sex],"M")</f>
        <v>0</v>
      </c>
      <c r="Q9" s="4">
        <f>COUNTIFS(tblDeaths[Month],3,tblDeaths[AgeUnit],"Years",tblDeaths[Age],"&gt;="&amp;15,tblDeaths[Age],"&lt;="&amp;17,tblDeaths[Sex],"F")</f>
        <v>0</v>
      </c>
      <c r="R9" s="4">
        <f>COUNTIFS(tblDeaths[Month],3,tblDeaths[AgeUnit],"Years",tblDeaths[Age],"&gt;="&amp;15,tblDeaths[Age],"&lt;="&amp;17,tblDeaths[Sex],"M",tblDeaths[NHIS],"Non-Insured")</f>
        <v>0</v>
      </c>
      <c r="S9" s="4">
        <f>COUNTIFS(tblDeaths[Month],3,tblDeaths[AgeUnit],"Years",tblDeaths[Age],"&gt;="&amp;15,tblDeaths[Age],"&lt;="&amp;17,tblDeaths[Sex],"F",tblDeaths[NHIS],"Non-Insured")</f>
        <v>0</v>
      </c>
      <c r="T9" s="4">
        <f>COUNTIFS(tblDeaths[Month],3,tblDeaths[AgeUnit],"Years",tblDeaths[Age],"&gt;="&amp;15,tblDeaths[Age],"&lt;="&amp;17,tblDeaths[Sex],"M",tblDeaths[NHIS],"Insured")</f>
        <v>0</v>
      </c>
      <c r="U9" s="4">
        <f>COUNTIFS(tblDeaths[Month],3,tblDeaths[AgeUnit],"Years",tblDeaths[Age],"&gt;="&amp;15,tblDeaths[Age],"&lt;="&amp;17,tblDeaths[Sex],"F",tblDeaths[NHIS],"Insured")</f>
        <v>0</v>
      </c>
      <c r="V9" s="4" t="s">
        <v>169</v>
      </c>
      <c r="W9" s="4">
        <f>COUNTIFS(tblDeaths[Month],4,tblDeaths[AgeUnit],"Years",tblDeaths[Age],"&gt;="&amp;15,tblDeaths[Age],"&lt;="&amp;17,tblDeaths[Sex],"M")</f>
        <v>0</v>
      </c>
      <c r="X9" s="4">
        <f>COUNTIFS(tblDeaths[Month],4,tblDeaths[AgeUnit],"Years",tblDeaths[Age],"&gt;="&amp;15,tblDeaths[Age],"&lt;="&amp;17,tblDeaths[Sex],"F")</f>
        <v>0</v>
      </c>
      <c r="Y9" s="4">
        <f>COUNTIFS(tblDeaths[Month],4,tblDeaths[AgeUnit],"Years",tblDeaths[Age],"&gt;="&amp;15,tblDeaths[Age],"&lt;="&amp;17,tblDeaths[Sex],"M",tblDeaths[NHIS],"Non-Insured")</f>
        <v>0</v>
      </c>
      <c r="Z9" s="4">
        <f>COUNTIFS(tblDeaths[Month],4,tblDeaths[AgeUnit],"Years",tblDeaths[Age],"&gt;="&amp;15,tblDeaths[Age],"&lt;="&amp;17,tblDeaths[Sex],"F",tblDeaths[NHIS],"Non-Insured")</f>
        <v>0</v>
      </c>
      <c r="AA9" s="4">
        <f>COUNTIFS(tblDeaths[Month],4,tblDeaths[AgeUnit],"Years",tblDeaths[Age],"&gt;="&amp;15,tblDeaths[Age],"&lt;="&amp;17,tblDeaths[Sex],"M",tblDeaths[NHIS],"Insured")</f>
        <v>0</v>
      </c>
      <c r="AB9" s="4">
        <f>COUNTIFS(tblDeaths[Month],4,tblDeaths[AgeUnit],"Years",tblDeaths[Age],"&gt;="&amp;15,tblDeaths[Age],"&lt;="&amp;17,tblDeaths[Sex],"F",tblDeaths[NHIS],"Insured")</f>
        <v>0</v>
      </c>
      <c r="AC9" s="4" t="s">
        <v>169</v>
      </c>
      <c r="AD9" s="4">
        <f>COUNTIFS(tblDeaths[Month],5,tblDeaths[AgeUnit],"Years",tblDeaths[Age],"&gt;="&amp;15,tblDeaths[Age],"&lt;="&amp;17,tblDeaths[Sex],"M")</f>
        <v>0</v>
      </c>
      <c r="AE9" s="4">
        <f>COUNTIFS(tblDeaths[Month],5,tblDeaths[AgeUnit],"Years",tblDeaths[Age],"&gt;="&amp;15,tblDeaths[Age],"&lt;="&amp;17,tblDeaths[Sex],"F")</f>
        <v>0</v>
      </c>
      <c r="AF9" s="4">
        <f>COUNTIFS(tblDeaths[Month],5,tblDeaths[AgeUnit],"Years",tblDeaths[Age],"&gt;="&amp;15,tblDeaths[Age],"&lt;="&amp;17,tblDeaths[Sex],"M",tblDeaths[NHIS],"Non-Insured")</f>
        <v>0</v>
      </c>
      <c r="AG9" s="4">
        <f>COUNTIFS(tblDeaths[Month],5,tblDeaths[AgeUnit],"Years",tblDeaths[Age],"&gt;="&amp;15,tblDeaths[Age],"&lt;="&amp;17,tblDeaths[Sex],"F",tblDeaths[NHIS],"Non-Insured")</f>
        <v>0</v>
      </c>
      <c r="AH9" s="4">
        <f>COUNTIFS(tblDeaths[Month],5,tblDeaths[AgeUnit],"Years",tblDeaths[Age],"&gt;="&amp;15,tblDeaths[Age],"&lt;="&amp;17,tblDeaths[Sex],"M",tblDeaths[NHIS],"Insured")</f>
        <v>0</v>
      </c>
      <c r="AI9" s="4">
        <f>COUNTIFS(tblDeaths[Month],5,tblDeaths[AgeUnit],"Years",tblDeaths[Age],"&gt;="&amp;15,tblDeaths[Age],"&lt;="&amp;17,tblDeaths[Sex],"F",tblDeaths[NHIS],"Insured")</f>
        <v>0</v>
      </c>
      <c r="AJ9" s="4" t="s">
        <v>169</v>
      </c>
      <c r="AK9" s="4">
        <f>COUNTIFS(tblDeaths[Month],6,tblDeaths[AgeUnit],"Years",tblDeaths[Age],"&gt;="&amp;15,tblDeaths[Age],"&lt;="&amp;17,tblDeaths[Sex],"M")</f>
        <v>0</v>
      </c>
      <c r="AL9" s="4">
        <f>COUNTIFS(tblDeaths[Month],6,tblDeaths[AgeUnit],"Years",tblDeaths[Age],"&gt;="&amp;15,tblDeaths[Age],"&lt;="&amp;17,tblDeaths[Sex],"F")</f>
        <v>0</v>
      </c>
      <c r="AM9" s="4">
        <f>COUNTIFS(tblDeaths[Month],6,tblDeaths[AgeUnit],"Years",tblDeaths[Age],"&gt;="&amp;15,tblDeaths[Age],"&lt;="&amp;17,tblDeaths[Sex],"M",tblDeaths[NHIS],"Non-Insured")</f>
        <v>0</v>
      </c>
      <c r="AN9" s="4">
        <f>COUNTIFS(tblDeaths[Month],6,tblDeaths[AgeUnit],"Years",tblDeaths[Age],"&gt;="&amp;15,tblDeaths[Age],"&lt;="&amp;17,tblDeaths[Sex],"F",tblDeaths[NHIS],"Non-Insured")</f>
        <v>0</v>
      </c>
      <c r="AO9" s="4">
        <f>COUNTIFS(tblDeaths[Month],6,tblDeaths[AgeUnit],"Years",tblDeaths[Age],"&gt;="&amp;15,tblDeaths[Age],"&lt;="&amp;17,tblDeaths[Sex],"M",tblDeaths[NHIS],"Insured")</f>
        <v>0</v>
      </c>
      <c r="AP9" s="4">
        <f>COUNTIFS(tblDeaths[Month],6,tblDeaths[AgeUnit],"Years",tblDeaths[Age],"&gt;="&amp;15,tblDeaths[Age],"&lt;="&amp;17,tblDeaths[Sex],"F",tblDeaths[NHIS],"Insured")</f>
        <v>0</v>
      </c>
      <c r="AQ9" s="4" t="s">
        <v>169</v>
      </c>
      <c r="AR9" s="4">
        <f>COUNTIFS(tblDeaths[Month],7,tblDeaths[AgeUnit],"Years",tblDeaths[Age],"&gt;="&amp;15,tblDeaths[Age],"&lt;="&amp;17,tblDeaths[Sex],"M")</f>
        <v>0</v>
      </c>
      <c r="AS9" s="4">
        <f>COUNTIFS(tblDeaths[Month],7,tblDeaths[AgeUnit],"Years",tblDeaths[Age],"&gt;="&amp;15,tblDeaths[Age],"&lt;="&amp;17,tblDeaths[Sex],"F")</f>
        <v>0</v>
      </c>
      <c r="AT9" s="4">
        <f>COUNTIFS(tblDeaths[Month],7,tblDeaths[AgeUnit],"Years",tblDeaths[Age],"&gt;="&amp;15,tblDeaths[Age],"&lt;="&amp;17,tblDeaths[Sex],"M",tblDeaths[NHIS],"Non-Insured")</f>
        <v>0</v>
      </c>
      <c r="AU9" s="4">
        <f>COUNTIFS(tblDeaths[Month],7,tblDeaths[AgeUnit],"Years",tblDeaths[Age],"&gt;="&amp;15,tblDeaths[Age],"&lt;="&amp;17,tblDeaths[Sex],"F",tblDeaths[NHIS],"Non-Insured")</f>
        <v>0</v>
      </c>
      <c r="AV9" s="4">
        <f>COUNTIFS(tblDeaths[Month],7,tblDeaths[AgeUnit],"Years",tblDeaths[Age],"&gt;="&amp;15,tblDeaths[Age],"&lt;="&amp;17,tblDeaths[Sex],"M",tblDeaths[NHIS],"Insured")</f>
        <v>0</v>
      </c>
      <c r="AW9" s="4">
        <f>COUNTIFS(tblDeaths[Month],7,tblDeaths[AgeUnit],"Years",tblDeaths[Age],"&gt;="&amp;15,tblDeaths[Age],"&lt;="&amp;17,tblDeaths[Sex],"F",tblDeaths[NHIS],"Insured")</f>
        <v>0</v>
      </c>
      <c r="AX9" s="4" t="s">
        <v>169</v>
      </c>
      <c r="AY9" s="4">
        <f>COUNTIFS(tblDeaths[Month],8,tblDeaths[AgeUnit],"Years",tblDeaths[Age],"&gt;="&amp;15,tblDeaths[Age],"&lt;="&amp;17,tblDeaths[Sex],"M")</f>
        <v>0</v>
      </c>
      <c r="AZ9" s="4">
        <f>COUNTIFS(tblDeaths[Month],8,tblDeaths[AgeUnit],"Years",tblDeaths[Age],"&gt;="&amp;15,tblDeaths[Age],"&lt;="&amp;17,tblDeaths[Sex],"F")</f>
        <v>0</v>
      </c>
      <c r="BA9" s="4">
        <f>COUNTIFS(tblDeaths[Month],8,tblDeaths[AgeUnit],"Years",tblDeaths[Age],"&gt;="&amp;15,tblDeaths[Age],"&lt;="&amp;17,tblDeaths[Sex],"M",tblDeaths[NHIS],"Non-Insured")</f>
        <v>0</v>
      </c>
      <c r="BB9" s="4">
        <f>COUNTIFS(tblDeaths[Month],8,tblDeaths[AgeUnit],"Years",tblDeaths[Age],"&gt;="&amp;15,tblDeaths[Age],"&lt;="&amp;17,tblDeaths[Sex],"F",tblDeaths[NHIS],"Non-Insured")</f>
        <v>0</v>
      </c>
      <c r="BC9" s="4">
        <f>COUNTIFS(tblDeaths[Month],8,tblDeaths[AgeUnit],"Years",tblDeaths[Age],"&gt;="&amp;15,tblDeaths[Age],"&lt;="&amp;17,tblDeaths[Sex],"M",tblDeaths[NHIS],"Insured")</f>
        <v>0</v>
      </c>
      <c r="BD9" s="4">
        <f>COUNTIFS(tblDeaths[Month],8,tblDeaths[AgeUnit],"Years",tblDeaths[Age],"&gt;="&amp;15,tblDeaths[Age],"&lt;="&amp;17,tblDeaths[Sex],"F",tblDeaths[NHIS],"Insured")</f>
        <v>0</v>
      </c>
      <c r="BE9" s="4" t="s">
        <v>169</v>
      </c>
      <c r="BF9" s="4">
        <f>COUNTIFS(tblDeaths[Month],9,tblDeaths[AgeUnit],"Years",tblDeaths[Age],"&gt;="&amp;15,tblDeaths[Age],"&lt;="&amp;17,tblDeaths[Sex],"M")</f>
        <v>0</v>
      </c>
      <c r="BG9" s="4">
        <f>COUNTIFS(tblDeaths[Month],9,tblDeaths[AgeUnit],"Years",tblDeaths[Age],"&gt;="&amp;15,tblDeaths[Age],"&lt;="&amp;17,tblDeaths[Sex],"F")</f>
        <v>0</v>
      </c>
      <c r="BH9" s="4">
        <f>COUNTIFS(tblDeaths[Month],9,tblDeaths[AgeUnit],"Years",tblDeaths[Age],"&gt;="&amp;15,tblDeaths[Age],"&lt;="&amp;17,tblDeaths[Sex],"M",tblDeaths[NHIS],"Non-Insured")</f>
        <v>0</v>
      </c>
      <c r="BI9" s="4">
        <f>COUNTIFS(tblDeaths[Month],9,tblDeaths[AgeUnit],"Years",tblDeaths[Age],"&gt;="&amp;15,tblDeaths[Age],"&lt;="&amp;17,tblDeaths[Sex],"F",tblDeaths[NHIS],"Non-Insured")</f>
        <v>0</v>
      </c>
      <c r="BJ9" s="4">
        <f>COUNTIFS(tblDeaths[Month],9,tblDeaths[AgeUnit],"Years",tblDeaths[Age],"&gt;="&amp;15,tblDeaths[Age],"&lt;="&amp;17,tblDeaths[Sex],"M",tblDeaths[NHIS],"Insured")</f>
        <v>0</v>
      </c>
      <c r="BK9" s="4">
        <f>COUNTIFS(tblDeaths[Month],9,tblDeaths[AgeUnit],"Years",tblDeaths[Age],"&gt;="&amp;15,tblDeaths[Age],"&lt;="&amp;17,tblDeaths[Sex],"F",tblDeaths[NHIS],"Insured")</f>
        <v>0</v>
      </c>
      <c r="BL9" s="4" t="s">
        <v>169</v>
      </c>
      <c r="BM9" s="4">
        <f>COUNTIFS(tblDeaths[Month],10,tblDeaths[AgeUnit],"Years",tblDeaths[Age],"&gt;="&amp;15,tblDeaths[Age],"&lt;="&amp;17,tblDeaths[Sex],"M")</f>
        <v>0</v>
      </c>
      <c r="BN9" s="4">
        <f>COUNTIFS(tblDeaths[Month],10,tblDeaths[AgeUnit],"Years",tblDeaths[Age],"&gt;="&amp;15,tblDeaths[Age],"&lt;="&amp;17,tblDeaths[Sex],"F")</f>
        <v>0</v>
      </c>
      <c r="BO9" s="4">
        <f>COUNTIFS(tblDeaths[Month],10,tblDeaths[AgeUnit],"Years",tblDeaths[Age],"&gt;="&amp;15,tblDeaths[Age],"&lt;="&amp;17,tblDeaths[Sex],"M",tblDeaths[NHIS],"Non-Insured")</f>
        <v>0</v>
      </c>
      <c r="BP9" s="4">
        <f>COUNTIFS(tblDeaths[Month],10,tblDeaths[AgeUnit],"Years",tblDeaths[Age],"&gt;="&amp;15,tblDeaths[Age],"&lt;="&amp;17,tblDeaths[Sex],"F",tblDeaths[NHIS],"Non-Insured")</f>
        <v>0</v>
      </c>
      <c r="BQ9" s="4">
        <f>COUNTIFS(tblDeaths[Month],10,tblDeaths[AgeUnit],"Years",tblDeaths[Age],"&gt;="&amp;15,tblDeaths[Age],"&lt;="&amp;17,tblDeaths[Sex],"M",tblDeaths[NHIS],"Insured")</f>
        <v>0</v>
      </c>
      <c r="BR9" s="4">
        <f>COUNTIFS(tblDeaths[Month],10,tblDeaths[AgeUnit],"Years",tblDeaths[Age],"&gt;="&amp;15,tblDeaths[Age],"&lt;="&amp;17,tblDeaths[Sex],"F",tblDeaths[NHIS],"Insured")</f>
        <v>0</v>
      </c>
      <c r="BS9" s="4" t="s">
        <v>169</v>
      </c>
      <c r="BT9" s="4">
        <f>COUNTIFS(tblDeaths[Month],11,tblDeaths[AgeUnit],"Years",tblDeaths[Age],"&gt;="&amp;15,tblDeaths[Age],"&lt;="&amp;17,tblDeaths[Sex],"M")</f>
        <v>0</v>
      </c>
      <c r="BU9" s="4">
        <f>COUNTIFS(tblDeaths[Month],11,tblDeaths[AgeUnit],"Years",tblDeaths[Age],"&gt;="&amp;15,tblDeaths[Age],"&lt;="&amp;17,tblDeaths[Sex],"F")</f>
        <v>0</v>
      </c>
      <c r="BV9" s="4">
        <f>COUNTIFS(tblDeaths[Month],11,tblDeaths[AgeUnit],"Years",tblDeaths[Age],"&gt;="&amp;15,tblDeaths[Age],"&lt;="&amp;17,tblDeaths[Sex],"M",tblDeaths[NHIS],"Non-Insured")</f>
        <v>0</v>
      </c>
      <c r="BW9" s="4">
        <f>COUNTIFS(tblDeaths[Month],11,tblDeaths[AgeUnit],"Years",tblDeaths[Age],"&gt;="&amp;15,tblDeaths[Age],"&lt;="&amp;17,tblDeaths[Sex],"F",tblDeaths[NHIS],"Non-Insured")</f>
        <v>0</v>
      </c>
      <c r="BX9" s="4">
        <f>COUNTIFS(tblDeaths[Month],11,tblDeaths[AgeUnit],"Years",tblDeaths[Age],"&gt;="&amp;15,tblDeaths[Age],"&lt;="&amp;17,tblDeaths[Sex],"M",tblDeaths[NHIS],"Insured")</f>
        <v>0</v>
      </c>
      <c r="BY9" s="4">
        <f>COUNTIFS(tblDeaths[Month],11,tblDeaths[AgeUnit],"Years",tblDeaths[Age],"&gt;="&amp;15,tblDeaths[Age],"&lt;="&amp;17,tblDeaths[Sex],"F",tblDeaths[NHIS],"Insured")</f>
        <v>0</v>
      </c>
      <c r="BZ9" s="4" t="s">
        <v>169</v>
      </c>
      <c r="CA9" s="4">
        <f>COUNTIFS(tblDeaths[Month],12,tblDeaths[AgeUnit],"Years",tblDeaths[Age],"&gt;="&amp;15,tblDeaths[Age],"&lt;="&amp;17,tblDeaths[Sex],"M")</f>
        <v>0</v>
      </c>
      <c r="CB9" s="4">
        <f>COUNTIFS(tblDeaths[Month],12,tblDeaths[AgeUnit],"Years",tblDeaths[Age],"&gt;="&amp;15,tblDeaths[Age],"&lt;="&amp;17,tblDeaths[Sex],"F")</f>
        <v>0</v>
      </c>
      <c r="CC9" s="4">
        <f>COUNTIFS(tblDeaths[Month],12,tblDeaths[AgeUnit],"Years",tblDeaths[Age],"&gt;="&amp;15,tblDeaths[Age],"&lt;="&amp;17,tblDeaths[Sex],"M",tblDeaths[NHIS],"Non-Insured")</f>
        <v>0</v>
      </c>
      <c r="CD9" s="4">
        <f>COUNTIFS(tblDeaths[Month],12,tblDeaths[AgeUnit],"Years",tblDeaths[Age],"&gt;="&amp;15,tblDeaths[Age],"&lt;="&amp;17,tblDeaths[Sex],"F",tblDeaths[NHIS],"Non-Insured")</f>
        <v>0</v>
      </c>
      <c r="CE9" s="4">
        <f>COUNTIFS(tblDeaths[Month],12,tblDeaths[AgeUnit],"Years",tblDeaths[Age],"&gt;="&amp;15,tblDeaths[Age],"&lt;="&amp;17,tblDeaths[Sex],"M",tblDeaths[NHIS],"Insured")</f>
        <v>0</v>
      </c>
      <c r="CF9" s="4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4" t="s">
        <v>170</v>
      </c>
      <c r="B10" s="4">
        <f>COUNTIFS(tblDeaths[Month],1,tblDeaths[AgeUnit],"Years",tblDeaths[Age],"&gt;="&amp;18,tblDeaths[Age],"&lt;="&amp;19,tblDeaths[Sex],"M")</f>
        <v>1</v>
      </c>
      <c r="C10" s="4">
        <f>COUNTIFS(tblDeaths[Month],1,tblDeaths[AgeUnit],"Years",tblDeaths[Age],"&gt;="&amp;18,tblDeaths[Age],"&lt;="&amp;19,tblDeaths[Sex],"F")</f>
        <v>0</v>
      </c>
      <c r="D10" s="4">
        <f>COUNTIFS(tblDeaths[Month],1,tblDeaths[AgeUnit],"Years",tblDeaths[Age],"&gt;="&amp;18,tblDeaths[Age],"&lt;="&amp;19,tblDeaths[Sex],"M",tblDeaths[NHIS],"Non-Insured")</f>
        <v>0</v>
      </c>
      <c r="E10" s="4">
        <f>COUNTIFS(tblDeaths[Month],1,tblDeaths[AgeUnit],"Years",tblDeaths[Age],"&gt;="&amp;18,tblDeaths[Age],"&lt;="&amp;19,tblDeaths[Sex],"F",tblDeaths[NHIS],"Non-Insured")</f>
        <v>0</v>
      </c>
      <c r="F10" s="4">
        <f>COUNTIFS(tblDeaths[Month],1,tblDeaths[AgeUnit],"Years",tblDeaths[Age],"&gt;="&amp;18,tblDeaths[Age],"&lt;="&amp;19,tblDeaths[Sex],"M",tblDeaths[NHIS],"Insured")</f>
        <v>1</v>
      </c>
      <c r="G10" s="4">
        <f>COUNTIFS(tblDeaths[Month],1,tblDeaths[AgeUnit],"Years",tblDeaths[Age],"&gt;="&amp;18,tblDeaths[Age],"&lt;="&amp;19,tblDeaths[Sex],"F",tblDeaths[NHIS],"Insured")</f>
        <v>0</v>
      </c>
      <c r="H10" s="4" t="s">
        <v>170</v>
      </c>
      <c r="I10" s="4">
        <f>COUNTIFS(tblDeaths[Month],2,tblDeaths[AgeUnit],"Years",tblDeaths[Age],"&gt;="&amp;18,tblDeaths[Age],"&lt;="&amp;19,tblDeaths[Sex],"M")</f>
        <v>0</v>
      </c>
      <c r="J10" s="4">
        <f>COUNTIFS(tblDeaths[Month],2,tblDeaths[AgeUnit],"Years",tblDeaths[Age],"&gt;="&amp;18,tblDeaths[Age],"&lt;="&amp;19,tblDeaths[Sex],"F")</f>
        <v>0</v>
      </c>
      <c r="K10" s="4">
        <f>COUNTIFS(tblDeaths[Month],2,tblDeaths[AgeUnit],"Years",tblDeaths[Age],"&gt;="&amp;18,tblDeaths[Age],"&lt;="&amp;19,tblDeaths[Sex],"M",tblDeaths[NHIS],"Non-Insured")</f>
        <v>0</v>
      </c>
      <c r="L10" s="4">
        <f>COUNTIFS(tblDeaths[Month],2,tblDeaths[AgeUnit],"Years",tblDeaths[Age],"&gt;="&amp;18,tblDeaths[Age],"&lt;="&amp;19,tblDeaths[Sex],"F",tblDeaths[NHIS],"Non-Insured")</f>
        <v>0</v>
      </c>
      <c r="M10" s="4">
        <f>COUNTIFS(tblDeaths[Month],2,tblDeaths[AgeUnit],"Years",tblDeaths[Age],"&gt;="&amp;18,tblDeaths[Age],"&lt;="&amp;19,tblDeaths[Sex],"M",tblDeaths[NHIS],"Insured")</f>
        <v>0</v>
      </c>
      <c r="N10" s="4">
        <f>COUNTIFS(tblDeaths[Month],2,tblDeaths[AgeUnit],"Years",tblDeaths[Age],"&gt;="&amp;18,tblDeaths[Age],"&lt;="&amp;19,tblDeaths[Sex],"F",tblDeaths[NHIS],"Insured")</f>
        <v>0</v>
      </c>
      <c r="O10" s="4" t="s">
        <v>170</v>
      </c>
      <c r="P10" s="4">
        <f>COUNTIFS(tblDeaths[Month],3,tblDeaths[AgeUnit],"Years",tblDeaths[Age],"&gt;="&amp;18,tblDeaths[Age],"&lt;="&amp;19,tblDeaths[Sex],"M")</f>
        <v>0</v>
      </c>
      <c r="Q10" s="4">
        <f>COUNTIFS(tblDeaths[Month],3,tblDeaths[AgeUnit],"Years",tblDeaths[Age],"&gt;="&amp;18,tblDeaths[Age],"&lt;="&amp;19,tblDeaths[Sex],"F")</f>
        <v>0</v>
      </c>
      <c r="R10" s="4">
        <f>COUNTIFS(tblDeaths[Month],3,tblDeaths[AgeUnit],"Years",tblDeaths[Age],"&gt;="&amp;18,tblDeaths[Age],"&lt;="&amp;19,tblDeaths[Sex],"M",tblDeaths[NHIS],"Non-Insured")</f>
        <v>0</v>
      </c>
      <c r="S10" s="4">
        <f>COUNTIFS(tblDeaths[Month],3,tblDeaths[AgeUnit],"Years",tblDeaths[Age],"&gt;="&amp;18,tblDeaths[Age],"&lt;="&amp;19,tblDeaths[Sex],"F",tblDeaths[NHIS],"Non-Insured")</f>
        <v>0</v>
      </c>
      <c r="T10" s="4">
        <f>COUNTIFS(tblDeaths[Month],3,tblDeaths[AgeUnit],"Years",tblDeaths[Age],"&gt;="&amp;18,tblDeaths[Age],"&lt;="&amp;19,tblDeaths[Sex],"M",tblDeaths[NHIS],"Insured")</f>
        <v>0</v>
      </c>
      <c r="U10" s="4">
        <f>COUNTIFS(tblDeaths[Month],3,tblDeaths[AgeUnit],"Years",tblDeaths[Age],"&gt;="&amp;18,tblDeaths[Age],"&lt;="&amp;19,tblDeaths[Sex],"F",tblDeaths[NHIS],"Insured")</f>
        <v>0</v>
      </c>
      <c r="V10" s="4" t="s">
        <v>170</v>
      </c>
      <c r="W10" s="4">
        <f>COUNTIFS(tblDeaths[Month],4,tblDeaths[AgeUnit],"Years",tblDeaths[Age],"&gt;="&amp;18,tblDeaths[Age],"&lt;="&amp;19,tblDeaths[Sex],"M")</f>
        <v>0</v>
      </c>
      <c r="X10" s="4">
        <f>COUNTIFS(tblDeaths[Month],4,tblDeaths[AgeUnit],"Years",tblDeaths[Age],"&gt;="&amp;18,tblDeaths[Age],"&lt;="&amp;19,tblDeaths[Sex],"F")</f>
        <v>0</v>
      </c>
      <c r="Y10" s="4">
        <f>COUNTIFS(tblDeaths[Month],4,tblDeaths[AgeUnit],"Years",tblDeaths[Age],"&gt;="&amp;18,tblDeaths[Age],"&lt;="&amp;19,tblDeaths[Sex],"M",tblDeaths[NHIS],"Non-Insured")</f>
        <v>0</v>
      </c>
      <c r="Z10" s="4">
        <f>COUNTIFS(tblDeaths[Month],4,tblDeaths[AgeUnit],"Years",tblDeaths[Age],"&gt;="&amp;18,tblDeaths[Age],"&lt;="&amp;19,tblDeaths[Sex],"F",tblDeaths[NHIS],"Non-Insured")</f>
        <v>0</v>
      </c>
      <c r="AA10" s="4">
        <f>COUNTIFS(tblDeaths[Month],4,tblDeaths[AgeUnit],"Years",tblDeaths[Age],"&gt;="&amp;18,tblDeaths[Age],"&lt;="&amp;19,tblDeaths[Sex],"M",tblDeaths[NHIS],"Insured")</f>
        <v>0</v>
      </c>
      <c r="AB10" s="4">
        <f>COUNTIFS(tblDeaths[Month],4,tblDeaths[AgeUnit],"Years",tblDeaths[Age],"&gt;="&amp;18,tblDeaths[Age],"&lt;="&amp;19,tblDeaths[Sex],"F",tblDeaths[NHIS],"Insured")</f>
        <v>0</v>
      </c>
      <c r="AC10" s="4" t="s">
        <v>170</v>
      </c>
      <c r="AD10" s="4">
        <f>COUNTIFS(tblDeaths[Month],5,tblDeaths[AgeUnit],"Years",tblDeaths[Age],"&gt;="&amp;18,tblDeaths[Age],"&lt;="&amp;19,tblDeaths[Sex],"M")</f>
        <v>0</v>
      </c>
      <c r="AE10" s="4">
        <f>COUNTIFS(tblDeaths[Month],5,tblDeaths[AgeUnit],"Years",tblDeaths[Age],"&gt;="&amp;18,tblDeaths[Age],"&lt;="&amp;19,tblDeaths[Sex],"F")</f>
        <v>0</v>
      </c>
      <c r="AF10" s="4">
        <f>COUNTIFS(tblDeaths[Month],5,tblDeaths[AgeUnit],"Years",tblDeaths[Age],"&gt;="&amp;18,tblDeaths[Age],"&lt;="&amp;19,tblDeaths[Sex],"M",tblDeaths[NHIS],"Non-Insured")</f>
        <v>0</v>
      </c>
      <c r="AG10" s="4">
        <f>COUNTIFS(tblDeaths[Month],5,tblDeaths[AgeUnit],"Years",tblDeaths[Age],"&gt;="&amp;18,tblDeaths[Age],"&lt;="&amp;19,tblDeaths[Sex],"F",tblDeaths[NHIS],"Non-Insured")</f>
        <v>0</v>
      </c>
      <c r="AH10" s="4">
        <f>COUNTIFS(tblDeaths[Month],5,tblDeaths[AgeUnit],"Years",tblDeaths[Age],"&gt;="&amp;18,tblDeaths[Age],"&lt;="&amp;19,tblDeaths[Sex],"M",tblDeaths[NHIS],"Insured")</f>
        <v>0</v>
      </c>
      <c r="AI10" s="4">
        <f>COUNTIFS(tblDeaths[Month],5,tblDeaths[AgeUnit],"Years",tblDeaths[Age],"&gt;="&amp;18,tblDeaths[Age],"&lt;="&amp;19,tblDeaths[Sex],"F",tblDeaths[NHIS],"Insured")</f>
        <v>0</v>
      </c>
      <c r="AJ10" s="4" t="s">
        <v>170</v>
      </c>
      <c r="AK10" s="4">
        <f>COUNTIFS(tblDeaths[Month],6,tblDeaths[AgeUnit],"Years",tblDeaths[Age],"&gt;="&amp;18,tblDeaths[Age],"&lt;="&amp;19,tblDeaths[Sex],"M")</f>
        <v>0</v>
      </c>
      <c r="AL10" s="4">
        <f>COUNTIFS(tblDeaths[Month],6,tblDeaths[AgeUnit],"Years",tblDeaths[Age],"&gt;="&amp;18,tblDeaths[Age],"&lt;="&amp;19,tblDeaths[Sex],"F")</f>
        <v>0</v>
      </c>
      <c r="AM10" s="4">
        <f>COUNTIFS(tblDeaths[Month],6,tblDeaths[AgeUnit],"Years",tblDeaths[Age],"&gt;="&amp;18,tblDeaths[Age],"&lt;="&amp;19,tblDeaths[Sex],"M",tblDeaths[NHIS],"Non-Insured")</f>
        <v>0</v>
      </c>
      <c r="AN10" s="4">
        <f>COUNTIFS(tblDeaths[Month],6,tblDeaths[AgeUnit],"Years",tblDeaths[Age],"&gt;="&amp;18,tblDeaths[Age],"&lt;="&amp;19,tblDeaths[Sex],"F",tblDeaths[NHIS],"Non-Insured")</f>
        <v>0</v>
      </c>
      <c r="AO10" s="4">
        <f>COUNTIFS(tblDeaths[Month],6,tblDeaths[AgeUnit],"Years",tblDeaths[Age],"&gt;="&amp;18,tblDeaths[Age],"&lt;="&amp;19,tblDeaths[Sex],"M",tblDeaths[NHIS],"Insured")</f>
        <v>0</v>
      </c>
      <c r="AP10" s="4">
        <f>COUNTIFS(tblDeaths[Month],6,tblDeaths[AgeUnit],"Years",tblDeaths[Age],"&gt;="&amp;18,tblDeaths[Age],"&lt;="&amp;19,tblDeaths[Sex],"F",tblDeaths[NHIS],"Insured")</f>
        <v>0</v>
      </c>
      <c r="AQ10" s="4" t="s">
        <v>170</v>
      </c>
      <c r="AR10" s="4">
        <f>COUNTIFS(tblDeaths[Month],7,tblDeaths[AgeUnit],"Years",tblDeaths[Age],"&gt;="&amp;18,tblDeaths[Age],"&lt;="&amp;19,tblDeaths[Sex],"M")</f>
        <v>0</v>
      </c>
      <c r="AS10" s="4">
        <f>COUNTIFS(tblDeaths[Month],7,tblDeaths[AgeUnit],"Years",tblDeaths[Age],"&gt;="&amp;18,tblDeaths[Age],"&lt;="&amp;19,tblDeaths[Sex],"F")</f>
        <v>0</v>
      </c>
      <c r="AT10" s="4">
        <f>COUNTIFS(tblDeaths[Month],7,tblDeaths[AgeUnit],"Years",tblDeaths[Age],"&gt;="&amp;18,tblDeaths[Age],"&lt;="&amp;19,tblDeaths[Sex],"M",tblDeaths[NHIS],"Non-Insured")</f>
        <v>0</v>
      </c>
      <c r="AU10" s="4">
        <f>COUNTIFS(tblDeaths[Month],7,tblDeaths[AgeUnit],"Years",tblDeaths[Age],"&gt;="&amp;18,tblDeaths[Age],"&lt;="&amp;19,tblDeaths[Sex],"F",tblDeaths[NHIS],"Non-Insured")</f>
        <v>0</v>
      </c>
      <c r="AV10" s="4">
        <f>COUNTIFS(tblDeaths[Month],7,tblDeaths[AgeUnit],"Years",tblDeaths[Age],"&gt;="&amp;18,tblDeaths[Age],"&lt;="&amp;19,tblDeaths[Sex],"M",tblDeaths[NHIS],"Insured")</f>
        <v>0</v>
      </c>
      <c r="AW10" s="4">
        <f>COUNTIFS(tblDeaths[Month],7,tblDeaths[AgeUnit],"Years",tblDeaths[Age],"&gt;="&amp;18,tblDeaths[Age],"&lt;="&amp;19,tblDeaths[Sex],"F",tblDeaths[NHIS],"Insured")</f>
        <v>0</v>
      </c>
      <c r="AX10" s="4" t="s">
        <v>170</v>
      </c>
      <c r="AY10" s="4">
        <f>COUNTIFS(tblDeaths[Month],8,tblDeaths[AgeUnit],"Years",tblDeaths[Age],"&gt;="&amp;18,tblDeaths[Age],"&lt;="&amp;19,tblDeaths[Sex],"M")</f>
        <v>0</v>
      </c>
      <c r="AZ10" s="4">
        <f>COUNTIFS(tblDeaths[Month],8,tblDeaths[AgeUnit],"Years",tblDeaths[Age],"&gt;="&amp;18,tblDeaths[Age],"&lt;="&amp;19,tblDeaths[Sex],"F")</f>
        <v>0</v>
      </c>
      <c r="BA10" s="4">
        <f>COUNTIFS(tblDeaths[Month],8,tblDeaths[AgeUnit],"Years",tblDeaths[Age],"&gt;="&amp;18,tblDeaths[Age],"&lt;="&amp;19,tblDeaths[Sex],"M",tblDeaths[NHIS],"Non-Insured")</f>
        <v>0</v>
      </c>
      <c r="BB10" s="4">
        <f>COUNTIFS(tblDeaths[Month],8,tblDeaths[AgeUnit],"Years",tblDeaths[Age],"&gt;="&amp;18,tblDeaths[Age],"&lt;="&amp;19,tblDeaths[Sex],"F",tblDeaths[NHIS],"Non-Insured")</f>
        <v>0</v>
      </c>
      <c r="BC10" s="4">
        <f>COUNTIFS(tblDeaths[Month],8,tblDeaths[AgeUnit],"Years",tblDeaths[Age],"&gt;="&amp;18,tblDeaths[Age],"&lt;="&amp;19,tblDeaths[Sex],"M",tblDeaths[NHIS],"Insured")</f>
        <v>0</v>
      </c>
      <c r="BD10" s="4">
        <f>COUNTIFS(tblDeaths[Month],8,tblDeaths[AgeUnit],"Years",tblDeaths[Age],"&gt;="&amp;18,tblDeaths[Age],"&lt;="&amp;19,tblDeaths[Sex],"F",tblDeaths[NHIS],"Insured")</f>
        <v>0</v>
      </c>
      <c r="BE10" s="4" t="s">
        <v>170</v>
      </c>
      <c r="BF10" s="4">
        <f>COUNTIFS(tblDeaths[Month],9,tblDeaths[AgeUnit],"Years",tblDeaths[Age],"&gt;="&amp;18,tblDeaths[Age],"&lt;="&amp;19,tblDeaths[Sex],"M")</f>
        <v>0</v>
      </c>
      <c r="BG10" s="4">
        <f>COUNTIFS(tblDeaths[Month],9,tblDeaths[AgeUnit],"Years",tblDeaths[Age],"&gt;="&amp;18,tblDeaths[Age],"&lt;="&amp;19,tblDeaths[Sex],"F")</f>
        <v>0</v>
      </c>
      <c r="BH10" s="4">
        <f>COUNTIFS(tblDeaths[Month],9,tblDeaths[AgeUnit],"Years",tblDeaths[Age],"&gt;="&amp;18,tblDeaths[Age],"&lt;="&amp;19,tblDeaths[Sex],"M",tblDeaths[NHIS],"Non-Insured")</f>
        <v>0</v>
      </c>
      <c r="BI10" s="4">
        <f>COUNTIFS(tblDeaths[Month],9,tblDeaths[AgeUnit],"Years",tblDeaths[Age],"&gt;="&amp;18,tblDeaths[Age],"&lt;="&amp;19,tblDeaths[Sex],"F",tblDeaths[NHIS],"Non-Insured")</f>
        <v>0</v>
      </c>
      <c r="BJ10" s="4">
        <f>COUNTIFS(tblDeaths[Month],9,tblDeaths[AgeUnit],"Years",tblDeaths[Age],"&gt;="&amp;18,tblDeaths[Age],"&lt;="&amp;19,tblDeaths[Sex],"M",tblDeaths[NHIS],"Insured")</f>
        <v>0</v>
      </c>
      <c r="BK10" s="4">
        <f>COUNTIFS(tblDeaths[Month],9,tblDeaths[AgeUnit],"Years",tblDeaths[Age],"&gt;="&amp;18,tblDeaths[Age],"&lt;="&amp;19,tblDeaths[Sex],"F",tblDeaths[NHIS],"Insured")</f>
        <v>0</v>
      </c>
      <c r="BL10" s="4" t="s">
        <v>170</v>
      </c>
      <c r="BM10" s="4">
        <f>COUNTIFS(tblDeaths[Month],10,tblDeaths[AgeUnit],"Years",tblDeaths[Age],"&gt;="&amp;18,tblDeaths[Age],"&lt;="&amp;19,tblDeaths[Sex],"M")</f>
        <v>0</v>
      </c>
      <c r="BN10" s="4">
        <f>COUNTIFS(tblDeaths[Month],10,tblDeaths[AgeUnit],"Years",tblDeaths[Age],"&gt;="&amp;18,tblDeaths[Age],"&lt;="&amp;19,tblDeaths[Sex],"F")</f>
        <v>0</v>
      </c>
      <c r="BO10" s="4">
        <f>COUNTIFS(tblDeaths[Month],10,tblDeaths[AgeUnit],"Years",tblDeaths[Age],"&gt;="&amp;18,tblDeaths[Age],"&lt;="&amp;19,tblDeaths[Sex],"M",tblDeaths[NHIS],"Non-Insured")</f>
        <v>0</v>
      </c>
      <c r="BP10" s="4">
        <f>COUNTIFS(tblDeaths[Month],10,tblDeaths[AgeUnit],"Years",tblDeaths[Age],"&gt;="&amp;18,tblDeaths[Age],"&lt;="&amp;19,tblDeaths[Sex],"F",tblDeaths[NHIS],"Non-Insured")</f>
        <v>0</v>
      </c>
      <c r="BQ10" s="4">
        <f>COUNTIFS(tblDeaths[Month],10,tblDeaths[AgeUnit],"Years",tblDeaths[Age],"&gt;="&amp;18,tblDeaths[Age],"&lt;="&amp;19,tblDeaths[Sex],"M",tblDeaths[NHIS],"Insured")</f>
        <v>0</v>
      </c>
      <c r="BR10" s="4">
        <f>COUNTIFS(tblDeaths[Month],10,tblDeaths[AgeUnit],"Years",tblDeaths[Age],"&gt;="&amp;18,tblDeaths[Age],"&lt;="&amp;19,tblDeaths[Sex],"F",tblDeaths[NHIS],"Insured")</f>
        <v>0</v>
      </c>
      <c r="BS10" s="4" t="s">
        <v>170</v>
      </c>
      <c r="BT10" s="4">
        <f>COUNTIFS(tblDeaths[Month],11,tblDeaths[AgeUnit],"Years",tblDeaths[Age],"&gt;="&amp;18,tblDeaths[Age],"&lt;="&amp;19,tblDeaths[Sex],"M")</f>
        <v>0</v>
      </c>
      <c r="BU10" s="4">
        <f>COUNTIFS(tblDeaths[Month],11,tblDeaths[AgeUnit],"Years",tblDeaths[Age],"&gt;="&amp;18,tblDeaths[Age],"&lt;="&amp;19,tblDeaths[Sex],"F")</f>
        <v>0</v>
      </c>
      <c r="BV10" s="4">
        <f>COUNTIFS(tblDeaths[Month],11,tblDeaths[AgeUnit],"Years",tblDeaths[Age],"&gt;="&amp;18,tblDeaths[Age],"&lt;="&amp;19,tblDeaths[Sex],"M",tblDeaths[NHIS],"Non-Insured")</f>
        <v>0</v>
      </c>
      <c r="BW10" s="4">
        <f>COUNTIFS(tblDeaths[Month],11,tblDeaths[AgeUnit],"Years",tblDeaths[Age],"&gt;="&amp;18,tblDeaths[Age],"&lt;="&amp;19,tblDeaths[Sex],"F",tblDeaths[NHIS],"Non-Insured")</f>
        <v>0</v>
      </c>
      <c r="BX10" s="4">
        <f>COUNTIFS(tblDeaths[Month],11,tblDeaths[AgeUnit],"Years",tblDeaths[Age],"&gt;="&amp;18,tblDeaths[Age],"&lt;="&amp;19,tblDeaths[Sex],"M",tblDeaths[NHIS],"Insured")</f>
        <v>0</v>
      </c>
      <c r="BY10" s="4">
        <f>COUNTIFS(tblDeaths[Month],11,tblDeaths[AgeUnit],"Years",tblDeaths[Age],"&gt;="&amp;18,tblDeaths[Age],"&lt;="&amp;19,tblDeaths[Sex],"F",tblDeaths[NHIS],"Insured")</f>
        <v>0</v>
      </c>
      <c r="BZ10" s="4" t="s">
        <v>170</v>
      </c>
      <c r="CA10" s="4">
        <f>COUNTIFS(tblDeaths[Month],12,tblDeaths[AgeUnit],"Years",tblDeaths[Age],"&gt;="&amp;18,tblDeaths[Age],"&lt;="&amp;19,tblDeaths[Sex],"M")</f>
        <v>0</v>
      </c>
      <c r="CB10" s="4">
        <f>COUNTIFS(tblDeaths[Month],12,tblDeaths[AgeUnit],"Years",tblDeaths[Age],"&gt;="&amp;18,tblDeaths[Age],"&lt;="&amp;19,tblDeaths[Sex],"F")</f>
        <v>0</v>
      </c>
      <c r="CC10" s="4">
        <f>COUNTIFS(tblDeaths[Month],12,tblDeaths[AgeUnit],"Years",tblDeaths[Age],"&gt;="&amp;18,tblDeaths[Age],"&lt;="&amp;19,tblDeaths[Sex],"M",tblDeaths[NHIS],"Non-Insured")</f>
        <v>0</v>
      </c>
      <c r="CD10" s="4">
        <f>COUNTIFS(tblDeaths[Month],12,tblDeaths[AgeUnit],"Years",tblDeaths[Age],"&gt;="&amp;18,tblDeaths[Age],"&lt;="&amp;19,tblDeaths[Sex],"F",tblDeaths[NHIS],"Non-Insured")</f>
        <v>0</v>
      </c>
      <c r="CE10" s="4">
        <f>COUNTIFS(tblDeaths[Month],12,tblDeaths[AgeUnit],"Years",tblDeaths[Age],"&gt;="&amp;18,tblDeaths[Age],"&lt;="&amp;19,tblDeaths[Sex],"M",tblDeaths[NHIS],"Insured")</f>
        <v>0</v>
      </c>
      <c r="CF10" s="4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4" t="s">
        <v>171</v>
      </c>
      <c r="B11" s="4">
        <f>COUNTIFS(tblDeaths[Month],1,tblDeaths[AgeUnit],"Years",tblDeaths[Age],"&gt;="&amp;20,tblDeaths[Age],"&lt;="&amp;34,tblDeaths[Sex],"M")</f>
        <v>4</v>
      </c>
      <c r="C11" s="4">
        <f>COUNTIFS(tblDeaths[Month],1,tblDeaths[AgeUnit],"Years",tblDeaths[Age],"&gt;="&amp;20,tblDeaths[Age],"&lt;="&amp;34,tblDeaths[Sex],"F")</f>
        <v>1</v>
      </c>
      <c r="D11" s="4">
        <f>COUNTIFS(tblDeaths[Month],1,tblDeaths[AgeUnit],"Years",tblDeaths[Age],"&gt;="&amp;20,tblDeaths[Age],"&lt;="&amp;34,tblDeaths[Sex],"M",tblDeaths[NHIS],"Non-Insured")</f>
        <v>0</v>
      </c>
      <c r="E11" s="4">
        <f>COUNTIFS(tblDeaths[Month],1,tblDeaths[AgeUnit],"Years",tblDeaths[Age],"&gt;="&amp;20,tblDeaths[Age],"&lt;="&amp;34,tblDeaths[Sex],"F",tblDeaths[NHIS],"Non-Insured")</f>
        <v>0</v>
      </c>
      <c r="F11" s="4">
        <f>COUNTIFS(tblDeaths[Month],1,tblDeaths[AgeUnit],"Years",tblDeaths[Age],"&gt;="&amp;20,tblDeaths[Age],"&lt;="&amp;34,tblDeaths[Sex],"M",tblDeaths[NHIS],"Insured")</f>
        <v>4</v>
      </c>
      <c r="G11" s="4">
        <f>COUNTIFS(tblDeaths[Month],1,tblDeaths[AgeUnit],"Years",tblDeaths[Age],"&gt;="&amp;20,tblDeaths[Age],"&lt;="&amp;34,tblDeaths[Sex],"F",tblDeaths[NHIS],"Insured")</f>
        <v>1</v>
      </c>
      <c r="H11" s="4" t="s">
        <v>171</v>
      </c>
      <c r="I11" s="4">
        <f>COUNTIFS(tblDeaths[Month],2,tblDeaths[AgeUnit],"Years",tblDeaths[Age],"&gt;="&amp;20,tblDeaths[Age],"&lt;="&amp;34,tblDeaths[Sex],"M")</f>
        <v>0</v>
      </c>
      <c r="J11" s="4">
        <f>COUNTIFS(tblDeaths[Month],2,tblDeaths[AgeUnit],"Years",tblDeaths[Age],"&gt;="&amp;20,tblDeaths[Age],"&lt;="&amp;34,tblDeaths[Sex],"F")</f>
        <v>0</v>
      </c>
      <c r="K11" s="4">
        <f>COUNTIFS(tblDeaths[Month],2,tblDeaths[AgeUnit],"Years",tblDeaths[Age],"&gt;="&amp;20,tblDeaths[Age],"&lt;="&amp;34,tblDeaths[Sex],"M",tblDeaths[NHIS],"Non-Insured")</f>
        <v>0</v>
      </c>
      <c r="L11" s="4">
        <f>COUNTIFS(tblDeaths[Month],2,tblDeaths[AgeUnit],"Years",tblDeaths[Age],"&gt;="&amp;20,tblDeaths[Age],"&lt;="&amp;34,tblDeaths[Sex],"F",tblDeaths[NHIS],"Non-Insured")</f>
        <v>0</v>
      </c>
      <c r="M11" s="4">
        <f>COUNTIFS(tblDeaths[Month],2,tblDeaths[AgeUnit],"Years",tblDeaths[Age],"&gt;="&amp;20,tblDeaths[Age],"&lt;="&amp;34,tblDeaths[Sex],"M",tblDeaths[NHIS],"Insured")</f>
        <v>0</v>
      </c>
      <c r="N11" s="4">
        <f>COUNTIFS(tblDeaths[Month],2,tblDeaths[AgeUnit],"Years",tblDeaths[Age],"&gt;="&amp;20,tblDeaths[Age],"&lt;="&amp;34,tblDeaths[Sex],"F",tblDeaths[NHIS],"Insured")</f>
        <v>0</v>
      </c>
      <c r="O11" s="4" t="s">
        <v>171</v>
      </c>
      <c r="P11" s="4">
        <f>COUNTIFS(tblDeaths[Month],3,tblDeaths[AgeUnit],"Years",tblDeaths[Age],"&gt;="&amp;20,tblDeaths[Age],"&lt;="&amp;34,tblDeaths[Sex],"M")</f>
        <v>0</v>
      </c>
      <c r="Q11" s="4">
        <f>COUNTIFS(tblDeaths[Month],3,tblDeaths[AgeUnit],"Years",tblDeaths[Age],"&gt;="&amp;20,tblDeaths[Age],"&lt;="&amp;34,tblDeaths[Sex],"F")</f>
        <v>0</v>
      </c>
      <c r="R11" s="4">
        <f>COUNTIFS(tblDeaths[Month],3,tblDeaths[AgeUnit],"Years",tblDeaths[Age],"&gt;="&amp;20,tblDeaths[Age],"&lt;="&amp;34,tblDeaths[Sex],"M",tblDeaths[NHIS],"Non-Insured")</f>
        <v>0</v>
      </c>
      <c r="S11" s="4">
        <f>COUNTIFS(tblDeaths[Month],3,tblDeaths[AgeUnit],"Years",tblDeaths[Age],"&gt;="&amp;20,tblDeaths[Age],"&lt;="&amp;34,tblDeaths[Sex],"F",tblDeaths[NHIS],"Non-Insured")</f>
        <v>0</v>
      </c>
      <c r="T11" s="4">
        <f>COUNTIFS(tblDeaths[Month],3,tblDeaths[AgeUnit],"Years",tblDeaths[Age],"&gt;="&amp;20,tblDeaths[Age],"&lt;="&amp;34,tblDeaths[Sex],"M",tblDeaths[NHIS],"Insured")</f>
        <v>0</v>
      </c>
      <c r="U11" s="4">
        <f>COUNTIFS(tblDeaths[Month],3,tblDeaths[AgeUnit],"Years",tblDeaths[Age],"&gt;="&amp;20,tblDeaths[Age],"&lt;="&amp;34,tblDeaths[Sex],"F",tblDeaths[NHIS],"Insured")</f>
        <v>0</v>
      </c>
      <c r="V11" s="4" t="s">
        <v>171</v>
      </c>
      <c r="W11" s="4">
        <f>COUNTIFS(tblDeaths[Month],4,tblDeaths[AgeUnit],"Years",tblDeaths[Age],"&gt;="&amp;20,tblDeaths[Age],"&lt;="&amp;34,tblDeaths[Sex],"M")</f>
        <v>0</v>
      </c>
      <c r="X11" s="4">
        <f>COUNTIFS(tblDeaths[Month],4,tblDeaths[AgeUnit],"Years",tblDeaths[Age],"&gt;="&amp;20,tblDeaths[Age],"&lt;="&amp;34,tblDeaths[Sex],"F")</f>
        <v>0</v>
      </c>
      <c r="Y11" s="4">
        <f>COUNTIFS(tblDeaths[Month],4,tblDeaths[AgeUnit],"Years",tblDeaths[Age],"&gt;="&amp;20,tblDeaths[Age],"&lt;="&amp;34,tblDeaths[Sex],"M",tblDeaths[NHIS],"Non-Insured")</f>
        <v>0</v>
      </c>
      <c r="Z11" s="4">
        <f>COUNTIFS(tblDeaths[Month],4,tblDeaths[AgeUnit],"Years",tblDeaths[Age],"&gt;="&amp;20,tblDeaths[Age],"&lt;="&amp;34,tblDeaths[Sex],"F",tblDeaths[NHIS],"Non-Insured")</f>
        <v>0</v>
      </c>
      <c r="AA11" s="4">
        <f>COUNTIFS(tblDeaths[Month],4,tblDeaths[AgeUnit],"Years",tblDeaths[Age],"&gt;="&amp;20,tblDeaths[Age],"&lt;="&amp;34,tblDeaths[Sex],"M",tblDeaths[NHIS],"Insured")</f>
        <v>0</v>
      </c>
      <c r="AB11" s="4">
        <f>COUNTIFS(tblDeaths[Month],4,tblDeaths[AgeUnit],"Years",tblDeaths[Age],"&gt;="&amp;20,tblDeaths[Age],"&lt;="&amp;34,tblDeaths[Sex],"F",tblDeaths[NHIS],"Insured")</f>
        <v>0</v>
      </c>
      <c r="AC11" s="4" t="s">
        <v>171</v>
      </c>
      <c r="AD11" s="4">
        <f>COUNTIFS(tblDeaths[Month],5,tblDeaths[AgeUnit],"Years",tblDeaths[Age],"&gt;="&amp;20,tblDeaths[Age],"&lt;="&amp;34,tblDeaths[Sex],"M")</f>
        <v>0</v>
      </c>
      <c r="AE11" s="4">
        <f>COUNTIFS(tblDeaths[Month],5,tblDeaths[AgeUnit],"Years",tblDeaths[Age],"&gt;="&amp;20,tblDeaths[Age],"&lt;="&amp;34,tblDeaths[Sex],"F")</f>
        <v>0</v>
      </c>
      <c r="AF11" s="4">
        <f>COUNTIFS(tblDeaths[Month],5,tblDeaths[AgeUnit],"Years",tblDeaths[Age],"&gt;="&amp;20,tblDeaths[Age],"&lt;="&amp;34,tblDeaths[Sex],"M",tblDeaths[NHIS],"Non-Insured")</f>
        <v>0</v>
      </c>
      <c r="AG11" s="4">
        <f>COUNTIFS(tblDeaths[Month],5,tblDeaths[AgeUnit],"Years",tblDeaths[Age],"&gt;="&amp;20,tblDeaths[Age],"&lt;="&amp;34,tblDeaths[Sex],"F",tblDeaths[NHIS],"Non-Insured")</f>
        <v>0</v>
      </c>
      <c r="AH11" s="4">
        <f>COUNTIFS(tblDeaths[Month],5,tblDeaths[AgeUnit],"Years",tblDeaths[Age],"&gt;="&amp;20,tblDeaths[Age],"&lt;="&amp;34,tblDeaths[Sex],"M",tblDeaths[NHIS],"Insured")</f>
        <v>0</v>
      </c>
      <c r="AI11" s="4">
        <f>COUNTIFS(tblDeaths[Month],5,tblDeaths[AgeUnit],"Years",tblDeaths[Age],"&gt;="&amp;20,tblDeaths[Age],"&lt;="&amp;34,tblDeaths[Sex],"F",tblDeaths[NHIS],"Insured")</f>
        <v>0</v>
      </c>
      <c r="AJ11" s="4" t="s">
        <v>171</v>
      </c>
      <c r="AK11" s="4">
        <f>COUNTIFS(tblDeaths[Month],6,tblDeaths[AgeUnit],"Years",tblDeaths[Age],"&gt;="&amp;20,tblDeaths[Age],"&lt;="&amp;34,tblDeaths[Sex],"M")</f>
        <v>0</v>
      </c>
      <c r="AL11" s="4">
        <f>COUNTIFS(tblDeaths[Month],6,tblDeaths[AgeUnit],"Years",tblDeaths[Age],"&gt;="&amp;20,tblDeaths[Age],"&lt;="&amp;34,tblDeaths[Sex],"F")</f>
        <v>0</v>
      </c>
      <c r="AM11" s="4">
        <f>COUNTIFS(tblDeaths[Month],6,tblDeaths[AgeUnit],"Years",tblDeaths[Age],"&gt;="&amp;20,tblDeaths[Age],"&lt;="&amp;34,tblDeaths[Sex],"M",tblDeaths[NHIS],"Non-Insured")</f>
        <v>0</v>
      </c>
      <c r="AN11" s="4">
        <f>COUNTIFS(tblDeaths[Month],6,tblDeaths[AgeUnit],"Years",tblDeaths[Age],"&gt;="&amp;20,tblDeaths[Age],"&lt;="&amp;34,tblDeaths[Sex],"F",tblDeaths[NHIS],"Non-Insured")</f>
        <v>0</v>
      </c>
      <c r="AO11" s="4">
        <f>COUNTIFS(tblDeaths[Month],6,tblDeaths[AgeUnit],"Years",tblDeaths[Age],"&gt;="&amp;20,tblDeaths[Age],"&lt;="&amp;34,tblDeaths[Sex],"M",tblDeaths[NHIS],"Insured")</f>
        <v>0</v>
      </c>
      <c r="AP11" s="4">
        <f>COUNTIFS(tblDeaths[Month],6,tblDeaths[AgeUnit],"Years",tblDeaths[Age],"&gt;="&amp;20,tblDeaths[Age],"&lt;="&amp;34,tblDeaths[Sex],"F",tblDeaths[NHIS],"Insured")</f>
        <v>0</v>
      </c>
      <c r="AQ11" s="4" t="s">
        <v>171</v>
      </c>
      <c r="AR11" s="4">
        <f>COUNTIFS(tblDeaths[Month],7,tblDeaths[AgeUnit],"Years",tblDeaths[Age],"&gt;="&amp;20,tblDeaths[Age],"&lt;="&amp;34,tblDeaths[Sex],"M")</f>
        <v>0</v>
      </c>
      <c r="AS11" s="4">
        <f>COUNTIFS(tblDeaths[Month],7,tblDeaths[AgeUnit],"Years",tblDeaths[Age],"&gt;="&amp;20,tblDeaths[Age],"&lt;="&amp;34,tblDeaths[Sex],"F")</f>
        <v>0</v>
      </c>
      <c r="AT11" s="4">
        <f>COUNTIFS(tblDeaths[Month],7,tblDeaths[AgeUnit],"Years",tblDeaths[Age],"&gt;="&amp;20,tblDeaths[Age],"&lt;="&amp;34,tblDeaths[Sex],"M",tblDeaths[NHIS],"Non-Insured")</f>
        <v>0</v>
      </c>
      <c r="AU11" s="4">
        <f>COUNTIFS(tblDeaths[Month],7,tblDeaths[AgeUnit],"Years",tblDeaths[Age],"&gt;="&amp;20,tblDeaths[Age],"&lt;="&amp;34,tblDeaths[Sex],"F",tblDeaths[NHIS],"Non-Insured")</f>
        <v>0</v>
      </c>
      <c r="AV11" s="4">
        <f>COUNTIFS(tblDeaths[Month],7,tblDeaths[AgeUnit],"Years",tblDeaths[Age],"&gt;="&amp;20,tblDeaths[Age],"&lt;="&amp;34,tblDeaths[Sex],"M",tblDeaths[NHIS],"Insured")</f>
        <v>0</v>
      </c>
      <c r="AW11" s="4">
        <f>COUNTIFS(tblDeaths[Month],7,tblDeaths[AgeUnit],"Years",tblDeaths[Age],"&gt;="&amp;20,tblDeaths[Age],"&lt;="&amp;34,tblDeaths[Sex],"F",tblDeaths[NHIS],"Insured")</f>
        <v>0</v>
      </c>
      <c r="AX11" s="4" t="s">
        <v>171</v>
      </c>
      <c r="AY11" s="4">
        <f>COUNTIFS(tblDeaths[Month],8,tblDeaths[AgeUnit],"Years",tblDeaths[Age],"&gt;="&amp;20,tblDeaths[Age],"&lt;="&amp;34,tblDeaths[Sex],"M")</f>
        <v>0</v>
      </c>
      <c r="AZ11" s="4">
        <f>COUNTIFS(tblDeaths[Month],8,tblDeaths[AgeUnit],"Years",tblDeaths[Age],"&gt;="&amp;20,tblDeaths[Age],"&lt;="&amp;34,tblDeaths[Sex],"F")</f>
        <v>0</v>
      </c>
      <c r="BA11" s="4">
        <f>COUNTIFS(tblDeaths[Month],8,tblDeaths[AgeUnit],"Years",tblDeaths[Age],"&gt;="&amp;20,tblDeaths[Age],"&lt;="&amp;34,tblDeaths[Sex],"M",tblDeaths[NHIS],"Non-Insured")</f>
        <v>0</v>
      </c>
      <c r="BB11" s="4">
        <f>COUNTIFS(tblDeaths[Month],8,tblDeaths[AgeUnit],"Years",tblDeaths[Age],"&gt;="&amp;20,tblDeaths[Age],"&lt;="&amp;34,tblDeaths[Sex],"F",tblDeaths[NHIS],"Non-Insured")</f>
        <v>0</v>
      </c>
      <c r="BC11" s="4">
        <f>COUNTIFS(tblDeaths[Month],8,tblDeaths[AgeUnit],"Years",tblDeaths[Age],"&gt;="&amp;20,tblDeaths[Age],"&lt;="&amp;34,tblDeaths[Sex],"M",tblDeaths[NHIS],"Insured")</f>
        <v>0</v>
      </c>
      <c r="BD11" s="4">
        <f>COUNTIFS(tblDeaths[Month],8,tblDeaths[AgeUnit],"Years",tblDeaths[Age],"&gt;="&amp;20,tblDeaths[Age],"&lt;="&amp;34,tblDeaths[Sex],"F",tblDeaths[NHIS],"Insured")</f>
        <v>0</v>
      </c>
      <c r="BE11" s="4" t="s">
        <v>171</v>
      </c>
      <c r="BF11" s="4">
        <f>COUNTIFS(tblDeaths[Month],9,tblDeaths[AgeUnit],"Years",tblDeaths[Age],"&gt;="&amp;20,tblDeaths[Age],"&lt;="&amp;34,tblDeaths[Sex],"M")</f>
        <v>0</v>
      </c>
      <c r="BG11" s="4">
        <f>COUNTIFS(tblDeaths[Month],9,tblDeaths[AgeUnit],"Years",tblDeaths[Age],"&gt;="&amp;20,tblDeaths[Age],"&lt;="&amp;34,tblDeaths[Sex],"F")</f>
        <v>0</v>
      </c>
      <c r="BH11" s="4">
        <f>COUNTIFS(tblDeaths[Month],9,tblDeaths[AgeUnit],"Years",tblDeaths[Age],"&gt;="&amp;20,tblDeaths[Age],"&lt;="&amp;34,tblDeaths[Sex],"M",tblDeaths[NHIS],"Non-Insured")</f>
        <v>0</v>
      </c>
      <c r="BI11" s="4">
        <f>COUNTIFS(tblDeaths[Month],9,tblDeaths[AgeUnit],"Years",tblDeaths[Age],"&gt;="&amp;20,tblDeaths[Age],"&lt;="&amp;34,tblDeaths[Sex],"F",tblDeaths[NHIS],"Non-Insured")</f>
        <v>0</v>
      </c>
      <c r="BJ11" s="4">
        <f>COUNTIFS(tblDeaths[Month],9,tblDeaths[AgeUnit],"Years",tblDeaths[Age],"&gt;="&amp;20,tblDeaths[Age],"&lt;="&amp;34,tblDeaths[Sex],"M",tblDeaths[NHIS],"Insured")</f>
        <v>0</v>
      </c>
      <c r="BK11" s="4">
        <f>COUNTIFS(tblDeaths[Month],9,tblDeaths[AgeUnit],"Years",tblDeaths[Age],"&gt;="&amp;20,tblDeaths[Age],"&lt;="&amp;34,tblDeaths[Sex],"F",tblDeaths[NHIS],"Insured")</f>
        <v>0</v>
      </c>
      <c r="BL11" s="4" t="s">
        <v>171</v>
      </c>
      <c r="BM11" s="4">
        <f>COUNTIFS(tblDeaths[Month],10,tblDeaths[AgeUnit],"Years",tblDeaths[Age],"&gt;="&amp;20,tblDeaths[Age],"&lt;="&amp;34,tblDeaths[Sex],"M")</f>
        <v>0</v>
      </c>
      <c r="BN11" s="4">
        <f>COUNTIFS(tblDeaths[Month],10,tblDeaths[AgeUnit],"Years",tblDeaths[Age],"&gt;="&amp;20,tblDeaths[Age],"&lt;="&amp;34,tblDeaths[Sex],"F")</f>
        <v>0</v>
      </c>
      <c r="BO11" s="4">
        <f>COUNTIFS(tblDeaths[Month],10,tblDeaths[AgeUnit],"Years",tblDeaths[Age],"&gt;="&amp;20,tblDeaths[Age],"&lt;="&amp;34,tblDeaths[Sex],"M",tblDeaths[NHIS],"Non-Insured")</f>
        <v>0</v>
      </c>
      <c r="BP11" s="4">
        <f>COUNTIFS(tblDeaths[Month],10,tblDeaths[AgeUnit],"Years",tblDeaths[Age],"&gt;="&amp;20,tblDeaths[Age],"&lt;="&amp;34,tblDeaths[Sex],"F",tblDeaths[NHIS],"Non-Insured")</f>
        <v>0</v>
      </c>
      <c r="BQ11" s="4">
        <f>COUNTIFS(tblDeaths[Month],10,tblDeaths[AgeUnit],"Years",tblDeaths[Age],"&gt;="&amp;20,tblDeaths[Age],"&lt;="&amp;34,tblDeaths[Sex],"M",tblDeaths[NHIS],"Insured")</f>
        <v>0</v>
      </c>
      <c r="BR11" s="4">
        <f>COUNTIFS(tblDeaths[Month],10,tblDeaths[AgeUnit],"Years",tblDeaths[Age],"&gt;="&amp;20,tblDeaths[Age],"&lt;="&amp;34,tblDeaths[Sex],"F",tblDeaths[NHIS],"Insured")</f>
        <v>0</v>
      </c>
      <c r="BS11" s="4" t="s">
        <v>171</v>
      </c>
      <c r="BT11" s="4">
        <f>COUNTIFS(tblDeaths[Month],11,tblDeaths[AgeUnit],"Years",tblDeaths[Age],"&gt;="&amp;20,tblDeaths[Age],"&lt;="&amp;34,tblDeaths[Sex],"M")</f>
        <v>0</v>
      </c>
      <c r="BU11" s="4">
        <f>COUNTIFS(tblDeaths[Month],11,tblDeaths[AgeUnit],"Years",tblDeaths[Age],"&gt;="&amp;20,tblDeaths[Age],"&lt;="&amp;34,tblDeaths[Sex],"F")</f>
        <v>0</v>
      </c>
      <c r="BV11" s="4">
        <f>COUNTIFS(tblDeaths[Month],11,tblDeaths[AgeUnit],"Years",tblDeaths[Age],"&gt;="&amp;20,tblDeaths[Age],"&lt;="&amp;34,tblDeaths[Sex],"M",tblDeaths[NHIS],"Non-Insured")</f>
        <v>0</v>
      </c>
      <c r="BW11" s="4">
        <f>COUNTIFS(tblDeaths[Month],11,tblDeaths[AgeUnit],"Years",tblDeaths[Age],"&gt;="&amp;20,tblDeaths[Age],"&lt;="&amp;34,tblDeaths[Sex],"F",tblDeaths[NHIS],"Non-Insured")</f>
        <v>0</v>
      </c>
      <c r="BX11" s="4">
        <f>COUNTIFS(tblDeaths[Month],11,tblDeaths[AgeUnit],"Years",tblDeaths[Age],"&gt;="&amp;20,tblDeaths[Age],"&lt;="&amp;34,tblDeaths[Sex],"M",tblDeaths[NHIS],"Insured")</f>
        <v>0</v>
      </c>
      <c r="BY11" s="4">
        <f>COUNTIFS(tblDeaths[Month],11,tblDeaths[AgeUnit],"Years",tblDeaths[Age],"&gt;="&amp;20,tblDeaths[Age],"&lt;="&amp;34,tblDeaths[Sex],"F",tblDeaths[NHIS],"Insured")</f>
        <v>0</v>
      </c>
      <c r="BZ11" s="4" t="s">
        <v>171</v>
      </c>
      <c r="CA11" s="4">
        <f>COUNTIFS(tblDeaths[Month],12,tblDeaths[AgeUnit],"Years",tblDeaths[Age],"&gt;="&amp;20,tblDeaths[Age],"&lt;="&amp;34,tblDeaths[Sex],"M")</f>
        <v>0</v>
      </c>
      <c r="CB11" s="4">
        <f>COUNTIFS(tblDeaths[Month],12,tblDeaths[AgeUnit],"Years",tblDeaths[Age],"&gt;="&amp;20,tblDeaths[Age],"&lt;="&amp;34,tblDeaths[Sex],"F")</f>
        <v>0</v>
      </c>
      <c r="CC11" s="4">
        <f>COUNTIFS(tblDeaths[Month],12,tblDeaths[AgeUnit],"Years",tblDeaths[Age],"&gt;="&amp;20,tblDeaths[Age],"&lt;="&amp;34,tblDeaths[Sex],"M",tblDeaths[NHIS],"Non-Insured")</f>
        <v>0</v>
      </c>
      <c r="CD11" s="4">
        <f>COUNTIFS(tblDeaths[Month],12,tblDeaths[AgeUnit],"Years",tblDeaths[Age],"&gt;="&amp;20,tblDeaths[Age],"&lt;="&amp;34,tblDeaths[Sex],"F",tblDeaths[NHIS],"Non-Insured")</f>
        <v>0</v>
      </c>
      <c r="CE11" s="4">
        <f>COUNTIFS(tblDeaths[Month],12,tblDeaths[AgeUnit],"Years",tblDeaths[Age],"&gt;="&amp;20,tblDeaths[Age],"&lt;="&amp;34,tblDeaths[Sex],"M",tblDeaths[NHIS],"Insured")</f>
        <v>0</v>
      </c>
      <c r="CF11" s="4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4" t="s">
        <v>172</v>
      </c>
      <c r="B12" s="4">
        <f>COUNTIFS(tblDeaths[Month],1,tblDeaths[AgeUnit],"Years",tblDeaths[Age],"&gt;="&amp;35,tblDeaths[Age],"&lt;="&amp;49,tblDeaths[Sex],"M")</f>
        <v>5</v>
      </c>
      <c r="C12" s="4">
        <f>COUNTIFS(tblDeaths[Month],1,tblDeaths[AgeUnit],"Years",tblDeaths[Age],"&gt;="&amp;35,tblDeaths[Age],"&lt;="&amp;49,tblDeaths[Sex],"F")</f>
        <v>4</v>
      </c>
      <c r="D12" s="4">
        <f>COUNTIFS(tblDeaths[Month],1,tblDeaths[AgeUnit],"Years",tblDeaths[Age],"&gt;="&amp;35,tblDeaths[Age],"&lt;="&amp;49,tblDeaths[Sex],"M",tblDeaths[NHIS],"Non-Insured")</f>
        <v>5</v>
      </c>
      <c r="E12" s="4">
        <f>COUNTIFS(tblDeaths[Month],1,tblDeaths[AgeUnit],"Years",tblDeaths[Age],"&gt;="&amp;35,tblDeaths[Age],"&lt;="&amp;49,tblDeaths[Sex],"F",tblDeaths[NHIS],"Non-Insured")</f>
        <v>0</v>
      </c>
      <c r="F12" s="4">
        <f>COUNTIFS(tblDeaths[Month],1,tblDeaths[AgeUnit],"Years",tblDeaths[Age],"&gt;="&amp;35,tblDeaths[Age],"&lt;="&amp;49,tblDeaths[Sex],"M",tblDeaths[NHIS],"Insured")</f>
        <v>0</v>
      </c>
      <c r="G12" s="4">
        <f>COUNTIFS(tblDeaths[Month],1,tblDeaths[AgeUnit],"Years",tblDeaths[Age],"&gt;="&amp;35,tblDeaths[Age],"&lt;="&amp;49,tblDeaths[Sex],"F",tblDeaths[NHIS],"Insured")</f>
        <v>4</v>
      </c>
      <c r="H12" s="4" t="s">
        <v>172</v>
      </c>
      <c r="I12" s="4">
        <f>COUNTIFS(tblDeaths[Month],2,tblDeaths[AgeUnit],"Years",tblDeaths[Age],"&gt;="&amp;35,tblDeaths[Age],"&lt;="&amp;49,tblDeaths[Sex],"M")</f>
        <v>0</v>
      </c>
      <c r="J12" s="4">
        <f>COUNTIFS(tblDeaths[Month],2,tblDeaths[AgeUnit],"Years",tblDeaths[Age],"&gt;="&amp;35,tblDeaths[Age],"&lt;="&amp;49,tblDeaths[Sex],"F")</f>
        <v>0</v>
      </c>
      <c r="K12" s="4">
        <f>COUNTIFS(tblDeaths[Month],2,tblDeaths[AgeUnit],"Years",tblDeaths[Age],"&gt;="&amp;35,tblDeaths[Age],"&lt;="&amp;49,tblDeaths[Sex],"M",tblDeaths[NHIS],"Non-Insured")</f>
        <v>0</v>
      </c>
      <c r="L12" s="4">
        <f>COUNTIFS(tblDeaths[Month],2,tblDeaths[AgeUnit],"Years",tblDeaths[Age],"&gt;="&amp;35,tblDeaths[Age],"&lt;="&amp;49,tblDeaths[Sex],"F",tblDeaths[NHIS],"Non-Insured")</f>
        <v>0</v>
      </c>
      <c r="M12" s="4">
        <f>COUNTIFS(tblDeaths[Month],2,tblDeaths[AgeUnit],"Years",tblDeaths[Age],"&gt;="&amp;35,tblDeaths[Age],"&lt;="&amp;49,tblDeaths[Sex],"M",tblDeaths[NHIS],"Insured")</f>
        <v>0</v>
      </c>
      <c r="N12" s="4">
        <f>COUNTIFS(tblDeaths[Month],2,tblDeaths[AgeUnit],"Years",tblDeaths[Age],"&gt;="&amp;35,tblDeaths[Age],"&lt;="&amp;49,tblDeaths[Sex],"F",tblDeaths[NHIS],"Insured")</f>
        <v>0</v>
      </c>
      <c r="O12" s="4" t="s">
        <v>172</v>
      </c>
      <c r="P12" s="4">
        <f>COUNTIFS(tblDeaths[Month],3,tblDeaths[AgeUnit],"Years",tblDeaths[Age],"&gt;="&amp;35,tblDeaths[Age],"&lt;="&amp;49,tblDeaths[Sex],"M")</f>
        <v>0</v>
      </c>
      <c r="Q12" s="4">
        <f>COUNTIFS(tblDeaths[Month],3,tblDeaths[AgeUnit],"Years",tblDeaths[Age],"&gt;="&amp;35,tblDeaths[Age],"&lt;="&amp;49,tblDeaths[Sex],"F")</f>
        <v>0</v>
      </c>
      <c r="R12" s="4">
        <f>COUNTIFS(tblDeaths[Month],3,tblDeaths[AgeUnit],"Years",tblDeaths[Age],"&gt;="&amp;35,tblDeaths[Age],"&lt;="&amp;49,tblDeaths[Sex],"M",tblDeaths[NHIS],"Non-Insured")</f>
        <v>0</v>
      </c>
      <c r="S12" s="4">
        <f>COUNTIFS(tblDeaths[Month],3,tblDeaths[AgeUnit],"Years",tblDeaths[Age],"&gt;="&amp;35,tblDeaths[Age],"&lt;="&amp;49,tblDeaths[Sex],"F",tblDeaths[NHIS],"Non-Insured")</f>
        <v>0</v>
      </c>
      <c r="T12" s="4">
        <f>COUNTIFS(tblDeaths[Month],3,tblDeaths[AgeUnit],"Years",tblDeaths[Age],"&gt;="&amp;35,tblDeaths[Age],"&lt;="&amp;49,tblDeaths[Sex],"M",tblDeaths[NHIS],"Insured")</f>
        <v>0</v>
      </c>
      <c r="U12" s="4">
        <f>COUNTIFS(tblDeaths[Month],3,tblDeaths[AgeUnit],"Years",tblDeaths[Age],"&gt;="&amp;35,tblDeaths[Age],"&lt;="&amp;49,tblDeaths[Sex],"F",tblDeaths[NHIS],"Insured")</f>
        <v>0</v>
      </c>
      <c r="V12" s="4" t="s">
        <v>172</v>
      </c>
      <c r="W12" s="4">
        <f>COUNTIFS(tblDeaths[Month],4,tblDeaths[AgeUnit],"Years",tblDeaths[Age],"&gt;="&amp;35,tblDeaths[Age],"&lt;="&amp;49,tblDeaths[Sex],"M")</f>
        <v>0</v>
      </c>
      <c r="X12" s="4">
        <f>COUNTIFS(tblDeaths[Month],4,tblDeaths[AgeUnit],"Years",tblDeaths[Age],"&gt;="&amp;35,tblDeaths[Age],"&lt;="&amp;49,tblDeaths[Sex],"F")</f>
        <v>0</v>
      </c>
      <c r="Y12" s="4">
        <f>COUNTIFS(tblDeaths[Month],4,tblDeaths[AgeUnit],"Years",tblDeaths[Age],"&gt;="&amp;35,tblDeaths[Age],"&lt;="&amp;49,tblDeaths[Sex],"M",tblDeaths[NHIS],"Non-Insured")</f>
        <v>0</v>
      </c>
      <c r="Z12" s="4">
        <f>COUNTIFS(tblDeaths[Month],4,tblDeaths[AgeUnit],"Years",tblDeaths[Age],"&gt;="&amp;35,tblDeaths[Age],"&lt;="&amp;49,tblDeaths[Sex],"F",tblDeaths[NHIS],"Non-Insured")</f>
        <v>0</v>
      </c>
      <c r="AA12" s="4">
        <f>COUNTIFS(tblDeaths[Month],4,tblDeaths[AgeUnit],"Years",tblDeaths[Age],"&gt;="&amp;35,tblDeaths[Age],"&lt;="&amp;49,tblDeaths[Sex],"M",tblDeaths[NHIS],"Insured")</f>
        <v>0</v>
      </c>
      <c r="AB12" s="4">
        <f>COUNTIFS(tblDeaths[Month],4,tblDeaths[AgeUnit],"Years",tblDeaths[Age],"&gt;="&amp;35,tblDeaths[Age],"&lt;="&amp;49,tblDeaths[Sex],"F",tblDeaths[NHIS],"Insured")</f>
        <v>0</v>
      </c>
      <c r="AC12" s="4" t="s">
        <v>172</v>
      </c>
      <c r="AD12" s="4">
        <f>COUNTIFS(tblDeaths[Month],5,tblDeaths[AgeUnit],"Years",tblDeaths[Age],"&gt;="&amp;35,tblDeaths[Age],"&lt;="&amp;49,tblDeaths[Sex],"M")</f>
        <v>0</v>
      </c>
      <c r="AE12" s="4">
        <f>COUNTIFS(tblDeaths[Month],5,tblDeaths[AgeUnit],"Years",tblDeaths[Age],"&gt;="&amp;35,tblDeaths[Age],"&lt;="&amp;49,tblDeaths[Sex],"F")</f>
        <v>0</v>
      </c>
      <c r="AF12" s="4">
        <f>COUNTIFS(tblDeaths[Month],5,tblDeaths[AgeUnit],"Years",tblDeaths[Age],"&gt;="&amp;35,tblDeaths[Age],"&lt;="&amp;49,tblDeaths[Sex],"M",tblDeaths[NHIS],"Non-Insured")</f>
        <v>0</v>
      </c>
      <c r="AG12" s="4">
        <f>COUNTIFS(tblDeaths[Month],5,tblDeaths[AgeUnit],"Years",tblDeaths[Age],"&gt;="&amp;35,tblDeaths[Age],"&lt;="&amp;49,tblDeaths[Sex],"F",tblDeaths[NHIS],"Non-Insured")</f>
        <v>0</v>
      </c>
      <c r="AH12" s="4">
        <f>COUNTIFS(tblDeaths[Month],5,tblDeaths[AgeUnit],"Years",tblDeaths[Age],"&gt;="&amp;35,tblDeaths[Age],"&lt;="&amp;49,tblDeaths[Sex],"M",tblDeaths[NHIS],"Insured")</f>
        <v>0</v>
      </c>
      <c r="AI12" s="4">
        <f>COUNTIFS(tblDeaths[Month],5,tblDeaths[AgeUnit],"Years",tblDeaths[Age],"&gt;="&amp;35,tblDeaths[Age],"&lt;="&amp;49,tblDeaths[Sex],"F",tblDeaths[NHIS],"Insured")</f>
        <v>0</v>
      </c>
      <c r="AJ12" s="4" t="s">
        <v>172</v>
      </c>
      <c r="AK12" s="4">
        <f>COUNTIFS(tblDeaths[Month],6,tblDeaths[AgeUnit],"Years",tblDeaths[Age],"&gt;="&amp;35,tblDeaths[Age],"&lt;="&amp;49,tblDeaths[Sex],"M")</f>
        <v>0</v>
      </c>
      <c r="AL12" s="4">
        <f>COUNTIFS(tblDeaths[Month],6,tblDeaths[AgeUnit],"Years",tblDeaths[Age],"&gt;="&amp;35,tblDeaths[Age],"&lt;="&amp;49,tblDeaths[Sex],"F")</f>
        <v>0</v>
      </c>
      <c r="AM12" s="4">
        <f>COUNTIFS(tblDeaths[Month],6,tblDeaths[AgeUnit],"Years",tblDeaths[Age],"&gt;="&amp;35,tblDeaths[Age],"&lt;="&amp;49,tblDeaths[Sex],"M",tblDeaths[NHIS],"Non-Insured")</f>
        <v>0</v>
      </c>
      <c r="AN12" s="4">
        <f>COUNTIFS(tblDeaths[Month],6,tblDeaths[AgeUnit],"Years",tblDeaths[Age],"&gt;="&amp;35,tblDeaths[Age],"&lt;="&amp;49,tblDeaths[Sex],"F",tblDeaths[NHIS],"Non-Insured")</f>
        <v>0</v>
      </c>
      <c r="AO12" s="4">
        <f>COUNTIFS(tblDeaths[Month],6,tblDeaths[AgeUnit],"Years",tblDeaths[Age],"&gt;="&amp;35,tblDeaths[Age],"&lt;="&amp;49,tblDeaths[Sex],"M",tblDeaths[NHIS],"Insured")</f>
        <v>0</v>
      </c>
      <c r="AP12" s="4">
        <f>COUNTIFS(tblDeaths[Month],6,tblDeaths[AgeUnit],"Years",tblDeaths[Age],"&gt;="&amp;35,tblDeaths[Age],"&lt;="&amp;49,tblDeaths[Sex],"F",tblDeaths[NHIS],"Insured")</f>
        <v>0</v>
      </c>
      <c r="AQ12" s="4" t="s">
        <v>172</v>
      </c>
      <c r="AR12" s="4">
        <f>COUNTIFS(tblDeaths[Month],7,tblDeaths[AgeUnit],"Years",tblDeaths[Age],"&gt;="&amp;35,tblDeaths[Age],"&lt;="&amp;49,tblDeaths[Sex],"M")</f>
        <v>0</v>
      </c>
      <c r="AS12" s="4">
        <f>COUNTIFS(tblDeaths[Month],7,tblDeaths[AgeUnit],"Years",tblDeaths[Age],"&gt;="&amp;35,tblDeaths[Age],"&lt;="&amp;49,tblDeaths[Sex],"F")</f>
        <v>0</v>
      </c>
      <c r="AT12" s="4">
        <f>COUNTIFS(tblDeaths[Month],7,tblDeaths[AgeUnit],"Years",tblDeaths[Age],"&gt;="&amp;35,tblDeaths[Age],"&lt;="&amp;49,tblDeaths[Sex],"M",tblDeaths[NHIS],"Non-Insured")</f>
        <v>0</v>
      </c>
      <c r="AU12" s="4">
        <f>COUNTIFS(tblDeaths[Month],7,tblDeaths[AgeUnit],"Years",tblDeaths[Age],"&gt;="&amp;35,tblDeaths[Age],"&lt;="&amp;49,tblDeaths[Sex],"F",tblDeaths[NHIS],"Non-Insured")</f>
        <v>0</v>
      </c>
      <c r="AV12" s="4">
        <f>COUNTIFS(tblDeaths[Month],7,tblDeaths[AgeUnit],"Years",tblDeaths[Age],"&gt;="&amp;35,tblDeaths[Age],"&lt;="&amp;49,tblDeaths[Sex],"M",tblDeaths[NHIS],"Insured")</f>
        <v>0</v>
      </c>
      <c r="AW12" s="4">
        <f>COUNTIFS(tblDeaths[Month],7,tblDeaths[AgeUnit],"Years",tblDeaths[Age],"&gt;="&amp;35,tblDeaths[Age],"&lt;="&amp;49,tblDeaths[Sex],"F",tblDeaths[NHIS],"Insured")</f>
        <v>0</v>
      </c>
      <c r="AX12" s="4" t="s">
        <v>172</v>
      </c>
      <c r="AY12" s="4">
        <f>COUNTIFS(tblDeaths[Month],8,tblDeaths[AgeUnit],"Years",tblDeaths[Age],"&gt;="&amp;35,tblDeaths[Age],"&lt;="&amp;49,tblDeaths[Sex],"M")</f>
        <v>0</v>
      </c>
      <c r="AZ12" s="4">
        <f>COUNTIFS(tblDeaths[Month],8,tblDeaths[AgeUnit],"Years",tblDeaths[Age],"&gt;="&amp;35,tblDeaths[Age],"&lt;="&amp;49,tblDeaths[Sex],"F")</f>
        <v>0</v>
      </c>
      <c r="BA12" s="4">
        <f>COUNTIFS(tblDeaths[Month],8,tblDeaths[AgeUnit],"Years",tblDeaths[Age],"&gt;="&amp;35,tblDeaths[Age],"&lt;="&amp;49,tblDeaths[Sex],"M",tblDeaths[NHIS],"Non-Insured")</f>
        <v>0</v>
      </c>
      <c r="BB12" s="4">
        <f>COUNTIFS(tblDeaths[Month],8,tblDeaths[AgeUnit],"Years",tblDeaths[Age],"&gt;="&amp;35,tblDeaths[Age],"&lt;="&amp;49,tblDeaths[Sex],"F",tblDeaths[NHIS],"Non-Insured")</f>
        <v>0</v>
      </c>
      <c r="BC12" s="4">
        <f>COUNTIFS(tblDeaths[Month],8,tblDeaths[AgeUnit],"Years",tblDeaths[Age],"&gt;="&amp;35,tblDeaths[Age],"&lt;="&amp;49,tblDeaths[Sex],"M",tblDeaths[NHIS],"Insured")</f>
        <v>0</v>
      </c>
      <c r="BD12" s="4">
        <f>COUNTIFS(tblDeaths[Month],8,tblDeaths[AgeUnit],"Years",tblDeaths[Age],"&gt;="&amp;35,tblDeaths[Age],"&lt;="&amp;49,tblDeaths[Sex],"F",tblDeaths[NHIS],"Insured")</f>
        <v>0</v>
      </c>
      <c r="BE12" s="4" t="s">
        <v>172</v>
      </c>
      <c r="BF12" s="4">
        <f>COUNTIFS(tblDeaths[Month],9,tblDeaths[AgeUnit],"Years",tblDeaths[Age],"&gt;="&amp;35,tblDeaths[Age],"&lt;="&amp;49,tblDeaths[Sex],"M")</f>
        <v>0</v>
      </c>
      <c r="BG12" s="4">
        <f>COUNTIFS(tblDeaths[Month],9,tblDeaths[AgeUnit],"Years",tblDeaths[Age],"&gt;="&amp;35,tblDeaths[Age],"&lt;="&amp;49,tblDeaths[Sex],"F")</f>
        <v>0</v>
      </c>
      <c r="BH12" s="4">
        <f>COUNTIFS(tblDeaths[Month],9,tblDeaths[AgeUnit],"Years",tblDeaths[Age],"&gt;="&amp;35,tblDeaths[Age],"&lt;="&amp;49,tblDeaths[Sex],"M",tblDeaths[NHIS],"Non-Insured")</f>
        <v>0</v>
      </c>
      <c r="BI12" s="4">
        <f>COUNTIFS(tblDeaths[Month],9,tblDeaths[AgeUnit],"Years",tblDeaths[Age],"&gt;="&amp;35,tblDeaths[Age],"&lt;="&amp;49,tblDeaths[Sex],"F",tblDeaths[NHIS],"Non-Insured")</f>
        <v>0</v>
      </c>
      <c r="BJ12" s="4">
        <f>COUNTIFS(tblDeaths[Month],9,tblDeaths[AgeUnit],"Years",tblDeaths[Age],"&gt;="&amp;35,tblDeaths[Age],"&lt;="&amp;49,tblDeaths[Sex],"M",tblDeaths[NHIS],"Insured")</f>
        <v>0</v>
      </c>
      <c r="BK12" s="4">
        <f>COUNTIFS(tblDeaths[Month],9,tblDeaths[AgeUnit],"Years",tblDeaths[Age],"&gt;="&amp;35,tblDeaths[Age],"&lt;="&amp;49,tblDeaths[Sex],"F",tblDeaths[NHIS],"Insured")</f>
        <v>0</v>
      </c>
      <c r="BL12" s="4" t="s">
        <v>172</v>
      </c>
      <c r="BM12" s="4">
        <f>COUNTIFS(tblDeaths[Month],10,tblDeaths[AgeUnit],"Years",tblDeaths[Age],"&gt;="&amp;35,tblDeaths[Age],"&lt;="&amp;49,tblDeaths[Sex],"M")</f>
        <v>0</v>
      </c>
      <c r="BN12" s="4">
        <f>COUNTIFS(tblDeaths[Month],10,tblDeaths[AgeUnit],"Years",tblDeaths[Age],"&gt;="&amp;35,tblDeaths[Age],"&lt;="&amp;49,tblDeaths[Sex],"F")</f>
        <v>0</v>
      </c>
      <c r="BO12" s="4">
        <f>COUNTIFS(tblDeaths[Month],10,tblDeaths[AgeUnit],"Years",tblDeaths[Age],"&gt;="&amp;35,tblDeaths[Age],"&lt;="&amp;49,tblDeaths[Sex],"M",tblDeaths[NHIS],"Non-Insured")</f>
        <v>0</v>
      </c>
      <c r="BP12" s="4">
        <f>COUNTIFS(tblDeaths[Month],10,tblDeaths[AgeUnit],"Years",tblDeaths[Age],"&gt;="&amp;35,tblDeaths[Age],"&lt;="&amp;49,tblDeaths[Sex],"F",tblDeaths[NHIS],"Non-Insured")</f>
        <v>0</v>
      </c>
      <c r="BQ12" s="4">
        <f>COUNTIFS(tblDeaths[Month],10,tblDeaths[AgeUnit],"Years",tblDeaths[Age],"&gt;="&amp;35,tblDeaths[Age],"&lt;="&amp;49,tblDeaths[Sex],"M",tblDeaths[NHIS],"Insured")</f>
        <v>0</v>
      </c>
      <c r="BR12" s="4">
        <f>COUNTIFS(tblDeaths[Month],10,tblDeaths[AgeUnit],"Years",tblDeaths[Age],"&gt;="&amp;35,tblDeaths[Age],"&lt;="&amp;49,tblDeaths[Sex],"F",tblDeaths[NHIS],"Insured")</f>
        <v>0</v>
      </c>
      <c r="BS12" s="4" t="s">
        <v>172</v>
      </c>
      <c r="BT12" s="4">
        <f>COUNTIFS(tblDeaths[Month],11,tblDeaths[AgeUnit],"Years",tblDeaths[Age],"&gt;="&amp;35,tblDeaths[Age],"&lt;="&amp;49,tblDeaths[Sex],"M")</f>
        <v>0</v>
      </c>
      <c r="BU12" s="4">
        <f>COUNTIFS(tblDeaths[Month],11,tblDeaths[AgeUnit],"Years",tblDeaths[Age],"&gt;="&amp;35,tblDeaths[Age],"&lt;="&amp;49,tblDeaths[Sex],"F")</f>
        <v>0</v>
      </c>
      <c r="BV12" s="4">
        <f>COUNTIFS(tblDeaths[Month],11,tblDeaths[AgeUnit],"Years",tblDeaths[Age],"&gt;="&amp;35,tblDeaths[Age],"&lt;="&amp;49,tblDeaths[Sex],"M",tblDeaths[NHIS],"Non-Insured")</f>
        <v>0</v>
      </c>
      <c r="BW12" s="4">
        <f>COUNTIFS(tblDeaths[Month],11,tblDeaths[AgeUnit],"Years",tblDeaths[Age],"&gt;="&amp;35,tblDeaths[Age],"&lt;="&amp;49,tblDeaths[Sex],"F",tblDeaths[NHIS],"Non-Insured")</f>
        <v>0</v>
      </c>
      <c r="BX12" s="4">
        <f>COUNTIFS(tblDeaths[Month],11,tblDeaths[AgeUnit],"Years",tblDeaths[Age],"&gt;="&amp;35,tblDeaths[Age],"&lt;="&amp;49,tblDeaths[Sex],"M",tblDeaths[NHIS],"Insured")</f>
        <v>0</v>
      </c>
      <c r="BY12" s="4">
        <f>COUNTIFS(tblDeaths[Month],11,tblDeaths[AgeUnit],"Years",tblDeaths[Age],"&gt;="&amp;35,tblDeaths[Age],"&lt;="&amp;49,tblDeaths[Sex],"F",tblDeaths[NHIS],"Insured")</f>
        <v>0</v>
      </c>
      <c r="BZ12" s="4" t="s">
        <v>172</v>
      </c>
      <c r="CA12" s="4">
        <f>COUNTIFS(tblDeaths[Month],12,tblDeaths[AgeUnit],"Years",tblDeaths[Age],"&gt;="&amp;35,tblDeaths[Age],"&lt;="&amp;49,tblDeaths[Sex],"M")</f>
        <v>0</v>
      </c>
      <c r="CB12" s="4">
        <f>COUNTIFS(tblDeaths[Month],12,tblDeaths[AgeUnit],"Years",tblDeaths[Age],"&gt;="&amp;35,tblDeaths[Age],"&lt;="&amp;49,tblDeaths[Sex],"F")</f>
        <v>0</v>
      </c>
      <c r="CC12" s="4">
        <f>COUNTIFS(tblDeaths[Month],12,tblDeaths[AgeUnit],"Years",tblDeaths[Age],"&gt;="&amp;35,tblDeaths[Age],"&lt;="&amp;49,tblDeaths[Sex],"M",tblDeaths[NHIS],"Non-Insured")</f>
        <v>0</v>
      </c>
      <c r="CD12" s="4">
        <f>COUNTIFS(tblDeaths[Month],12,tblDeaths[AgeUnit],"Years",tblDeaths[Age],"&gt;="&amp;35,tblDeaths[Age],"&lt;="&amp;49,tblDeaths[Sex],"F",tblDeaths[NHIS],"Non-Insured")</f>
        <v>0</v>
      </c>
      <c r="CE12" s="4">
        <f>COUNTIFS(tblDeaths[Month],12,tblDeaths[AgeUnit],"Years",tblDeaths[Age],"&gt;="&amp;35,tblDeaths[Age],"&lt;="&amp;49,tblDeaths[Sex],"M",tblDeaths[NHIS],"Insured")</f>
        <v>0</v>
      </c>
      <c r="CF12" s="4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4" t="s">
        <v>173</v>
      </c>
      <c r="B13" s="4">
        <f>COUNTIFS(tblDeaths[Month],1,tblDeaths[AgeUnit],"Years",tblDeaths[Age],"&gt;="&amp;50,tblDeaths[Age],"&lt;="&amp;59,tblDeaths[Sex],"M")</f>
        <v>1</v>
      </c>
      <c r="C13" s="4">
        <f>COUNTIFS(tblDeaths[Month],1,tblDeaths[AgeUnit],"Years",tblDeaths[Age],"&gt;="&amp;50,tblDeaths[Age],"&lt;="&amp;59,tblDeaths[Sex],"F")</f>
        <v>2</v>
      </c>
      <c r="D13" s="4">
        <f>COUNTIFS(tblDeaths[Month],1,tblDeaths[AgeUnit],"Years",tblDeaths[Age],"&gt;="&amp;50,tblDeaths[Age],"&lt;="&amp;59,tblDeaths[Sex],"M",tblDeaths[NHIS],"Non-Insured")</f>
        <v>1</v>
      </c>
      <c r="E13" s="4">
        <f>COUNTIFS(tblDeaths[Month],1,tblDeaths[AgeUnit],"Years",tblDeaths[Age],"&gt;="&amp;50,tblDeaths[Age],"&lt;="&amp;59,tblDeaths[Sex],"F",tblDeaths[NHIS],"Non-Insured")</f>
        <v>2</v>
      </c>
      <c r="F13" s="4">
        <f>COUNTIFS(tblDeaths[Month],1,tblDeaths[AgeUnit],"Years",tblDeaths[Age],"&gt;="&amp;50,tblDeaths[Age],"&lt;="&amp;59,tblDeaths[Sex],"M",tblDeaths[NHIS],"Insured")</f>
        <v>0</v>
      </c>
      <c r="G13" s="4">
        <f>COUNTIFS(tblDeaths[Month],1,tblDeaths[AgeUnit],"Years",tblDeaths[Age],"&gt;="&amp;50,tblDeaths[Age],"&lt;="&amp;59,tblDeaths[Sex],"F",tblDeaths[NHIS],"Insured")</f>
        <v>0</v>
      </c>
      <c r="H13" s="4" t="s">
        <v>173</v>
      </c>
      <c r="I13" s="4">
        <f>COUNTIFS(tblDeaths[Month],2,tblDeaths[AgeUnit],"Years",tblDeaths[Age],"&gt;="&amp;50,tblDeaths[Age],"&lt;="&amp;59,tblDeaths[Sex],"M")</f>
        <v>0</v>
      </c>
      <c r="J13" s="4">
        <f>COUNTIFS(tblDeaths[Month],2,tblDeaths[AgeUnit],"Years",tblDeaths[Age],"&gt;="&amp;50,tblDeaths[Age],"&lt;="&amp;59,tblDeaths[Sex],"F")</f>
        <v>0</v>
      </c>
      <c r="K13" s="4">
        <f>COUNTIFS(tblDeaths[Month],2,tblDeaths[AgeUnit],"Years",tblDeaths[Age],"&gt;="&amp;50,tblDeaths[Age],"&lt;="&amp;59,tblDeaths[Sex],"M",tblDeaths[NHIS],"Non-Insured")</f>
        <v>0</v>
      </c>
      <c r="L13" s="4">
        <f>COUNTIFS(tblDeaths[Month],2,tblDeaths[AgeUnit],"Years",tblDeaths[Age],"&gt;="&amp;50,tblDeaths[Age],"&lt;="&amp;59,tblDeaths[Sex],"F",tblDeaths[NHIS],"Non-Insured")</f>
        <v>0</v>
      </c>
      <c r="M13" s="4">
        <f>COUNTIFS(tblDeaths[Month],2,tblDeaths[AgeUnit],"Years",tblDeaths[Age],"&gt;="&amp;50,tblDeaths[Age],"&lt;="&amp;59,tblDeaths[Sex],"M",tblDeaths[NHIS],"Insured")</f>
        <v>0</v>
      </c>
      <c r="N13" s="4">
        <f>COUNTIFS(tblDeaths[Month],2,tblDeaths[AgeUnit],"Years",tblDeaths[Age],"&gt;="&amp;50,tblDeaths[Age],"&lt;="&amp;59,tblDeaths[Sex],"F",tblDeaths[NHIS],"Insured")</f>
        <v>0</v>
      </c>
      <c r="O13" s="4" t="s">
        <v>173</v>
      </c>
      <c r="P13" s="4">
        <f>COUNTIFS(tblDeaths[Month],3,tblDeaths[AgeUnit],"Years",tblDeaths[Age],"&gt;="&amp;50,tblDeaths[Age],"&lt;="&amp;59,tblDeaths[Sex],"M")</f>
        <v>0</v>
      </c>
      <c r="Q13" s="4">
        <f>COUNTIFS(tblDeaths[Month],3,tblDeaths[AgeUnit],"Years",tblDeaths[Age],"&gt;="&amp;50,tblDeaths[Age],"&lt;="&amp;59,tblDeaths[Sex],"F")</f>
        <v>0</v>
      </c>
      <c r="R13" s="4">
        <f>COUNTIFS(tblDeaths[Month],3,tblDeaths[AgeUnit],"Years",tblDeaths[Age],"&gt;="&amp;50,tblDeaths[Age],"&lt;="&amp;59,tblDeaths[Sex],"M",tblDeaths[NHIS],"Non-Insured")</f>
        <v>0</v>
      </c>
      <c r="S13" s="4">
        <f>COUNTIFS(tblDeaths[Month],3,tblDeaths[AgeUnit],"Years",tblDeaths[Age],"&gt;="&amp;50,tblDeaths[Age],"&lt;="&amp;59,tblDeaths[Sex],"F",tblDeaths[NHIS],"Non-Insured")</f>
        <v>0</v>
      </c>
      <c r="T13" s="4">
        <f>COUNTIFS(tblDeaths[Month],3,tblDeaths[AgeUnit],"Years",tblDeaths[Age],"&gt;="&amp;50,tblDeaths[Age],"&lt;="&amp;59,tblDeaths[Sex],"M",tblDeaths[NHIS],"Insured")</f>
        <v>0</v>
      </c>
      <c r="U13" s="4">
        <f>COUNTIFS(tblDeaths[Month],3,tblDeaths[AgeUnit],"Years",tblDeaths[Age],"&gt;="&amp;50,tblDeaths[Age],"&lt;="&amp;59,tblDeaths[Sex],"F",tblDeaths[NHIS],"Insured")</f>
        <v>0</v>
      </c>
      <c r="V13" s="4" t="s">
        <v>173</v>
      </c>
      <c r="W13" s="4">
        <f>COUNTIFS(tblDeaths[Month],4,tblDeaths[AgeUnit],"Years",tblDeaths[Age],"&gt;="&amp;50,tblDeaths[Age],"&lt;="&amp;59,tblDeaths[Sex],"M")</f>
        <v>0</v>
      </c>
      <c r="X13" s="4">
        <f>COUNTIFS(tblDeaths[Month],4,tblDeaths[AgeUnit],"Years",tblDeaths[Age],"&gt;="&amp;50,tblDeaths[Age],"&lt;="&amp;59,tblDeaths[Sex],"F")</f>
        <v>0</v>
      </c>
      <c r="Y13" s="4">
        <f>COUNTIFS(tblDeaths[Month],4,tblDeaths[AgeUnit],"Years",tblDeaths[Age],"&gt;="&amp;50,tblDeaths[Age],"&lt;="&amp;59,tblDeaths[Sex],"M",tblDeaths[NHIS],"Non-Insured")</f>
        <v>0</v>
      </c>
      <c r="Z13" s="4">
        <f>COUNTIFS(tblDeaths[Month],4,tblDeaths[AgeUnit],"Years",tblDeaths[Age],"&gt;="&amp;50,tblDeaths[Age],"&lt;="&amp;59,tblDeaths[Sex],"F",tblDeaths[NHIS],"Non-Insured")</f>
        <v>0</v>
      </c>
      <c r="AA13" s="4">
        <f>COUNTIFS(tblDeaths[Month],4,tblDeaths[AgeUnit],"Years",tblDeaths[Age],"&gt;="&amp;50,tblDeaths[Age],"&lt;="&amp;59,tblDeaths[Sex],"M",tblDeaths[NHIS],"Insured")</f>
        <v>0</v>
      </c>
      <c r="AB13" s="4">
        <f>COUNTIFS(tblDeaths[Month],4,tblDeaths[AgeUnit],"Years",tblDeaths[Age],"&gt;="&amp;50,tblDeaths[Age],"&lt;="&amp;59,tblDeaths[Sex],"F",tblDeaths[NHIS],"Insured")</f>
        <v>0</v>
      </c>
      <c r="AC13" s="4" t="s">
        <v>173</v>
      </c>
      <c r="AD13" s="4">
        <f>COUNTIFS(tblDeaths[Month],5,tblDeaths[AgeUnit],"Years",tblDeaths[Age],"&gt;="&amp;50,tblDeaths[Age],"&lt;="&amp;59,tblDeaths[Sex],"M")</f>
        <v>0</v>
      </c>
      <c r="AE13" s="4">
        <f>COUNTIFS(tblDeaths[Month],5,tblDeaths[AgeUnit],"Years",tblDeaths[Age],"&gt;="&amp;50,tblDeaths[Age],"&lt;="&amp;59,tblDeaths[Sex],"F")</f>
        <v>0</v>
      </c>
      <c r="AF13" s="4">
        <f>COUNTIFS(tblDeaths[Month],5,tblDeaths[AgeUnit],"Years",tblDeaths[Age],"&gt;="&amp;50,tblDeaths[Age],"&lt;="&amp;59,tblDeaths[Sex],"M",tblDeaths[NHIS],"Non-Insured")</f>
        <v>0</v>
      </c>
      <c r="AG13" s="4">
        <f>COUNTIFS(tblDeaths[Month],5,tblDeaths[AgeUnit],"Years",tblDeaths[Age],"&gt;="&amp;50,tblDeaths[Age],"&lt;="&amp;59,tblDeaths[Sex],"F",tblDeaths[NHIS],"Non-Insured")</f>
        <v>0</v>
      </c>
      <c r="AH13" s="4">
        <f>COUNTIFS(tblDeaths[Month],5,tblDeaths[AgeUnit],"Years",tblDeaths[Age],"&gt;="&amp;50,tblDeaths[Age],"&lt;="&amp;59,tblDeaths[Sex],"M",tblDeaths[NHIS],"Insured")</f>
        <v>0</v>
      </c>
      <c r="AI13" s="4">
        <f>COUNTIFS(tblDeaths[Month],5,tblDeaths[AgeUnit],"Years",tblDeaths[Age],"&gt;="&amp;50,tblDeaths[Age],"&lt;="&amp;59,tblDeaths[Sex],"F",tblDeaths[NHIS],"Insured")</f>
        <v>0</v>
      </c>
      <c r="AJ13" s="4" t="s">
        <v>173</v>
      </c>
      <c r="AK13" s="4">
        <f>COUNTIFS(tblDeaths[Month],6,tblDeaths[AgeUnit],"Years",tblDeaths[Age],"&gt;="&amp;50,tblDeaths[Age],"&lt;="&amp;59,tblDeaths[Sex],"M")</f>
        <v>0</v>
      </c>
      <c r="AL13" s="4">
        <f>COUNTIFS(tblDeaths[Month],6,tblDeaths[AgeUnit],"Years",tblDeaths[Age],"&gt;="&amp;50,tblDeaths[Age],"&lt;="&amp;59,tblDeaths[Sex],"F")</f>
        <v>0</v>
      </c>
      <c r="AM13" s="4">
        <f>COUNTIFS(tblDeaths[Month],6,tblDeaths[AgeUnit],"Years",tblDeaths[Age],"&gt;="&amp;50,tblDeaths[Age],"&lt;="&amp;59,tblDeaths[Sex],"M",tblDeaths[NHIS],"Non-Insured")</f>
        <v>0</v>
      </c>
      <c r="AN13" s="4">
        <f>COUNTIFS(tblDeaths[Month],6,tblDeaths[AgeUnit],"Years",tblDeaths[Age],"&gt;="&amp;50,tblDeaths[Age],"&lt;="&amp;59,tblDeaths[Sex],"F",tblDeaths[NHIS],"Non-Insured")</f>
        <v>0</v>
      </c>
      <c r="AO13" s="4">
        <f>COUNTIFS(tblDeaths[Month],6,tblDeaths[AgeUnit],"Years",tblDeaths[Age],"&gt;="&amp;50,tblDeaths[Age],"&lt;="&amp;59,tblDeaths[Sex],"M",tblDeaths[NHIS],"Insured")</f>
        <v>0</v>
      </c>
      <c r="AP13" s="4">
        <f>COUNTIFS(tblDeaths[Month],6,tblDeaths[AgeUnit],"Years",tblDeaths[Age],"&gt;="&amp;50,tblDeaths[Age],"&lt;="&amp;59,tblDeaths[Sex],"F",tblDeaths[NHIS],"Insured")</f>
        <v>0</v>
      </c>
      <c r="AQ13" s="4" t="s">
        <v>173</v>
      </c>
      <c r="AR13" s="4">
        <f>COUNTIFS(tblDeaths[Month],7,tblDeaths[AgeUnit],"Years",tblDeaths[Age],"&gt;="&amp;50,tblDeaths[Age],"&lt;="&amp;59,tblDeaths[Sex],"M")</f>
        <v>0</v>
      </c>
      <c r="AS13" s="4">
        <f>COUNTIFS(tblDeaths[Month],7,tblDeaths[AgeUnit],"Years",tblDeaths[Age],"&gt;="&amp;50,tblDeaths[Age],"&lt;="&amp;59,tblDeaths[Sex],"F")</f>
        <v>0</v>
      </c>
      <c r="AT13" s="4">
        <f>COUNTIFS(tblDeaths[Month],7,tblDeaths[AgeUnit],"Years",tblDeaths[Age],"&gt;="&amp;50,tblDeaths[Age],"&lt;="&amp;59,tblDeaths[Sex],"M",tblDeaths[NHIS],"Non-Insured")</f>
        <v>0</v>
      </c>
      <c r="AU13" s="4">
        <f>COUNTIFS(tblDeaths[Month],7,tblDeaths[AgeUnit],"Years",tblDeaths[Age],"&gt;="&amp;50,tblDeaths[Age],"&lt;="&amp;59,tblDeaths[Sex],"F",tblDeaths[NHIS],"Non-Insured")</f>
        <v>0</v>
      </c>
      <c r="AV13" s="4">
        <f>COUNTIFS(tblDeaths[Month],7,tblDeaths[AgeUnit],"Years",tblDeaths[Age],"&gt;="&amp;50,tblDeaths[Age],"&lt;="&amp;59,tblDeaths[Sex],"M",tblDeaths[NHIS],"Insured")</f>
        <v>0</v>
      </c>
      <c r="AW13" s="4">
        <f>COUNTIFS(tblDeaths[Month],7,tblDeaths[AgeUnit],"Years",tblDeaths[Age],"&gt;="&amp;50,tblDeaths[Age],"&lt;="&amp;59,tblDeaths[Sex],"F",tblDeaths[NHIS],"Insured")</f>
        <v>0</v>
      </c>
      <c r="AX13" s="4" t="s">
        <v>173</v>
      </c>
      <c r="AY13" s="4">
        <f>COUNTIFS(tblDeaths[Month],8,tblDeaths[AgeUnit],"Years",tblDeaths[Age],"&gt;="&amp;50,tblDeaths[Age],"&lt;="&amp;59,tblDeaths[Sex],"M")</f>
        <v>0</v>
      </c>
      <c r="AZ13" s="4">
        <f>COUNTIFS(tblDeaths[Month],8,tblDeaths[AgeUnit],"Years",tblDeaths[Age],"&gt;="&amp;50,tblDeaths[Age],"&lt;="&amp;59,tblDeaths[Sex],"F")</f>
        <v>0</v>
      </c>
      <c r="BA13" s="4">
        <f>COUNTIFS(tblDeaths[Month],8,tblDeaths[AgeUnit],"Years",tblDeaths[Age],"&gt;="&amp;50,tblDeaths[Age],"&lt;="&amp;59,tblDeaths[Sex],"M",tblDeaths[NHIS],"Non-Insured")</f>
        <v>0</v>
      </c>
      <c r="BB13" s="4">
        <f>COUNTIFS(tblDeaths[Month],8,tblDeaths[AgeUnit],"Years",tblDeaths[Age],"&gt;="&amp;50,tblDeaths[Age],"&lt;="&amp;59,tblDeaths[Sex],"F",tblDeaths[NHIS],"Non-Insured")</f>
        <v>0</v>
      </c>
      <c r="BC13" s="4">
        <f>COUNTIFS(tblDeaths[Month],8,tblDeaths[AgeUnit],"Years",tblDeaths[Age],"&gt;="&amp;50,tblDeaths[Age],"&lt;="&amp;59,tblDeaths[Sex],"M",tblDeaths[NHIS],"Insured")</f>
        <v>0</v>
      </c>
      <c r="BD13" s="4">
        <f>COUNTIFS(tblDeaths[Month],8,tblDeaths[AgeUnit],"Years",tblDeaths[Age],"&gt;="&amp;50,tblDeaths[Age],"&lt;="&amp;59,tblDeaths[Sex],"F",tblDeaths[NHIS],"Insured")</f>
        <v>0</v>
      </c>
      <c r="BE13" s="4" t="s">
        <v>173</v>
      </c>
      <c r="BF13" s="4">
        <f>COUNTIFS(tblDeaths[Month],9,tblDeaths[AgeUnit],"Years",tblDeaths[Age],"&gt;="&amp;50,tblDeaths[Age],"&lt;="&amp;59,tblDeaths[Sex],"M")</f>
        <v>0</v>
      </c>
      <c r="BG13" s="4">
        <f>COUNTIFS(tblDeaths[Month],9,tblDeaths[AgeUnit],"Years",tblDeaths[Age],"&gt;="&amp;50,tblDeaths[Age],"&lt;="&amp;59,tblDeaths[Sex],"F")</f>
        <v>0</v>
      </c>
      <c r="BH13" s="4">
        <f>COUNTIFS(tblDeaths[Month],9,tblDeaths[AgeUnit],"Years",tblDeaths[Age],"&gt;="&amp;50,tblDeaths[Age],"&lt;="&amp;59,tblDeaths[Sex],"M",tblDeaths[NHIS],"Non-Insured")</f>
        <v>0</v>
      </c>
      <c r="BI13" s="4">
        <f>COUNTIFS(tblDeaths[Month],9,tblDeaths[AgeUnit],"Years",tblDeaths[Age],"&gt;="&amp;50,tblDeaths[Age],"&lt;="&amp;59,tblDeaths[Sex],"F",tblDeaths[NHIS],"Non-Insured")</f>
        <v>0</v>
      </c>
      <c r="BJ13" s="4">
        <f>COUNTIFS(tblDeaths[Month],9,tblDeaths[AgeUnit],"Years",tblDeaths[Age],"&gt;="&amp;50,tblDeaths[Age],"&lt;="&amp;59,tblDeaths[Sex],"M",tblDeaths[NHIS],"Insured")</f>
        <v>0</v>
      </c>
      <c r="BK13" s="4">
        <f>COUNTIFS(tblDeaths[Month],9,tblDeaths[AgeUnit],"Years",tblDeaths[Age],"&gt;="&amp;50,tblDeaths[Age],"&lt;="&amp;59,tblDeaths[Sex],"F",tblDeaths[NHIS],"Insured")</f>
        <v>0</v>
      </c>
      <c r="BL13" s="4" t="s">
        <v>173</v>
      </c>
      <c r="BM13" s="4">
        <f>COUNTIFS(tblDeaths[Month],10,tblDeaths[AgeUnit],"Years",tblDeaths[Age],"&gt;="&amp;50,tblDeaths[Age],"&lt;="&amp;59,tblDeaths[Sex],"M")</f>
        <v>0</v>
      </c>
      <c r="BN13" s="4">
        <f>COUNTIFS(tblDeaths[Month],10,tblDeaths[AgeUnit],"Years",tblDeaths[Age],"&gt;="&amp;50,tblDeaths[Age],"&lt;="&amp;59,tblDeaths[Sex],"F")</f>
        <v>0</v>
      </c>
      <c r="BO13" s="4">
        <f>COUNTIFS(tblDeaths[Month],10,tblDeaths[AgeUnit],"Years",tblDeaths[Age],"&gt;="&amp;50,tblDeaths[Age],"&lt;="&amp;59,tblDeaths[Sex],"M",tblDeaths[NHIS],"Non-Insured")</f>
        <v>0</v>
      </c>
      <c r="BP13" s="4">
        <f>COUNTIFS(tblDeaths[Month],10,tblDeaths[AgeUnit],"Years",tblDeaths[Age],"&gt;="&amp;50,tblDeaths[Age],"&lt;="&amp;59,tblDeaths[Sex],"F",tblDeaths[NHIS],"Non-Insured")</f>
        <v>0</v>
      </c>
      <c r="BQ13" s="4">
        <f>COUNTIFS(tblDeaths[Month],10,tblDeaths[AgeUnit],"Years",tblDeaths[Age],"&gt;="&amp;50,tblDeaths[Age],"&lt;="&amp;59,tblDeaths[Sex],"M",tblDeaths[NHIS],"Insured")</f>
        <v>0</v>
      </c>
      <c r="BR13" s="4">
        <f>COUNTIFS(tblDeaths[Month],10,tblDeaths[AgeUnit],"Years",tblDeaths[Age],"&gt;="&amp;50,tblDeaths[Age],"&lt;="&amp;59,tblDeaths[Sex],"F",tblDeaths[NHIS],"Insured")</f>
        <v>0</v>
      </c>
      <c r="BS13" s="4" t="s">
        <v>173</v>
      </c>
      <c r="BT13" s="4">
        <f>COUNTIFS(tblDeaths[Month],11,tblDeaths[AgeUnit],"Years",tblDeaths[Age],"&gt;="&amp;50,tblDeaths[Age],"&lt;="&amp;59,tblDeaths[Sex],"M")</f>
        <v>0</v>
      </c>
      <c r="BU13" s="4">
        <f>COUNTIFS(tblDeaths[Month],11,tblDeaths[AgeUnit],"Years",tblDeaths[Age],"&gt;="&amp;50,tblDeaths[Age],"&lt;="&amp;59,tblDeaths[Sex],"F")</f>
        <v>0</v>
      </c>
      <c r="BV13" s="4">
        <f>COUNTIFS(tblDeaths[Month],11,tblDeaths[AgeUnit],"Years",tblDeaths[Age],"&gt;="&amp;50,tblDeaths[Age],"&lt;="&amp;59,tblDeaths[Sex],"M",tblDeaths[NHIS],"Non-Insured")</f>
        <v>0</v>
      </c>
      <c r="BW13" s="4">
        <f>COUNTIFS(tblDeaths[Month],11,tblDeaths[AgeUnit],"Years",tblDeaths[Age],"&gt;="&amp;50,tblDeaths[Age],"&lt;="&amp;59,tblDeaths[Sex],"F",tblDeaths[NHIS],"Non-Insured")</f>
        <v>0</v>
      </c>
      <c r="BX13" s="4">
        <f>COUNTIFS(tblDeaths[Month],11,tblDeaths[AgeUnit],"Years",tblDeaths[Age],"&gt;="&amp;50,tblDeaths[Age],"&lt;="&amp;59,tblDeaths[Sex],"M",tblDeaths[NHIS],"Insured")</f>
        <v>0</v>
      </c>
      <c r="BY13" s="4">
        <f>COUNTIFS(tblDeaths[Month],11,tblDeaths[AgeUnit],"Years",tblDeaths[Age],"&gt;="&amp;50,tblDeaths[Age],"&lt;="&amp;59,tblDeaths[Sex],"F",tblDeaths[NHIS],"Insured")</f>
        <v>0</v>
      </c>
      <c r="BZ13" s="4" t="s">
        <v>173</v>
      </c>
      <c r="CA13" s="4">
        <f>COUNTIFS(tblDeaths[Month],12,tblDeaths[AgeUnit],"Years",tblDeaths[Age],"&gt;="&amp;50,tblDeaths[Age],"&lt;="&amp;59,tblDeaths[Sex],"M")</f>
        <v>0</v>
      </c>
      <c r="CB13" s="4">
        <f>COUNTIFS(tblDeaths[Month],12,tblDeaths[AgeUnit],"Years",tblDeaths[Age],"&gt;="&amp;50,tblDeaths[Age],"&lt;="&amp;59,tblDeaths[Sex],"F")</f>
        <v>0</v>
      </c>
      <c r="CC13" s="4">
        <f>COUNTIFS(tblDeaths[Month],12,tblDeaths[AgeUnit],"Years",tblDeaths[Age],"&gt;="&amp;50,tblDeaths[Age],"&lt;="&amp;59,tblDeaths[Sex],"M",tblDeaths[NHIS],"Non-Insured")</f>
        <v>0</v>
      </c>
      <c r="CD13" s="4">
        <f>COUNTIFS(tblDeaths[Month],12,tblDeaths[AgeUnit],"Years",tblDeaths[Age],"&gt;="&amp;50,tblDeaths[Age],"&lt;="&amp;59,tblDeaths[Sex],"F",tblDeaths[NHIS],"Non-Insured")</f>
        <v>0</v>
      </c>
      <c r="CE13" s="4">
        <f>COUNTIFS(tblDeaths[Month],12,tblDeaths[AgeUnit],"Years",tblDeaths[Age],"&gt;="&amp;50,tblDeaths[Age],"&lt;="&amp;59,tblDeaths[Sex],"M",tblDeaths[NHIS],"Insured")</f>
        <v>0</v>
      </c>
      <c r="CF13" s="4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4" t="s">
        <v>174</v>
      </c>
      <c r="B14" s="4">
        <f>COUNTIFS(tblDeaths[Month],1,tblDeaths[AgeUnit],"Years",tblDeaths[Age],"&gt;="&amp;60,tblDeaths[Age],"&lt;="&amp;69,tblDeaths[Sex],"M")</f>
        <v>4</v>
      </c>
      <c r="C14" s="4">
        <f>COUNTIFS(tblDeaths[Month],1,tblDeaths[AgeUnit],"Years",tblDeaths[Age],"&gt;="&amp;60,tblDeaths[Age],"&lt;="&amp;69,tblDeaths[Sex],"F")</f>
        <v>2</v>
      </c>
      <c r="D14" s="4">
        <f>COUNTIFS(tblDeaths[Month],1,tblDeaths[AgeUnit],"Years",tblDeaths[Age],"&gt;="&amp;60,tblDeaths[Age],"&lt;="&amp;69,tblDeaths[Sex],"M",tblDeaths[NHIS],"Non-Insured")</f>
        <v>1</v>
      </c>
      <c r="E14" s="4">
        <f>COUNTIFS(tblDeaths[Month],1,tblDeaths[AgeUnit],"Years",tblDeaths[Age],"&gt;="&amp;60,tblDeaths[Age],"&lt;="&amp;69,tblDeaths[Sex],"F",tblDeaths[NHIS],"Non-Insured")</f>
        <v>0</v>
      </c>
      <c r="F14" s="4">
        <f>COUNTIFS(tblDeaths[Month],1,tblDeaths[AgeUnit],"Years",tblDeaths[Age],"&gt;="&amp;60,tblDeaths[Age],"&lt;="&amp;69,tblDeaths[Sex],"M",tblDeaths[NHIS],"Insured")</f>
        <v>3</v>
      </c>
      <c r="G14" s="4">
        <f>COUNTIFS(tblDeaths[Month],1,tblDeaths[AgeUnit],"Years",tblDeaths[Age],"&gt;="&amp;60,tblDeaths[Age],"&lt;="&amp;69,tblDeaths[Sex],"F",tblDeaths[NHIS],"Insured")</f>
        <v>2</v>
      </c>
      <c r="H14" s="4" t="s">
        <v>174</v>
      </c>
      <c r="I14" s="4">
        <f>COUNTIFS(tblDeaths[Month],2,tblDeaths[AgeUnit],"Years",tblDeaths[Age],"&gt;="&amp;60,tblDeaths[Age],"&lt;="&amp;69,tblDeaths[Sex],"M")</f>
        <v>0</v>
      </c>
      <c r="J14" s="4">
        <f>COUNTIFS(tblDeaths[Month],2,tblDeaths[AgeUnit],"Years",tblDeaths[Age],"&gt;="&amp;60,tblDeaths[Age],"&lt;="&amp;69,tblDeaths[Sex],"F")</f>
        <v>0</v>
      </c>
      <c r="K14" s="4">
        <f>COUNTIFS(tblDeaths[Month],2,tblDeaths[AgeUnit],"Years",tblDeaths[Age],"&gt;="&amp;60,tblDeaths[Age],"&lt;="&amp;69,tblDeaths[Sex],"M",tblDeaths[NHIS],"Non-Insured")</f>
        <v>0</v>
      </c>
      <c r="L14" s="4">
        <f>COUNTIFS(tblDeaths[Month],2,tblDeaths[AgeUnit],"Years",tblDeaths[Age],"&gt;="&amp;60,tblDeaths[Age],"&lt;="&amp;69,tblDeaths[Sex],"F",tblDeaths[NHIS],"Non-Insured")</f>
        <v>0</v>
      </c>
      <c r="M14" s="4">
        <f>COUNTIFS(tblDeaths[Month],2,tblDeaths[AgeUnit],"Years",tblDeaths[Age],"&gt;="&amp;60,tblDeaths[Age],"&lt;="&amp;69,tblDeaths[Sex],"M",tblDeaths[NHIS],"Insured")</f>
        <v>0</v>
      </c>
      <c r="N14" s="4">
        <f>COUNTIFS(tblDeaths[Month],2,tblDeaths[AgeUnit],"Years",tblDeaths[Age],"&gt;="&amp;60,tblDeaths[Age],"&lt;="&amp;69,tblDeaths[Sex],"F",tblDeaths[NHIS],"Insured")</f>
        <v>0</v>
      </c>
      <c r="O14" s="4" t="s">
        <v>174</v>
      </c>
      <c r="P14" s="4">
        <f>COUNTIFS(tblDeaths[Month],3,tblDeaths[AgeUnit],"Years",tblDeaths[Age],"&gt;="&amp;60,tblDeaths[Age],"&lt;="&amp;69,tblDeaths[Sex],"M")</f>
        <v>0</v>
      </c>
      <c r="Q14" s="4">
        <f>COUNTIFS(tblDeaths[Month],3,tblDeaths[AgeUnit],"Years",tblDeaths[Age],"&gt;="&amp;60,tblDeaths[Age],"&lt;="&amp;69,tblDeaths[Sex],"F")</f>
        <v>0</v>
      </c>
      <c r="R14" s="4">
        <f>COUNTIFS(tblDeaths[Month],3,tblDeaths[AgeUnit],"Years",tblDeaths[Age],"&gt;="&amp;60,tblDeaths[Age],"&lt;="&amp;69,tblDeaths[Sex],"M",tblDeaths[NHIS],"Non-Insured")</f>
        <v>0</v>
      </c>
      <c r="S14" s="4">
        <f>COUNTIFS(tblDeaths[Month],3,tblDeaths[AgeUnit],"Years",tblDeaths[Age],"&gt;="&amp;60,tblDeaths[Age],"&lt;="&amp;69,tblDeaths[Sex],"F",tblDeaths[NHIS],"Non-Insured")</f>
        <v>0</v>
      </c>
      <c r="T14" s="4">
        <f>COUNTIFS(tblDeaths[Month],3,tblDeaths[AgeUnit],"Years",tblDeaths[Age],"&gt;="&amp;60,tblDeaths[Age],"&lt;="&amp;69,tblDeaths[Sex],"M",tblDeaths[NHIS],"Insured")</f>
        <v>0</v>
      </c>
      <c r="U14" s="4">
        <f>COUNTIFS(tblDeaths[Month],3,tblDeaths[AgeUnit],"Years",tblDeaths[Age],"&gt;="&amp;60,tblDeaths[Age],"&lt;="&amp;69,tblDeaths[Sex],"F",tblDeaths[NHIS],"Insured")</f>
        <v>0</v>
      </c>
      <c r="V14" s="4" t="s">
        <v>174</v>
      </c>
      <c r="W14" s="4">
        <f>COUNTIFS(tblDeaths[Month],4,tblDeaths[AgeUnit],"Years",tblDeaths[Age],"&gt;="&amp;60,tblDeaths[Age],"&lt;="&amp;69,tblDeaths[Sex],"M")</f>
        <v>0</v>
      </c>
      <c r="X14" s="4">
        <f>COUNTIFS(tblDeaths[Month],4,tblDeaths[AgeUnit],"Years",tblDeaths[Age],"&gt;="&amp;60,tblDeaths[Age],"&lt;="&amp;69,tblDeaths[Sex],"F")</f>
        <v>0</v>
      </c>
      <c r="Y14" s="4">
        <f>COUNTIFS(tblDeaths[Month],4,tblDeaths[AgeUnit],"Years",tblDeaths[Age],"&gt;="&amp;60,tblDeaths[Age],"&lt;="&amp;69,tblDeaths[Sex],"M",tblDeaths[NHIS],"Non-Insured")</f>
        <v>0</v>
      </c>
      <c r="Z14" s="4">
        <f>COUNTIFS(tblDeaths[Month],4,tblDeaths[AgeUnit],"Years",tblDeaths[Age],"&gt;="&amp;60,tblDeaths[Age],"&lt;="&amp;69,tblDeaths[Sex],"F",tblDeaths[NHIS],"Non-Insured")</f>
        <v>0</v>
      </c>
      <c r="AA14" s="4">
        <f>COUNTIFS(tblDeaths[Month],4,tblDeaths[AgeUnit],"Years",tblDeaths[Age],"&gt;="&amp;60,tblDeaths[Age],"&lt;="&amp;69,tblDeaths[Sex],"M",tblDeaths[NHIS],"Insured")</f>
        <v>0</v>
      </c>
      <c r="AB14" s="4">
        <f>COUNTIFS(tblDeaths[Month],4,tblDeaths[AgeUnit],"Years",tblDeaths[Age],"&gt;="&amp;60,tblDeaths[Age],"&lt;="&amp;69,tblDeaths[Sex],"F",tblDeaths[NHIS],"Insured")</f>
        <v>0</v>
      </c>
      <c r="AC14" s="4" t="s">
        <v>174</v>
      </c>
      <c r="AD14" s="4">
        <f>COUNTIFS(tblDeaths[Month],5,tblDeaths[AgeUnit],"Years",tblDeaths[Age],"&gt;="&amp;60,tblDeaths[Age],"&lt;="&amp;69,tblDeaths[Sex],"M")</f>
        <v>0</v>
      </c>
      <c r="AE14" s="4">
        <f>COUNTIFS(tblDeaths[Month],5,tblDeaths[AgeUnit],"Years",tblDeaths[Age],"&gt;="&amp;60,tblDeaths[Age],"&lt;="&amp;69,tblDeaths[Sex],"F")</f>
        <v>0</v>
      </c>
      <c r="AF14" s="4">
        <f>COUNTIFS(tblDeaths[Month],5,tblDeaths[AgeUnit],"Years",tblDeaths[Age],"&gt;="&amp;60,tblDeaths[Age],"&lt;="&amp;69,tblDeaths[Sex],"M",tblDeaths[NHIS],"Non-Insured")</f>
        <v>0</v>
      </c>
      <c r="AG14" s="4">
        <f>COUNTIFS(tblDeaths[Month],5,tblDeaths[AgeUnit],"Years",tblDeaths[Age],"&gt;="&amp;60,tblDeaths[Age],"&lt;="&amp;69,tblDeaths[Sex],"F",tblDeaths[NHIS],"Non-Insured")</f>
        <v>0</v>
      </c>
      <c r="AH14" s="4">
        <f>COUNTIFS(tblDeaths[Month],5,tblDeaths[AgeUnit],"Years",tblDeaths[Age],"&gt;="&amp;60,tblDeaths[Age],"&lt;="&amp;69,tblDeaths[Sex],"M",tblDeaths[NHIS],"Insured")</f>
        <v>0</v>
      </c>
      <c r="AI14" s="4">
        <f>COUNTIFS(tblDeaths[Month],5,tblDeaths[AgeUnit],"Years",tblDeaths[Age],"&gt;="&amp;60,tblDeaths[Age],"&lt;="&amp;69,tblDeaths[Sex],"F",tblDeaths[NHIS],"Insured")</f>
        <v>0</v>
      </c>
      <c r="AJ14" s="4" t="s">
        <v>174</v>
      </c>
      <c r="AK14" s="4">
        <f>COUNTIFS(tblDeaths[Month],6,tblDeaths[AgeUnit],"Years",tblDeaths[Age],"&gt;="&amp;60,tblDeaths[Age],"&lt;="&amp;69,tblDeaths[Sex],"M")</f>
        <v>0</v>
      </c>
      <c r="AL14" s="4">
        <f>COUNTIFS(tblDeaths[Month],6,tblDeaths[AgeUnit],"Years",tblDeaths[Age],"&gt;="&amp;60,tblDeaths[Age],"&lt;="&amp;69,tblDeaths[Sex],"F")</f>
        <v>0</v>
      </c>
      <c r="AM14" s="4">
        <f>COUNTIFS(tblDeaths[Month],6,tblDeaths[AgeUnit],"Years",tblDeaths[Age],"&gt;="&amp;60,tblDeaths[Age],"&lt;="&amp;69,tblDeaths[Sex],"M",tblDeaths[NHIS],"Non-Insured")</f>
        <v>0</v>
      </c>
      <c r="AN14" s="4">
        <f>COUNTIFS(tblDeaths[Month],6,tblDeaths[AgeUnit],"Years",tblDeaths[Age],"&gt;="&amp;60,tblDeaths[Age],"&lt;="&amp;69,tblDeaths[Sex],"F",tblDeaths[NHIS],"Non-Insured")</f>
        <v>0</v>
      </c>
      <c r="AO14" s="4">
        <f>COUNTIFS(tblDeaths[Month],6,tblDeaths[AgeUnit],"Years",tblDeaths[Age],"&gt;="&amp;60,tblDeaths[Age],"&lt;="&amp;69,tblDeaths[Sex],"M",tblDeaths[NHIS],"Insured")</f>
        <v>0</v>
      </c>
      <c r="AP14" s="4">
        <f>COUNTIFS(tblDeaths[Month],6,tblDeaths[AgeUnit],"Years",tblDeaths[Age],"&gt;="&amp;60,tblDeaths[Age],"&lt;="&amp;69,tblDeaths[Sex],"F",tblDeaths[NHIS],"Insured")</f>
        <v>0</v>
      </c>
      <c r="AQ14" s="4" t="s">
        <v>174</v>
      </c>
      <c r="AR14" s="4">
        <f>COUNTIFS(tblDeaths[Month],7,tblDeaths[AgeUnit],"Years",tblDeaths[Age],"&gt;="&amp;60,tblDeaths[Age],"&lt;="&amp;69,tblDeaths[Sex],"M")</f>
        <v>0</v>
      </c>
      <c r="AS14" s="4">
        <f>COUNTIFS(tblDeaths[Month],7,tblDeaths[AgeUnit],"Years",tblDeaths[Age],"&gt;="&amp;60,tblDeaths[Age],"&lt;="&amp;69,tblDeaths[Sex],"F")</f>
        <v>0</v>
      </c>
      <c r="AT14" s="4">
        <f>COUNTIFS(tblDeaths[Month],7,tblDeaths[AgeUnit],"Years",tblDeaths[Age],"&gt;="&amp;60,tblDeaths[Age],"&lt;="&amp;69,tblDeaths[Sex],"M",tblDeaths[NHIS],"Non-Insured")</f>
        <v>0</v>
      </c>
      <c r="AU14" s="4">
        <f>COUNTIFS(tblDeaths[Month],7,tblDeaths[AgeUnit],"Years",tblDeaths[Age],"&gt;="&amp;60,tblDeaths[Age],"&lt;="&amp;69,tblDeaths[Sex],"F",tblDeaths[NHIS],"Non-Insured")</f>
        <v>0</v>
      </c>
      <c r="AV14" s="4">
        <f>COUNTIFS(tblDeaths[Month],7,tblDeaths[AgeUnit],"Years",tblDeaths[Age],"&gt;="&amp;60,tblDeaths[Age],"&lt;="&amp;69,tblDeaths[Sex],"M",tblDeaths[NHIS],"Insured")</f>
        <v>0</v>
      </c>
      <c r="AW14" s="4">
        <f>COUNTIFS(tblDeaths[Month],7,tblDeaths[AgeUnit],"Years",tblDeaths[Age],"&gt;="&amp;60,tblDeaths[Age],"&lt;="&amp;69,tblDeaths[Sex],"F",tblDeaths[NHIS],"Insured")</f>
        <v>0</v>
      </c>
      <c r="AX14" s="4" t="s">
        <v>174</v>
      </c>
      <c r="AY14" s="4">
        <f>COUNTIFS(tblDeaths[Month],8,tblDeaths[AgeUnit],"Years",tblDeaths[Age],"&gt;="&amp;60,tblDeaths[Age],"&lt;="&amp;69,tblDeaths[Sex],"M")</f>
        <v>0</v>
      </c>
      <c r="AZ14" s="4">
        <f>COUNTIFS(tblDeaths[Month],8,tblDeaths[AgeUnit],"Years",tblDeaths[Age],"&gt;="&amp;60,tblDeaths[Age],"&lt;="&amp;69,tblDeaths[Sex],"F")</f>
        <v>0</v>
      </c>
      <c r="BA14" s="4">
        <f>COUNTIFS(tblDeaths[Month],8,tblDeaths[AgeUnit],"Years",tblDeaths[Age],"&gt;="&amp;60,tblDeaths[Age],"&lt;="&amp;69,tblDeaths[Sex],"M",tblDeaths[NHIS],"Non-Insured")</f>
        <v>0</v>
      </c>
      <c r="BB14" s="4">
        <f>COUNTIFS(tblDeaths[Month],8,tblDeaths[AgeUnit],"Years",tblDeaths[Age],"&gt;="&amp;60,tblDeaths[Age],"&lt;="&amp;69,tblDeaths[Sex],"F",tblDeaths[NHIS],"Non-Insured")</f>
        <v>0</v>
      </c>
      <c r="BC14" s="4">
        <f>COUNTIFS(tblDeaths[Month],8,tblDeaths[AgeUnit],"Years",tblDeaths[Age],"&gt;="&amp;60,tblDeaths[Age],"&lt;="&amp;69,tblDeaths[Sex],"M",tblDeaths[NHIS],"Insured")</f>
        <v>0</v>
      </c>
      <c r="BD14" s="4">
        <f>COUNTIFS(tblDeaths[Month],8,tblDeaths[AgeUnit],"Years",tblDeaths[Age],"&gt;="&amp;60,tblDeaths[Age],"&lt;="&amp;69,tblDeaths[Sex],"F",tblDeaths[NHIS],"Insured")</f>
        <v>0</v>
      </c>
      <c r="BE14" s="4" t="s">
        <v>174</v>
      </c>
      <c r="BF14" s="4">
        <f>COUNTIFS(tblDeaths[Month],9,tblDeaths[AgeUnit],"Years",tblDeaths[Age],"&gt;="&amp;60,tblDeaths[Age],"&lt;="&amp;69,tblDeaths[Sex],"M")</f>
        <v>0</v>
      </c>
      <c r="BG14" s="4">
        <f>COUNTIFS(tblDeaths[Month],9,tblDeaths[AgeUnit],"Years",tblDeaths[Age],"&gt;="&amp;60,tblDeaths[Age],"&lt;="&amp;69,tblDeaths[Sex],"F")</f>
        <v>0</v>
      </c>
      <c r="BH14" s="4">
        <f>COUNTIFS(tblDeaths[Month],9,tblDeaths[AgeUnit],"Years",tblDeaths[Age],"&gt;="&amp;60,tblDeaths[Age],"&lt;="&amp;69,tblDeaths[Sex],"M",tblDeaths[NHIS],"Non-Insured")</f>
        <v>0</v>
      </c>
      <c r="BI14" s="4">
        <f>COUNTIFS(tblDeaths[Month],9,tblDeaths[AgeUnit],"Years",tblDeaths[Age],"&gt;="&amp;60,tblDeaths[Age],"&lt;="&amp;69,tblDeaths[Sex],"F",tblDeaths[NHIS],"Non-Insured")</f>
        <v>0</v>
      </c>
      <c r="BJ14" s="4">
        <f>COUNTIFS(tblDeaths[Month],9,tblDeaths[AgeUnit],"Years",tblDeaths[Age],"&gt;="&amp;60,tblDeaths[Age],"&lt;="&amp;69,tblDeaths[Sex],"M",tblDeaths[NHIS],"Insured")</f>
        <v>0</v>
      </c>
      <c r="BK14" s="4">
        <f>COUNTIFS(tblDeaths[Month],9,tblDeaths[AgeUnit],"Years",tblDeaths[Age],"&gt;="&amp;60,tblDeaths[Age],"&lt;="&amp;69,tblDeaths[Sex],"F",tblDeaths[NHIS],"Insured")</f>
        <v>0</v>
      </c>
      <c r="BL14" s="4" t="s">
        <v>174</v>
      </c>
      <c r="BM14" s="4">
        <f>COUNTIFS(tblDeaths[Month],10,tblDeaths[AgeUnit],"Years",tblDeaths[Age],"&gt;="&amp;60,tblDeaths[Age],"&lt;="&amp;69,tblDeaths[Sex],"M")</f>
        <v>0</v>
      </c>
      <c r="BN14" s="4">
        <f>COUNTIFS(tblDeaths[Month],10,tblDeaths[AgeUnit],"Years",tblDeaths[Age],"&gt;="&amp;60,tblDeaths[Age],"&lt;="&amp;69,tblDeaths[Sex],"F")</f>
        <v>0</v>
      </c>
      <c r="BO14" s="4">
        <f>COUNTIFS(tblDeaths[Month],10,tblDeaths[AgeUnit],"Years",tblDeaths[Age],"&gt;="&amp;60,tblDeaths[Age],"&lt;="&amp;69,tblDeaths[Sex],"M",tblDeaths[NHIS],"Non-Insured")</f>
        <v>0</v>
      </c>
      <c r="BP14" s="4">
        <f>COUNTIFS(tblDeaths[Month],10,tblDeaths[AgeUnit],"Years",tblDeaths[Age],"&gt;="&amp;60,tblDeaths[Age],"&lt;="&amp;69,tblDeaths[Sex],"F",tblDeaths[NHIS],"Non-Insured")</f>
        <v>0</v>
      </c>
      <c r="BQ14" s="4">
        <f>COUNTIFS(tblDeaths[Month],10,tblDeaths[AgeUnit],"Years",tblDeaths[Age],"&gt;="&amp;60,tblDeaths[Age],"&lt;="&amp;69,tblDeaths[Sex],"M",tblDeaths[NHIS],"Insured")</f>
        <v>0</v>
      </c>
      <c r="BR14" s="4">
        <f>COUNTIFS(tblDeaths[Month],10,tblDeaths[AgeUnit],"Years",tblDeaths[Age],"&gt;="&amp;60,tblDeaths[Age],"&lt;="&amp;69,tblDeaths[Sex],"F",tblDeaths[NHIS],"Insured")</f>
        <v>0</v>
      </c>
      <c r="BS14" s="4" t="s">
        <v>174</v>
      </c>
      <c r="BT14" s="4">
        <f>COUNTIFS(tblDeaths[Month],11,tblDeaths[AgeUnit],"Years",tblDeaths[Age],"&gt;="&amp;60,tblDeaths[Age],"&lt;="&amp;69,tblDeaths[Sex],"M")</f>
        <v>0</v>
      </c>
      <c r="BU14" s="4">
        <f>COUNTIFS(tblDeaths[Month],11,tblDeaths[AgeUnit],"Years",tblDeaths[Age],"&gt;="&amp;60,tblDeaths[Age],"&lt;="&amp;69,tblDeaths[Sex],"F")</f>
        <v>0</v>
      </c>
      <c r="BV14" s="4">
        <f>COUNTIFS(tblDeaths[Month],11,tblDeaths[AgeUnit],"Years",tblDeaths[Age],"&gt;="&amp;60,tblDeaths[Age],"&lt;="&amp;69,tblDeaths[Sex],"M",tblDeaths[NHIS],"Non-Insured")</f>
        <v>0</v>
      </c>
      <c r="BW14" s="4">
        <f>COUNTIFS(tblDeaths[Month],11,tblDeaths[AgeUnit],"Years",tblDeaths[Age],"&gt;="&amp;60,tblDeaths[Age],"&lt;="&amp;69,tblDeaths[Sex],"F",tblDeaths[NHIS],"Non-Insured")</f>
        <v>0</v>
      </c>
      <c r="BX14" s="4">
        <f>COUNTIFS(tblDeaths[Month],11,tblDeaths[AgeUnit],"Years",tblDeaths[Age],"&gt;="&amp;60,tblDeaths[Age],"&lt;="&amp;69,tblDeaths[Sex],"M",tblDeaths[NHIS],"Insured")</f>
        <v>0</v>
      </c>
      <c r="BY14" s="4">
        <f>COUNTIFS(tblDeaths[Month],11,tblDeaths[AgeUnit],"Years",tblDeaths[Age],"&gt;="&amp;60,tblDeaths[Age],"&lt;="&amp;69,tblDeaths[Sex],"F",tblDeaths[NHIS],"Insured")</f>
        <v>0</v>
      </c>
      <c r="BZ14" s="4" t="s">
        <v>174</v>
      </c>
      <c r="CA14" s="4">
        <f>COUNTIFS(tblDeaths[Month],12,tblDeaths[AgeUnit],"Years",tblDeaths[Age],"&gt;="&amp;60,tblDeaths[Age],"&lt;="&amp;69,tblDeaths[Sex],"M")</f>
        <v>0</v>
      </c>
      <c r="CB14" s="4">
        <f>COUNTIFS(tblDeaths[Month],12,tblDeaths[AgeUnit],"Years",tblDeaths[Age],"&gt;="&amp;60,tblDeaths[Age],"&lt;="&amp;69,tblDeaths[Sex],"F")</f>
        <v>0</v>
      </c>
      <c r="CC14" s="4">
        <f>COUNTIFS(tblDeaths[Month],12,tblDeaths[AgeUnit],"Years",tblDeaths[Age],"&gt;="&amp;60,tblDeaths[Age],"&lt;="&amp;69,tblDeaths[Sex],"M",tblDeaths[NHIS],"Non-Insured")</f>
        <v>0</v>
      </c>
      <c r="CD14" s="4">
        <f>COUNTIFS(tblDeaths[Month],12,tblDeaths[AgeUnit],"Years",tblDeaths[Age],"&gt;="&amp;60,tblDeaths[Age],"&lt;="&amp;69,tblDeaths[Sex],"F",tblDeaths[NHIS],"Non-Insured")</f>
        <v>0</v>
      </c>
      <c r="CE14" s="4">
        <f>COUNTIFS(tblDeaths[Month],12,tblDeaths[AgeUnit],"Years",tblDeaths[Age],"&gt;="&amp;60,tblDeaths[Age],"&lt;="&amp;69,tblDeaths[Sex],"M",tblDeaths[NHIS],"Insured")</f>
        <v>0</v>
      </c>
      <c r="CF14" s="4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4" t="s">
        <v>175</v>
      </c>
      <c r="B15" s="4">
        <f>COUNTIFS(tblDeaths[Month],1,tblDeaths[AgeUnit],"Years",tblDeaths[Age],"&gt;="&amp;70,tblDeaths[Age],"&lt;="&amp;200,tblDeaths[Sex],"M")</f>
        <v>5</v>
      </c>
      <c r="C15" s="4">
        <f>COUNTIFS(tblDeaths[Month],1,tblDeaths[AgeUnit],"Years",tblDeaths[Age],"&gt;="&amp;70,tblDeaths[Age],"&lt;="&amp;200,tblDeaths[Sex],"F")</f>
        <v>2</v>
      </c>
      <c r="D15" s="4">
        <f>COUNTIFS(tblDeaths[Month],1,tblDeaths[AgeUnit],"Years",tblDeaths[Age],"&gt;="&amp;70,tblDeaths[Age],"&lt;="&amp;200,tblDeaths[Sex],"M",tblDeaths[NHIS],"Non-Insured")</f>
        <v>1</v>
      </c>
      <c r="E15" s="4">
        <f>COUNTIFS(tblDeaths[Month],1,tblDeaths[AgeUnit],"Years",tblDeaths[Age],"&gt;="&amp;70,tblDeaths[Age],"&lt;="&amp;200,tblDeaths[Sex],"F",tblDeaths[NHIS],"Non-Insured")</f>
        <v>0</v>
      </c>
      <c r="F15" s="4">
        <f>COUNTIFS(tblDeaths[Month],1,tblDeaths[AgeUnit],"Years",tblDeaths[Age],"&gt;="&amp;70,tblDeaths[Age],"&lt;="&amp;200,tblDeaths[Sex],"M",tblDeaths[NHIS],"Insured")</f>
        <v>4</v>
      </c>
      <c r="G15" s="4">
        <f>COUNTIFS(tblDeaths[Month],1,tblDeaths[AgeUnit],"Years",tblDeaths[Age],"&gt;="&amp;70,tblDeaths[Age],"&lt;="&amp;200,tblDeaths[Sex],"F",tblDeaths[NHIS],"Insured")</f>
        <v>2</v>
      </c>
      <c r="H15" s="4" t="s">
        <v>175</v>
      </c>
      <c r="I15" s="4">
        <f>COUNTIFS(tblDeaths[Month],2,tblDeaths[AgeUnit],"Years",tblDeaths[Age],"&gt;="&amp;70,tblDeaths[Age],"&lt;="&amp;200,tblDeaths[Sex],"M")</f>
        <v>0</v>
      </c>
      <c r="J15" s="4">
        <f>COUNTIFS(tblDeaths[Month],2,tblDeaths[AgeUnit],"Years",tblDeaths[Age],"&gt;="&amp;70,tblDeaths[Age],"&lt;="&amp;200,tblDeaths[Sex],"F")</f>
        <v>0</v>
      </c>
      <c r="K15" s="4">
        <f>COUNTIFS(tblDeaths[Month],2,tblDeaths[AgeUnit],"Years",tblDeaths[Age],"&gt;="&amp;70,tblDeaths[Age],"&lt;="&amp;200,tblDeaths[Sex],"M",tblDeaths[NHIS],"Non-Insured")</f>
        <v>0</v>
      </c>
      <c r="L15" s="4">
        <f>COUNTIFS(tblDeaths[Month],2,tblDeaths[AgeUnit],"Years",tblDeaths[Age],"&gt;="&amp;70,tblDeaths[Age],"&lt;="&amp;200,tblDeaths[Sex],"F",tblDeaths[NHIS],"Non-Insured")</f>
        <v>0</v>
      </c>
      <c r="M15" s="4">
        <f>COUNTIFS(tblDeaths[Month],2,tblDeaths[AgeUnit],"Years",tblDeaths[Age],"&gt;="&amp;70,tblDeaths[Age],"&lt;="&amp;200,tblDeaths[Sex],"M",tblDeaths[NHIS],"Insured")</f>
        <v>0</v>
      </c>
      <c r="N15" s="4">
        <f>COUNTIFS(tblDeaths[Month],2,tblDeaths[AgeUnit],"Years",tblDeaths[Age],"&gt;="&amp;70,tblDeaths[Age],"&lt;="&amp;200,tblDeaths[Sex],"F",tblDeaths[NHIS],"Insured")</f>
        <v>0</v>
      </c>
      <c r="O15" s="4" t="s">
        <v>175</v>
      </c>
      <c r="P15" s="4">
        <f>COUNTIFS(tblDeaths[Month],3,tblDeaths[AgeUnit],"Years",tblDeaths[Age],"&gt;="&amp;70,tblDeaths[Age],"&lt;="&amp;200,tblDeaths[Sex],"M")</f>
        <v>0</v>
      </c>
      <c r="Q15" s="4">
        <f>COUNTIFS(tblDeaths[Month],3,tblDeaths[AgeUnit],"Years",tblDeaths[Age],"&gt;="&amp;70,tblDeaths[Age],"&lt;="&amp;200,tblDeaths[Sex],"F")</f>
        <v>0</v>
      </c>
      <c r="R15" s="4">
        <f>COUNTIFS(tblDeaths[Month],3,tblDeaths[AgeUnit],"Years",tblDeaths[Age],"&gt;="&amp;70,tblDeaths[Age],"&lt;="&amp;200,tblDeaths[Sex],"M",tblDeaths[NHIS],"Non-Insured")</f>
        <v>0</v>
      </c>
      <c r="S15" s="4">
        <f>COUNTIFS(tblDeaths[Month],3,tblDeaths[AgeUnit],"Years",tblDeaths[Age],"&gt;="&amp;70,tblDeaths[Age],"&lt;="&amp;200,tblDeaths[Sex],"F",tblDeaths[NHIS],"Non-Insured")</f>
        <v>0</v>
      </c>
      <c r="T15" s="4">
        <f>COUNTIFS(tblDeaths[Month],3,tblDeaths[AgeUnit],"Years",tblDeaths[Age],"&gt;="&amp;70,tblDeaths[Age],"&lt;="&amp;200,tblDeaths[Sex],"M",tblDeaths[NHIS],"Insured")</f>
        <v>0</v>
      </c>
      <c r="U15" s="4">
        <f>COUNTIFS(tblDeaths[Month],3,tblDeaths[AgeUnit],"Years",tblDeaths[Age],"&gt;="&amp;70,tblDeaths[Age],"&lt;="&amp;200,tblDeaths[Sex],"F",tblDeaths[NHIS],"Insured")</f>
        <v>0</v>
      </c>
      <c r="V15" s="4" t="s">
        <v>175</v>
      </c>
      <c r="W15" s="4">
        <f>COUNTIFS(tblDeaths[Month],4,tblDeaths[AgeUnit],"Years",tblDeaths[Age],"&gt;="&amp;70,tblDeaths[Age],"&lt;="&amp;200,tblDeaths[Sex],"M")</f>
        <v>0</v>
      </c>
      <c r="X15" s="4">
        <f>COUNTIFS(tblDeaths[Month],4,tblDeaths[AgeUnit],"Years",tblDeaths[Age],"&gt;="&amp;70,tblDeaths[Age],"&lt;="&amp;200,tblDeaths[Sex],"F")</f>
        <v>0</v>
      </c>
      <c r="Y15" s="4">
        <f>COUNTIFS(tblDeaths[Month],4,tblDeaths[AgeUnit],"Years",tblDeaths[Age],"&gt;="&amp;70,tblDeaths[Age],"&lt;="&amp;200,tblDeaths[Sex],"M",tblDeaths[NHIS],"Non-Insured")</f>
        <v>0</v>
      </c>
      <c r="Z15" s="4">
        <f>COUNTIFS(tblDeaths[Month],4,tblDeaths[AgeUnit],"Years",tblDeaths[Age],"&gt;="&amp;70,tblDeaths[Age],"&lt;="&amp;200,tblDeaths[Sex],"F",tblDeaths[NHIS],"Non-Insured")</f>
        <v>0</v>
      </c>
      <c r="AA15" s="4">
        <f>COUNTIFS(tblDeaths[Month],4,tblDeaths[AgeUnit],"Years",tblDeaths[Age],"&gt;="&amp;70,tblDeaths[Age],"&lt;="&amp;200,tblDeaths[Sex],"M",tblDeaths[NHIS],"Insured")</f>
        <v>0</v>
      </c>
      <c r="AB15" s="4">
        <f>COUNTIFS(tblDeaths[Month],4,tblDeaths[AgeUnit],"Years",tblDeaths[Age],"&gt;="&amp;70,tblDeaths[Age],"&lt;="&amp;200,tblDeaths[Sex],"F",tblDeaths[NHIS],"Insured")</f>
        <v>0</v>
      </c>
      <c r="AC15" s="4" t="s">
        <v>175</v>
      </c>
      <c r="AD15" s="4">
        <f>COUNTIFS(tblDeaths[Month],5,tblDeaths[AgeUnit],"Years",tblDeaths[Age],"&gt;="&amp;70,tblDeaths[Age],"&lt;="&amp;200,tblDeaths[Sex],"M")</f>
        <v>0</v>
      </c>
      <c r="AE15" s="4">
        <f>COUNTIFS(tblDeaths[Month],5,tblDeaths[AgeUnit],"Years",tblDeaths[Age],"&gt;="&amp;70,tblDeaths[Age],"&lt;="&amp;200,tblDeaths[Sex],"F")</f>
        <v>0</v>
      </c>
      <c r="AF15" s="4">
        <f>COUNTIFS(tblDeaths[Month],5,tblDeaths[AgeUnit],"Years",tblDeaths[Age],"&gt;="&amp;70,tblDeaths[Age],"&lt;="&amp;200,tblDeaths[Sex],"M",tblDeaths[NHIS],"Non-Insured")</f>
        <v>0</v>
      </c>
      <c r="AG15" s="4">
        <f>COUNTIFS(tblDeaths[Month],5,tblDeaths[AgeUnit],"Years",tblDeaths[Age],"&gt;="&amp;70,tblDeaths[Age],"&lt;="&amp;200,tblDeaths[Sex],"F",tblDeaths[NHIS],"Non-Insured")</f>
        <v>0</v>
      </c>
      <c r="AH15" s="4">
        <f>COUNTIFS(tblDeaths[Month],5,tblDeaths[AgeUnit],"Years",tblDeaths[Age],"&gt;="&amp;70,tblDeaths[Age],"&lt;="&amp;200,tblDeaths[Sex],"M",tblDeaths[NHIS],"Insured")</f>
        <v>0</v>
      </c>
      <c r="AI15" s="4">
        <f>COUNTIFS(tblDeaths[Month],5,tblDeaths[AgeUnit],"Years",tblDeaths[Age],"&gt;="&amp;70,tblDeaths[Age],"&lt;="&amp;200,tblDeaths[Sex],"F",tblDeaths[NHIS],"Insured")</f>
        <v>0</v>
      </c>
      <c r="AJ15" s="4" t="s">
        <v>175</v>
      </c>
      <c r="AK15" s="4">
        <f>COUNTIFS(tblDeaths[Month],6,tblDeaths[AgeUnit],"Years",tblDeaths[Age],"&gt;="&amp;70,tblDeaths[Age],"&lt;="&amp;200,tblDeaths[Sex],"M")</f>
        <v>0</v>
      </c>
      <c r="AL15" s="4">
        <f>COUNTIFS(tblDeaths[Month],6,tblDeaths[AgeUnit],"Years",tblDeaths[Age],"&gt;="&amp;70,tblDeaths[Age],"&lt;="&amp;200,tblDeaths[Sex],"F")</f>
        <v>0</v>
      </c>
      <c r="AM15" s="4">
        <f>COUNTIFS(tblDeaths[Month],6,tblDeaths[AgeUnit],"Years",tblDeaths[Age],"&gt;="&amp;70,tblDeaths[Age],"&lt;="&amp;200,tblDeaths[Sex],"M",tblDeaths[NHIS],"Non-Insured")</f>
        <v>0</v>
      </c>
      <c r="AN15" s="4">
        <f>COUNTIFS(tblDeaths[Month],6,tblDeaths[AgeUnit],"Years",tblDeaths[Age],"&gt;="&amp;70,tblDeaths[Age],"&lt;="&amp;200,tblDeaths[Sex],"F",tblDeaths[NHIS],"Non-Insured")</f>
        <v>0</v>
      </c>
      <c r="AO15" s="4">
        <f>COUNTIFS(tblDeaths[Month],6,tblDeaths[AgeUnit],"Years",tblDeaths[Age],"&gt;="&amp;70,tblDeaths[Age],"&lt;="&amp;200,tblDeaths[Sex],"M",tblDeaths[NHIS],"Insured")</f>
        <v>0</v>
      </c>
      <c r="AP15" s="4">
        <f>COUNTIFS(tblDeaths[Month],6,tblDeaths[AgeUnit],"Years",tblDeaths[Age],"&gt;="&amp;70,tblDeaths[Age],"&lt;="&amp;200,tblDeaths[Sex],"F",tblDeaths[NHIS],"Insured")</f>
        <v>0</v>
      </c>
      <c r="AQ15" s="4" t="s">
        <v>175</v>
      </c>
      <c r="AR15" s="4">
        <f>COUNTIFS(tblDeaths[Month],7,tblDeaths[AgeUnit],"Years",tblDeaths[Age],"&gt;="&amp;70,tblDeaths[Age],"&lt;="&amp;200,tblDeaths[Sex],"M")</f>
        <v>0</v>
      </c>
      <c r="AS15" s="4">
        <f>COUNTIFS(tblDeaths[Month],7,tblDeaths[AgeUnit],"Years",tblDeaths[Age],"&gt;="&amp;70,tblDeaths[Age],"&lt;="&amp;200,tblDeaths[Sex],"F")</f>
        <v>0</v>
      </c>
      <c r="AT15" s="4">
        <f>COUNTIFS(tblDeaths[Month],7,tblDeaths[AgeUnit],"Years",tblDeaths[Age],"&gt;="&amp;70,tblDeaths[Age],"&lt;="&amp;200,tblDeaths[Sex],"M",tblDeaths[NHIS],"Non-Insured")</f>
        <v>0</v>
      </c>
      <c r="AU15" s="4">
        <f>COUNTIFS(tblDeaths[Month],7,tblDeaths[AgeUnit],"Years",tblDeaths[Age],"&gt;="&amp;70,tblDeaths[Age],"&lt;="&amp;200,tblDeaths[Sex],"F",tblDeaths[NHIS],"Non-Insured")</f>
        <v>0</v>
      </c>
      <c r="AV15" s="4">
        <f>COUNTIFS(tblDeaths[Month],7,tblDeaths[AgeUnit],"Years",tblDeaths[Age],"&gt;="&amp;70,tblDeaths[Age],"&lt;="&amp;200,tblDeaths[Sex],"M",tblDeaths[NHIS],"Insured")</f>
        <v>0</v>
      </c>
      <c r="AW15" s="4">
        <f>COUNTIFS(tblDeaths[Month],7,tblDeaths[AgeUnit],"Years",tblDeaths[Age],"&gt;="&amp;70,tblDeaths[Age],"&lt;="&amp;200,tblDeaths[Sex],"F",tblDeaths[NHIS],"Insured")</f>
        <v>0</v>
      </c>
      <c r="AX15" s="4" t="s">
        <v>175</v>
      </c>
      <c r="AY15" s="4">
        <f>COUNTIFS(tblDeaths[Month],8,tblDeaths[AgeUnit],"Years",tblDeaths[Age],"&gt;="&amp;70,tblDeaths[Age],"&lt;="&amp;200,tblDeaths[Sex],"M")</f>
        <v>0</v>
      </c>
      <c r="AZ15" s="4">
        <f>COUNTIFS(tblDeaths[Month],8,tblDeaths[AgeUnit],"Years",tblDeaths[Age],"&gt;="&amp;70,tblDeaths[Age],"&lt;="&amp;200,tblDeaths[Sex],"F")</f>
        <v>0</v>
      </c>
      <c r="BA15" s="4">
        <f>COUNTIFS(tblDeaths[Month],8,tblDeaths[AgeUnit],"Years",tblDeaths[Age],"&gt;="&amp;70,tblDeaths[Age],"&lt;="&amp;200,tblDeaths[Sex],"M",tblDeaths[NHIS],"Non-Insured")</f>
        <v>0</v>
      </c>
      <c r="BB15" s="4">
        <f>COUNTIFS(tblDeaths[Month],8,tblDeaths[AgeUnit],"Years",tblDeaths[Age],"&gt;="&amp;70,tblDeaths[Age],"&lt;="&amp;200,tblDeaths[Sex],"F",tblDeaths[NHIS],"Non-Insured")</f>
        <v>0</v>
      </c>
      <c r="BC15" s="4">
        <f>COUNTIFS(tblDeaths[Month],8,tblDeaths[AgeUnit],"Years",tblDeaths[Age],"&gt;="&amp;70,tblDeaths[Age],"&lt;="&amp;200,tblDeaths[Sex],"M",tblDeaths[NHIS],"Insured")</f>
        <v>0</v>
      </c>
      <c r="BD15" s="4">
        <f>COUNTIFS(tblDeaths[Month],8,tblDeaths[AgeUnit],"Years",tblDeaths[Age],"&gt;="&amp;70,tblDeaths[Age],"&lt;="&amp;200,tblDeaths[Sex],"F",tblDeaths[NHIS],"Insured")</f>
        <v>0</v>
      </c>
      <c r="BE15" s="4" t="s">
        <v>175</v>
      </c>
      <c r="BF15" s="4">
        <f>COUNTIFS(tblDeaths[Month],9,tblDeaths[AgeUnit],"Years",tblDeaths[Age],"&gt;="&amp;70,tblDeaths[Age],"&lt;="&amp;200,tblDeaths[Sex],"M")</f>
        <v>0</v>
      </c>
      <c r="BG15" s="4">
        <f>COUNTIFS(tblDeaths[Month],9,tblDeaths[AgeUnit],"Years",tblDeaths[Age],"&gt;="&amp;70,tblDeaths[Age],"&lt;="&amp;200,tblDeaths[Sex],"F")</f>
        <v>0</v>
      </c>
      <c r="BH15" s="4">
        <f>COUNTIFS(tblDeaths[Month],9,tblDeaths[AgeUnit],"Years",tblDeaths[Age],"&gt;="&amp;70,tblDeaths[Age],"&lt;="&amp;200,tblDeaths[Sex],"M",tblDeaths[NHIS],"Non-Insured")</f>
        <v>0</v>
      </c>
      <c r="BI15" s="4">
        <f>COUNTIFS(tblDeaths[Month],9,tblDeaths[AgeUnit],"Years",tblDeaths[Age],"&gt;="&amp;70,tblDeaths[Age],"&lt;="&amp;200,tblDeaths[Sex],"F",tblDeaths[NHIS],"Non-Insured")</f>
        <v>0</v>
      </c>
      <c r="BJ15" s="4">
        <f>COUNTIFS(tblDeaths[Month],9,tblDeaths[AgeUnit],"Years",tblDeaths[Age],"&gt;="&amp;70,tblDeaths[Age],"&lt;="&amp;200,tblDeaths[Sex],"M",tblDeaths[NHIS],"Insured")</f>
        <v>0</v>
      </c>
      <c r="BK15" s="4">
        <f>COUNTIFS(tblDeaths[Month],9,tblDeaths[AgeUnit],"Years",tblDeaths[Age],"&gt;="&amp;70,tblDeaths[Age],"&lt;="&amp;200,tblDeaths[Sex],"F",tblDeaths[NHIS],"Insured")</f>
        <v>0</v>
      </c>
      <c r="BL15" s="4" t="s">
        <v>175</v>
      </c>
      <c r="BM15" s="4">
        <f>COUNTIFS(tblDeaths[Month],10,tblDeaths[AgeUnit],"Years",tblDeaths[Age],"&gt;="&amp;70,tblDeaths[Age],"&lt;="&amp;200,tblDeaths[Sex],"M")</f>
        <v>0</v>
      </c>
      <c r="BN15" s="4">
        <f>COUNTIFS(tblDeaths[Month],10,tblDeaths[AgeUnit],"Years",tblDeaths[Age],"&gt;="&amp;70,tblDeaths[Age],"&lt;="&amp;200,tblDeaths[Sex],"F")</f>
        <v>0</v>
      </c>
      <c r="BO15" s="4">
        <f>COUNTIFS(tblDeaths[Month],10,tblDeaths[AgeUnit],"Years",tblDeaths[Age],"&gt;="&amp;70,tblDeaths[Age],"&lt;="&amp;200,tblDeaths[Sex],"M",tblDeaths[NHIS],"Non-Insured")</f>
        <v>0</v>
      </c>
      <c r="BP15" s="4">
        <f>COUNTIFS(tblDeaths[Month],10,tblDeaths[AgeUnit],"Years",tblDeaths[Age],"&gt;="&amp;70,tblDeaths[Age],"&lt;="&amp;200,tblDeaths[Sex],"F",tblDeaths[NHIS],"Non-Insured")</f>
        <v>0</v>
      </c>
      <c r="BQ15" s="4">
        <f>COUNTIFS(tblDeaths[Month],10,tblDeaths[AgeUnit],"Years",tblDeaths[Age],"&gt;="&amp;70,tblDeaths[Age],"&lt;="&amp;200,tblDeaths[Sex],"M",tblDeaths[NHIS],"Insured")</f>
        <v>0</v>
      </c>
      <c r="BR15" s="4">
        <f>COUNTIFS(tblDeaths[Month],10,tblDeaths[AgeUnit],"Years",tblDeaths[Age],"&gt;="&amp;70,tblDeaths[Age],"&lt;="&amp;200,tblDeaths[Sex],"F",tblDeaths[NHIS],"Insured")</f>
        <v>0</v>
      </c>
      <c r="BS15" s="4" t="s">
        <v>175</v>
      </c>
      <c r="BT15" s="4">
        <f>COUNTIFS(tblDeaths[Month],11,tblDeaths[AgeUnit],"Years",tblDeaths[Age],"&gt;="&amp;70,tblDeaths[Age],"&lt;="&amp;200,tblDeaths[Sex],"M")</f>
        <v>0</v>
      </c>
      <c r="BU15" s="4">
        <f>COUNTIFS(tblDeaths[Month],11,tblDeaths[AgeUnit],"Years",tblDeaths[Age],"&gt;="&amp;70,tblDeaths[Age],"&lt;="&amp;200,tblDeaths[Sex],"F")</f>
        <v>0</v>
      </c>
      <c r="BV15" s="4">
        <f>COUNTIFS(tblDeaths[Month],11,tblDeaths[AgeUnit],"Years",tblDeaths[Age],"&gt;="&amp;70,tblDeaths[Age],"&lt;="&amp;200,tblDeaths[Sex],"M",tblDeaths[NHIS],"Non-Insured")</f>
        <v>0</v>
      </c>
      <c r="BW15" s="4">
        <f>COUNTIFS(tblDeaths[Month],11,tblDeaths[AgeUnit],"Years",tblDeaths[Age],"&gt;="&amp;70,tblDeaths[Age],"&lt;="&amp;200,tblDeaths[Sex],"F",tblDeaths[NHIS],"Non-Insured")</f>
        <v>0</v>
      </c>
      <c r="BX15" s="4">
        <f>COUNTIFS(tblDeaths[Month],11,tblDeaths[AgeUnit],"Years",tblDeaths[Age],"&gt;="&amp;70,tblDeaths[Age],"&lt;="&amp;200,tblDeaths[Sex],"M",tblDeaths[NHIS],"Insured")</f>
        <v>0</v>
      </c>
      <c r="BY15" s="4">
        <f>COUNTIFS(tblDeaths[Month],11,tblDeaths[AgeUnit],"Years",tblDeaths[Age],"&gt;="&amp;70,tblDeaths[Age],"&lt;="&amp;200,tblDeaths[Sex],"F",tblDeaths[NHIS],"Insured")</f>
        <v>0</v>
      </c>
      <c r="BZ15" s="4" t="s">
        <v>175</v>
      </c>
      <c r="CA15" s="4">
        <f>COUNTIFS(tblDeaths[Month],12,tblDeaths[AgeUnit],"Years",tblDeaths[Age],"&gt;="&amp;70,tblDeaths[Age],"&lt;="&amp;200,tblDeaths[Sex],"M")</f>
        <v>0</v>
      </c>
      <c r="CB15" s="4">
        <f>COUNTIFS(tblDeaths[Month],12,tblDeaths[AgeUnit],"Years",tblDeaths[Age],"&gt;="&amp;70,tblDeaths[Age],"&lt;="&amp;200,tblDeaths[Sex],"F")</f>
        <v>0</v>
      </c>
      <c r="CC15" s="4">
        <f>COUNTIFS(tblDeaths[Month],12,tblDeaths[AgeUnit],"Years",tblDeaths[Age],"&gt;="&amp;70,tblDeaths[Age],"&lt;="&amp;200,tblDeaths[Sex],"M",tblDeaths[NHIS],"Non-Insured")</f>
        <v>0</v>
      </c>
      <c r="CD15" s="4">
        <f>COUNTIFS(tblDeaths[Month],12,tblDeaths[AgeUnit],"Years",tblDeaths[Age],"&gt;="&amp;70,tblDeaths[Age],"&lt;="&amp;200,tblDeaths[Sex],"F",tblDeaths[NHIS],"Non-Insured")</f>
        <v>0</v>
      </c>
      <c r="CE15" s="4">
        <f>COUNTIFS(tblDeaths[Month],12,tblDeaths[AgeUnit],"Years",tblDeaths[Age],"&gt;="&amp;70,tblDeaths[Age],"&lt;="&amp;200,tblDeaths[Sex],"M",tblDeaths[NHIS],"Insured")</f>
        <v>0</v>
      </c>
      <c r="CF15" s="4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9" t="s">
        <v>176</v>
      </c>
      <c r="B16" s="9">
        <f t="shared" ref="B16:G16" si="0">SUM(B4:B15)</f>
        <v>21</v>
      </c>
      <c r="C16" s="9">
        <f t="shared" si="0"/>
        <v>18</v>
      </c>
      <c r="D16" s="9">
        <f t="shared" si="0"/>
        <v>8</v>
      </c>
      <c r="E16" s="9">
        <f t="shared" si="0"/>
        <v>2</v>
      </c>
      <c r="F16" s="9">
        <f t="shared" si="0"/>
        <v>13</v>
      </c>
      <c r="G16" s="9">
        <f t="shared" si="0"/>
        <v>16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3" t="s">
        <v>177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25">
      <c r="A2" s="3" t="s">
        <v>178</v>
      </c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3" t="s">
        <v>65</v>
      </c>
      <c r="I2" s="3" t="s">
        <v>66</v>
      </c>
      <c r="J2" s="3" t="s">
        <v>67</v>
      </c>
      <c r="K2" s="3" t="s">
        <v>68</v>
      </c>
      <c r="L2" s="3" t="s">
        <v>69</v>
      </c>
      <c r="M2" s="3" t="s">
        <v>70</v>
      </c>
      <c r="N2" s="3" t="s">
        <v>111</v>
      </c>
    </row>
    <row r="3" spans="1:14" x14ac:dyDescent="0.25">
      <c r="A3" s="2" t="s">
        <v>179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3" t="s">
        <v>180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16" ht="51" x14ac:dyDescent="0.25">
      <c r="A3" s="8" t="s">
        <v>131</v>
      </c>
      <c r="B3" s="8" t="s">
        <v>181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22" t="s">
        <v>30</v>
      </c>
      <c r="B4" s="23">
        <f>IFERROR(INDEX(tblWardConfig[PrevYearRemaining],MATCH("MW",tblWardConfig[WardCode],0)),0)</f>
        <v>25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65</v>
      </c>
      <c r="E4" s="24">
        <f>SUMIFS(tblDaily[Discharges],tblDaily[WardCode],"MW")</f>
        <v>103</v>
      </c>
      <c r="F4" s="24">
        <f>SUMIFS(tblDaily[Deaths],tblDaily[WardCode],"MW")</f>
        <v>11</v>
      </c>
      <c r="G4" s="24">
        <f>SUMIFS(tblDaily[DeathsUnder24Hrs],tblDaily[WardCode],"MW")</f>
        <v>0</v>
      </c>
      <c r="H4" s="24">
        <f>SUMIFS(tblDaily[Remaining],tblDaily[WardCode],"MW")</f>
        <v>653</v>
      </c>
      <c r="I4" s="24">
        <f>SUMIFS(tblDaily[TransfersIn],tblDaily[WardCode],"MW")</f>
        <v>43</v>
      </c>
      <c r="J4" s="24">
        <f>SUMIFS(tblDaily[TransfersOut],tblDaily[WardCode],"MW")</f>
        <v>0</v>
      </c>
      <c r="K4" s="25">
        <f t="shared" ref="K4:K12" si="0">IFERROR(H4/365,0)</f>
        <v>1.789041095890411</v>
      </c>
      <c r="L4" s="25">
        <f t="shared" ref="L4:L12" si="1">IFERROR(H4/(E4+F4),0)</f>
        <v>5.7280701754385968</v>
      </c>
      <c r="M4" s="25">
        <f t="shared" ref="M4:M12" si="2">IFERROR((C4*365-H4)/(E4+F4),0)</f>
        <v>96.728070175438603</v>
      </c>
      <c r="N4" s="25">
        <f t="shared" ref="N4:N12" si="3">IFERROR((E4+F4)/C4,0)</f>
        <v>3.5625</v>
      </c>
      <c r="O4" s="25">
        <f t="shared" ref="O4:O12" si="4">IFERROR((H4/(C4*365))*100,0)</f>
        <v>5.5907534246575343</v>
      </c>
      <c r="P4" s="25">
        <f t="shared" ref="P4:P12" si="5">IFERROR((F4/(D4+B4))*100,0)</f>
        <v>12.222222222222221</v>
      </c>
    </row>
    <row r="5" spans="1:16" x14ac:dyDescent="0.25">
      <c r="A5" s="22" t="s">
        <v>32</v>
      </c>
      <c r="B5" s="23">
        <f>IFERROR(INDEX(tblWardConfig[PrevYearRemaining],MATCH("FW",tblWardConfig[WardCode],0)),0)</f>
        <v>16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79</v>
      </c>
      <c r="E5" s="24">
        <f>SUMIFS(tblDaily[Discharges],tblDaily[WardCode],"FW")</f>
        <v>100</v>
      </c>
      <c r="F5" s="24">
        <f>SUMIFS(tblDaily[Deaths],tblDaily[WardCode],"FW")</f>
        <v>10</v>
      </c>
      <c r="G5" s="24">
        <f>SUMIFS(tblDaily[DeathsUnder24Hrs],tblDaily[WardCode],"FW")</f>
        <v>0</v>
      </c>
      <c r="H5" s="24">
        <f>SUMIFS(tblDaily[Remaining],tblDaily[WardCode],"FW")</f>
        <v>525</v>
      </c>
      <c r="I5" s="24">
        <f>SUMIFS(tblDaily[TransfersIn],tblDaily[WardCode],"FW")</f>
        <v>27</v>
      </c>
      <c r="J5" s="24">
        <f>SUMIFS(tblDaily[TransfersOut],tblDaily[WardCode],"FW")</f>
        <v>0</v>
      </c>
      <c r="K5" s="25">
        <f t="shared" si="0"/>
        <v>1.4383561643835616</v>
      </c>
      <c r="L5" s="25">
        <f t="shared" si="1"/>
        <v>4.7727272727272725</v>
      </c>
      <c r="M5" s="25">
        <f t="shared" si="2"/>
        <v>88.13636363636364</v>
      </c>
      <c r="N5" s="25">
        <f t="shared" si="3"/>
        <v>3.9285714285714284</v>
      </c>
      <c r="O5" s="25">
        <f t="shared" si="4"/>
        <v>5.1369863013698627</v>
      </c>
      <c r="P5" s="25">
        <f t="shared" si="5"/>
        <v>10.526315789473683</v>
      </c>
    </row>
    <row r="6" spans="1:16" x14ac:dyDescent="0.25">
      <c r="A6" s="22" t="s">
        <v>34</v>
      </c>
      <c r="B6" s="23">
        <f>IFERROR(INDEX(tblWardConfig[PrevYearRemaining],MATCH("CW",tblWardConfig[WardCode],0)),0)</f>
        <v>7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78</v>
      </c>
      <c r="E6" s="24">
        <f>SUMIFS(tblDaily[Discharges],tblDaily[WardCode],"CW")</f>
        <v>78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297</v>
      </c>
      <c r="I6" s="24">
        <f>SUMIFS(tblDaily[TransfersIn],tblDaily[WardCode],"CW")</f>
        <v>5</v>
      </c>
      <c r="J6" s="24">
        <f>SUMIFS(tblDaily[TransfersOut],tblDaily[WardCode],"CW")</f>
        <v>0</v>
      </c>
      <c r="K6" s="25">
        <f t="shared" si="0"/>
        <v>0.81369863013698629</v>
      </c>
      <c r="L6" s="25">
        <f t="shared" si="1"/>
        <v>3.8076923076923075</v>
      </c>
      <c r="M6" s="25">
        <f t="shared" si="2"/>
        <v>122.53846153846153</v>
      </c>
      <c r="N6" s="25">
        <f t="shared" si="3"/>
        <v>2.8888888888888888</v>
      </c>
      <c r="O6" s="25">
        <f t="shared" si="4"/>
        <v>3.0136986301369864</v>
      </c>
      <c r="P6" s="25">
        <f t="shared" si="5"/>
        <v>0</v>
      </c>
    </row>
    <row r="7" spans="1:16" x14ac:dyDescent="0.25">
      <c r="A7" s="22" t="s">
        <v>36</v>
      </c>
      <c r="B7" s="23">
        <f>IFERROR(INDEX(tblWardConfig[PrevYearRemaining],MATCH("BF",tblWardConfig[WardCode],0)),0)</f>
        <v>9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62</v>
      </c>
      <c r="E7" s="24">
        <f>SUMIFS(tblDaily[Discharges],tblDaily[WardCode],"BF")</f>
        <v>65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201</v>
      </c>
      <c r="I7" s="24">
        <f>SUMIFS(tblDaily[TransfersIn],tblDaily[WardCode],"BF")</f>
        <v>1</v>
      </c>
      <c r="J7" s="24">
        <f>SUMIFS(tblDaily[TransfersOut],tblDaily[WardCode],"BF")</f>
        <v>1</v>
      </c>
      <c r="K7" s="25">
        <f t="shared" si="0"/>
        <v>0.55068493150684927</v>
      </c>
      <c r="L7" s="25">
        <f t="shared" si="1"/>
        <v>3.0923076923076924</v>
      </c>
      <c r="M7" s="25">
        <f t="shared" si="2"/>
        <v>109.21538461538462</v>
      </c>
      <c r="N7" s="25">
        <f t="shared" si="3"/>
        <v>3.25</v>
      </c>
      <c r="O7" s="25">
        <f t="shared" si="4"/>
        <v>2.7534246575342465</v>
      </c>
      <c r="P7" s="25">
        <f t="shared" si="5"/>
        <v>0</v>
      </c>
    </row>
    <row r="8" spans="1:16" x14ac:dyDescent="0.25">
      <c r="A8" s="22" t="s">
        <v>38</v>
      </c>
      <c r="B8" s="23">
        <f>IFERROR(INDEX(tblWardConfig[PrevYearRemaining],MATCH("BG",tblWardConfig[WardCode],0)),0)</f>
        <v>9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125</v>
      </c>
      <c r="E8" s="24">
        <f>SUMIFS(tblDaily[Discharges],tblDaily[WardCode],"BG")</f>
        <v>122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342</v>
      </c>
      <c r="I8" s="24">
        <f>SUMIFS(tblDaily[TransfersIn],tblDaily[WardCode],"BG")</f>
        <v>27</v>
      </c>
      <c r="J8" s="24">
        <f>SUMIFS(tblDaily[TransfersOut],tblDaily[WardCode],"BG")</f>
        <v>27</v>
      </c>
      <c r="K8" s="25">
        <f t="shared" si="0"/>
        <v>0.93698630136986305</v>
      </c>
      <c r="L8" s="25">
        <f t="shared" si="1"/>
        <v>2.8032786885245899</v>
      </c>
      <c r="M8" s="25">
        <f t="shared" si="2"/>
        <v>39.081967213114751</v>
      </c>
      <c r="N8" s="25">
        <f t="shared" si="3"/>
        <v>8.7142857142857135</v>
      </c>
      <c r="O8" s="25">
        <f t="shared" si="4"/>
        <v>6.6927592954990223</v>
      </c>
      <c r="P8" s="25">
        <f t="shared" si="5"/>
        <v>0</v>
      </c>
    </row>
    <row r="9" spans="1:16" x14ac:dyDescent="0.25">
      <c r="A9" s="22" t="s">
        <v>40</v>
      </c>
      <c r="B9" s="23">
        <f>IFERROR(INDEX(tblWardConfig[PrevYearRemaining],MATCH("BH",tblWardConfig[WardCode],0)),0)</f>
        <v>12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74</v>
      </c>
      <c r="E9" s="24">
        <f>SUMIFS(tblDaily[Discharges],tblDaily[WardCode],"BH")</f>
        <v>81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369</v>
      </c>
      <c r="I9" s="24">
        <f>SUMIFS(tblDaily[TransfersIn],tblDaily[WardCode],"BH")</f>
        <v>28</v>
      </c>
      <c r="J9" s="24">
        <f>SUMIFS(tblDaily[TransfersOut],tblDaily[WardCode],"BH")</f>
        <v>26</v>
      </c>
      <c r="K9" s="25">
        <f t="shared" si="0"/>
        <v>1.010958904109589</v>
      </c>
      <c r="L9" s="25">
        <f t="shared" si="1"/>
        <v>4.5555555555555554</v>
      </c>
      <c r="M9" s="25">
        <f t="shared" si="2"/>
        <v>94.580246913580254</v>
      </c>
      <c r="N9" s="25">
        <f t="shared" si="3"/>
        <v>3.6818181818181817</v>
      </c>
      <c r="O9" s="25">
        <f t="shared" si="4"/>
        <v>4.5952677459526772</v>
      </c>
      <c r="P9" s="25">
        <f t="shared" si="5"/>
        <v>0</v>
      </c>
    </row>
    <row r="10" spans="1:16" x14ac:dyDescent="0.25">
      <c r="A10" s="22" t="s">
        <v>42</v>
      </c>
      <c r="B10" s="23">
        <f>IFERROR(INDEX(tblWardConfig[PrevYearRemaining],MATCH("NICU",tblWardConfig[WardCode],0)),0)</f>
        <v>14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47</v>
      </c>
      <c r="E10" s="24">
        <f>SUMIFS(tblDaily[Discharges],tblDaily[WardCode],"NICU")</f>
        <v>46</v>
      </c>
      <c r="F10" s="24">
        <f>SUMIFS(tblDaily[Deaths],tblDaily[WardCode],"NICU")</f>
        <v>8</v>
      </c>
      <c r="G10" s="24">
        <f>SUMIFS(tblDaily[DeathsUnder24Hrs],tblDaily[WardCode],"NICU")</f>
        <v>0</v>
      </c>
      <c r="H10" s="24">
        <f>SUMIFS(tblDaily[Remaining],tblDaily[WardCode],"NICU")</f>
        <v>410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1.1232876712328768</v>
      </c>
      <c r="L10" s="25">
        <f t="shared" si="1"/>
        <v>7.5925925925925926</v>
      </c>
      <c r="M10" s="25">
        <f t="shared" si="2"/>
        <v>93.796296296296291</v>
      </c>
      <c r="N10" s="25">
        <f t="shared" si="3"/>
        <v>3.6</v>
      </c>
      <c r="O10" s="25">
        <f t="shared" si="4"/>
        <v>7.4885844748858439</v>
      </c>
      <c r="P10" s="25">
        <f t="shared" si="5"/>
        <v>13.114754098360656</v>
      </c>
    </row>
    <row r="11" spans="1:16" x14ac:dyDescent="0.25">
      <c r="A11" s="22" t="s">
        <v>44</v>
      </c>
      <c r="B11" s="23">
        <f>IFERROR(INDEX(tblWardConfig[PrevYearRemaining],MATCH("MAE",tblWardConfig[WardCode],0)),0)</f>
        <v>9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86</v>
      </c>
      <c r="E11" s="24">
        <f>SUMIFS(tblDaily[Discharges],tblDaily[WardCode],"MAE")</f>
        <v>43</v>
      </c>
      <c r="F11" s="24">
        <f>SUMIFS(tblDaily[Deaths],tblDaily[WardCode],"MAE")</f>
        <v>4</v>
      </c>
      <c r="G11" s="24">
        <f>SUMIFS(tblDaily[DeathsUnder24Hrs],tblDaily[WardCode],"MAE")</f>
        <v>5</v>
      </c>
      <c r="H11" s="24">
        <f>SUMIFS(tblDaily[Remaining],tblDaily[WardCode],"MAE")</f>
        <v>148</v>
      </c>
      <c r="I11" s="24">
        <f>SUMIFS(tblDaily[TransfersIn],tblDaily[WardCode],"MAE")</f>
        <v>0</v>
      </c>
      <c r="J11" s="24">
        <f>SUMIFS(tblDaily[TransfersOut],tblDaily[WardCode],"MAE")</f>
        <v>47</v>
      </c>
      <c r="K11" s="25">
        <f t="shared" si="0"/>
        <v>0.40547945205479452</v>
      </c>
      <c r="L11" s="25">
        <f t="shared" si="1"/>
        <v>3.1489361702127661</v>
      </c>
      <c r="M11" s="25">
        <f t="shared" si="2"/>
        <v>74.510638297872347</v>
      </c>
      <c r="N11" s="25">
        <f t="shared" si="3"/>
        <v>4.7</v>
      </c>
      <c r="O11" s="25">
        <f t="shared" si="4"/>
        <v>4.0547945205479454</v>
      </c>
      <c r="P11" s="25">
        <f t="shared" si="5"/>
        <v>4.2105263157894735</v>
      </c>
    </row>
    <row r="12" spans="1:16" x14ac:dyDescent="0.25">
      <c r="A12" s="22" t="s">
        <v>46</v>
      </c>
      <c r="B12" s="23">
        <f>IFERROR(INDEX(tblWardConfig[PrevYearRemaining],MATCH("FAE",tblWardConfig[WardCode],0)),0)</f>
        <v>1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46</v>
      </c>
      <c r="E12" s="24">
        <f>SUMIFS(tblDaily[Discharges],tblDaily[WardCode],"FAE")</f>
        <v>13</v>
      </c>
      <c r="F12" s="24">
        <f>SUMIFS(tblDaily[Deaths],tblDaily[WardCode],"FAE")</f>
        <v>0</v>
      </c>
      <c r="G12" s="24">
        <f>SUMIFS(tblDaily[DeathsUnder24Hrs],tblDaily[WardCode],"FAE")</f>
        <v>1</v>
      </c>
      <c r="H12" s="24">
        <f>SUMIFS(tblDaily[Remaining],tblDaily[WardCode],"FAE")</f>
        <v>55</v>
      </c>
      <c r="I12" s="24">
        <f>SUMIFS(tblDaily[TransfersIn],tblDaily[WardCode],"FAE")</f>
        <v>0</v>
      </c>
      <c r="J12" s="24">
        <f>SUMIFS(tblDaily[TransfersOut],tblDaily[WardCode],"FAE")</f>
        <v>30</v>
      </c>
      <c r="K12" s="25">
        <f t="shared" si="0"/>
        <v>0.15068493150684931</v>
      </c>
      <c r="L12" s="25">
        <f t="shared" si="1"/>
        <v>4.2307692307692308</v>
      </c>
      <c r="M12" s="25">
        <f t="shared" si="2"/>
        <v>276.53846153846155</v>
      </c>
      <c r="N12" s="25">
        <f t="shared" si="3"/>
        <v>1.3</v>
      </c>
      <c r="O12" s="25">
        <f t="shared" si="4"/>
        <v>1.5068493150684932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3" t="s">
        <v>182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25">
      <c r="A2" s="3" t="s">
        <v>183</v>
      </c>
      <c r="B2" s="3" t="s">
        <v>184</v>
      </c>
      <c r="C2" s="3" t="s">
        <v>72</v>
      </c>
      <c r="D2" s="3" t="s">
        <v>185</v>
      </c>
      <c r="E2" s="3" t="s">
        <v>186</v>
      </c>
      <c r="F2" s="3" t="s">
        <v>187</v>
      </c>
      <c r="G2" s="3" t="s">
        <v>86</v>
      </c>
      <c r="H2" s="3" t="s">
        <v>88</v>
      </c>
      <c r="I2" s="3" t="s">
        <v>188</v>
      </c>
      <c r="J2" s="3" t="s">
        <v>189</v>
      </c>
    </row>
    <row r="3" spans="1:10" x14ac:dyDescent="0.25">
      <c r="A3" s="2" t="s">
        <v>179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Summary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2026-02-25T15:07:59Z</dcterms:created>
  <dcterms:modified xsi:type="dcterms:W3CDTF">2026-02-25T15:28:11Z</dcterms:modified>
</cp:coreProperties>
</file>