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8_{6984F6CA-CE81-4EA4-8B60-0C806BEA86A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O12" i="19" s="1"/>
  <c r="G12" i="19"/>
  <c r="F12" i="19"/>
  <c r="P12" i="19" s="1"/>
  <c r="E12" i="19"/>
  <c r="N12" i="19" s="1"/>
  <c r="D12" i="19"/>
  <c r="C12" i="19"/>
  <c r="M12" i="19" s="1"/>
  <c r="B12" i="19"/>
  <c r="J11" i="19"/>
  <c r="I11" i="19"/>
  <c r="H11" i="19"/>
  <c r="O11" i="19" s="1"/>
  <c r="G11" i="19"/>
  <c r="F11" i="19"/>
  <c r="E11" i="19"/>
  <c r="N11" i="19" s="1"/>
  <c r="D11" i="19"/>
  <c r="C11" i="19"/>
  <c r="B11" i="19"/>
  <c r="P11" i="19" s="1"/>
  <c r="P10" i="19"/>
  <c r="J10" i="19"/>
  <c r="I10" i="19"/>
  <c r="H10" i="19"/>
  <c r="L10" i="19" s="1"/>
  <c r="G10" i="19"/>
  <c r="F10" i="19"/>
  <c r="N10" i="19" s="1"/>
  <c r="E10" i="19"/>
  <c r="D10" i="19"/>
  <c r="C10" i="19"/>
  <c r="M10" i="19" s="1"/>
  <c r="B10" i="19"/>
  <c r="P9" i="19"/>
  <c r="J9" i="19"/>
  <c r="I9" i="19"/>
  <c r="H9" i="19"/>
  <c r="L9" i="19" s="1"/>
  <c r="G9" i="19"/>
  <c r="F9" i="19"/>
  <c r="N9" i="19" s="1"/>
  <c r="E9" i="19"/>
  <c r="D9" i="19"/>
  <c r="C9" i="19"/>
  <c r="M9" i="19" s="1"/>
  <c r="B9" i="19"/>
  <c r="O8" i="19"/>
  <c r="J8" i="19"/>
  <c r="I8" i="19"/>
  <c r="H8" i="19"/>
  <c r="L8" i="19" s="1"/>
  <c r="G8" i="19"/>
  <c r="F8" i="19"/>
  <c r="P8" i="19" s="1"/>
  <c r="E8" i="19"/>
  <c r="M8" i="19" s="1"/>
  <c r="D8" i="19"/>
  <c r="C8" i="19"/>
  <c r="B8" i="19"/>
  <c r="J7" i="19"/>
  <c r="I7" i="19"/>
  <c r="H7" i="19"/>
  <c r="K7" i="19" s="1"/>
  <c r="G7" i="19"/>
  <c r="F7" i="19"/>
  <c r="P7" i="19" s="1"/>
  <c r="E7" i="19"/>
  <c r="M7" i="19" s="1"/>
  <c r="D7" i="19"/>
  <c r="C7" i="19"/>
  <c r="B7" i="19"/>
  <c r="K6" i="19"/>
  <c r="J6" i="19"/>
  <c r="I6" i="19"/>
  <c r="H6" i="19"/>
  <c r="O6" i="19" s="1"/>
  <c r="G6" i="19"/>
  <c r="F6" i="19"/>
  <c r="E6" i="19"/>
  <c r="N6" i="19" s="1"/>
  <c r="D6" i="19"/>
  <c r="P6" i="19" s="1"/>
  <c r="C6" i="19"/>
  <c r="B6" i="19"/>
  <c r="L5" i="19"/>
  <c r="K5" i="19"/>
  <c r="J5" i="19"/>
  <c r="I5" i="19"/>
  <c r="H5" i="19"/>
  <c r="G5" i="19"/>
  <c r="F5" i="19"/>
  <c r="P5" i="19" s="1"/>
  <c r="E5" i="19"/>
  <c r="N5" i="19" s="1"/>
  <c r="D5" i="19"/>
  <c r="C5" i="19"/>
  <c r="O5" i="19" s="1"/>
  <c r="B5" i="19"/>
  <c r="K4" i="19"/>
  <c r="J4" i="19"/>
  <c r="I4" i="19"/>
  <c r="H4" i="19"/>
  <c r="O4" i="19" s="1"/>
  <c r="G4" i="19"/>
  <c r="F4" i="19"/>
  <c r="P4" i="19" s="1"/>
  <c r="E4" i="19"/>
  <c r="N4" i="19" s="1"/>
  <c r="D4" i="19"/>
  <c r="C4" i="19"/>
  <c r="M4" i="19" s="1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G179" i="15"/>
  <c r="P177" i="15"/>
  <c r="J177" i="15"/>
  <c r="I177" i="15"/>
  <c r="I179" i="15" s="1"/>
  <c r="H177" i="15"/>
  <c r="K177" i="15" s="1"/>
  <c r="G177" i="15"/>
  <c r="F177" i="15"/>
  <c r="E177" i="15"/>
  <c r="D177" i="15"/>
  <c r="C177" i="15"/>
  <c r="C179" i="15" s="1"/>
  <c r="B177" i="15"/>
  <c r="O176" i="15"/>
  <c r="L176" i="15"/>
  <c r="J176" i="15"/>
  <c r="J179" i="15" s="1"/>
  <c r="I176" i="15"/>
  <c r="H176" i="15"/>
  <c r="K176" i="15" s="1"/>
  <c r="G176" i="15"/>
  <c r="F176" i="15"/>
  <c r="F179" i="15" s="1"/>
  <c r="E176" i="15"/>
  <c r="D176" i="15"/>
  <c r="D179" i="15" s="1"/>
  <c r="C176" i="15"/>
  <c r="M176" i="15" s="1"/>
  <c r="B176" i="15"/>
  <c r="B179" i="15" s="1"/>
  <c r="K175" i="15"/>
  <c r="J175" i="15"/>
  <c r="I175" i="15"/>
  <c r="H175" i="15"/>
  <c r="L175" i="15" s="1"/>
  <c r="G175" i="15"/>
  <c r="F175" i="15"/>
  <c r="P175" i="15" s="1"/>
  <c r="E175" i="15"/>
  <c r="D175" i="15"/>
  <c r="C175" i="15"/>
  <c r="B175" i="15"/>
  <c r="M174" i="15"/>
  <c r="J174" i="15"/>
  <c r="I174" i="15"/>
  <c r="H174" i="15"/>
  <c r="G174" i="15"/>
  <c r="F174" i="15"/>
  <c r="E174" i="15"/>
  <c r="N174" i="15" s="1"/>
  <c r="D174" i="15"/>
  <c r="C174" i="15"/>
  <c r="B174" i="15"/>
  <c r="P174" i="15" s="1"/>
  <c r="O173" i="15"/>
  <c r="L173" i="15"/>
  <c r="K173" i="15"/>
  <c r="J173" i="15"/>
  <c r="I173" i="15"/>
  <c r="H173" i="15"/>
  <c r="G173" i="15"/>
  <c r="F173" i="15"/>
  <c r="P173" i="15" s="1"/>
  <c r="E173" i="15"/>
  <c r="N173" i="15" s="1"/>
  <c r="D173" i="15"/>
  <c r="C173" i="15"/>
  <c r="M173" i="15" s="1"/>
  <c r="B173" i="15"/>
  <c r="K172" i="15"/>
  <c r="J172" i="15"/>
  <c r="I172" i="15"/>
  <c r="H172" i="15"/>
  <c r="G172" i="15"/>
  <c r="F172" i="15"/>
  <c r="E172" i="15"/>
  <c r="D172" i="15"/>
  <c r="C172" i="15"/>
  <c r="B172" i="15"/>
  <c r="O171" i="15"/>
  <c r="M171" i="15"/>
  <c r="K171" i="15"/>
  <c r="J171" i="15"/>
  <c r="I171" i="15"/>
  <c r="H171" i="15"/>
  <c r="G171" i="15"/>
  <c r="F171" i="15"/>
  <c r="E171" i="15"/>
  <c r="D171" i="15"/>
  <c r="C171" i="15"/>
  <c r="B171" i="15"/>
  <c r="N170" i="15"/>
  <c r="L170" i="15"/>
  <c r="J170" i="15"/>
  <c r="I170" i="15"/>
  <c r="I178" i="15" s="1"/>
  <c r="H170" i="15"/>
  <c r="K170" i="15" s="1"/>
  <c r="G170" i="15"/>
  <c r="F170" i="15"/>
  <c r="E170" i="15"/>
  <c r="D170" i="15"/>
  <c r="D178" i="15" s="1"/>
  <c r="C170" i="15"/>
  <c r="M170" i="15" s="1"/>
  <c r="B170" i="15"/>
  <c r="P169" i="15"/>
  <c r="M169" i="15"/>
  <c r="J169" i="15"/>
  <c r="I169" i="15"/>
  <c r="H169" i="15"/>
  <c r="G169" i="15"/>
  <c r="G178" i="15" s="1"/>
  <c r="F169" i="15"/>
  <c r="E169" i="15"/>
  <c r="D169" i="15"/>
  <c r="C169" i="15"/>
  <c r="B169" i="15"/>
  <c r="F164" i="15"/>
  <c r="J162" i="15"/>
  <c r="J164" i="15" s="1"/>
  <c r="I162" i="15"/>
  <c r="H162" i="15"/>
  <c r="M162" i="15" s="1"/>
  <c r="G162" i="15"/>
  <c r="F162" i="15"/>
  <c r="E162" i="15"/>
  <c r="D162" i="15"/>
  <c r="C162" i="15"/>
  <c r="B162" i="15"/>
  <c r="P162" i="15" s="1"/>
  <c r="O161" i="15"/>
  <c r="L161" i="15"/>
  <c r="K161" i="15"/>
  <c r="J161" i="15"/>
  <c r="I161" i="15"/>
  <c r="I164" i="15" s="1"/>
  <c r="H161" i="15"/>
  <c r="G161" i="15"/>
  <c r="G164" i="15" s="1"/>
  <c r="F161" i="15"/>
  <c r="P161" i="15" s="1"/>
  <c r="E161" i="15"/>
  <c r="D161" i="15"/>
  <c r="D164" i="15" s="1"/>
  <c r="C161" i="15"/>
  <c r="C164" i="15" s="1"/>
  <c r="B161" i="15"/>
  <c r="L160" i="15"/>
  <c r="K160" i="15"/>
  <c r="J160" i="15"/>
  <c r="I160" i="15"/>
  <c r="H160" i="15"/>
  <c r="G160" i="15"/>
  <c r="F160" i="15"/>
  <c r="P160" i="15" s="1"/>
  <c r="E160" i="15"/>
  <c r="D160" i="15"/>
  <c r="C160" i="15"/>
  <c r="B160" i="15"/>
  <c r="O159" i="15"/>
  <c r="K159" i="15"/>
  <c r="J159" i="15"/>
  <c r="I159" i="15"/>
  <c r="H159" i="15"/>
  <c r="G159" i="15"/>
  <c r="F159" i="15"/>
  <c r="E159" i="15"/>
  <c r="D159" i="15"/>
  <c r="C159" i="15"/>
  <c r="B159" i="15"/>
  <c r="N158" i="15"/>
  <c r="L158" i="15"/>
  <c r="J158" i="15"/>
  <c r="I158" i="15"/>
  <c r="I163" i="15" s="1"/>
  <c r="H158" i="15"/>
  <c r="G158" i="15"/>
  <c r="F158" i="15"/>
  <c r="E158" i="15"/>
  <c r="D158" i="15"/>
  <c r="C158" i="15"/>
  <c r="M158" i="15" s="1"/>
  <c r="B158" i="15"/>
  <c r="P157" i="15"/>
  <c r="J157" i="15"/>
  <c r="I157" i="15"/>
  <c r="H157" i="15"/>
  <c r="G157" i="15"/>
  <c r="F157" i="15"/>
  <c r="E157" i="15"/>
  <c r="D157" i="15"/>
  <c r="C157" i="15"/>
  <c r="B157" i="15"/>
  <c r="O156" i="15"/>
  <c r="J156" i="15"/>
  <c r="I156" i="15"/>
  <c r="H156" i="15"/>
  <c r="G156" i="15"/>
  <c r="F156" i="15"/>
  <c r="N156" i="15" s="1"/>
  <c r="E156" i="15"/>
  <c r="D156" i="15"/>
  <c r="C156" i="15"/>
  <c r="B156" i="15"/>
  <c r="K155" i="15"/>
  <c r="J155" i="15"/>
  <c r="I155" i="15"/>
  <c r="H155" i="15"/>
  <c r="G155" i="15"/>
  <c r="F155" i="15"/>
  <c r="P155" i="15" s="1"/>
  <c r="E155" i="15"/>
  <c r="N155" i="15" s="1"/>
  <c r="D155" i="15"/>
  <c r="C155" i="15"/>
  <c r="B155" i="15"/>
  <c r="N154" i="15"/>
  <c r="J154" i="15"/>
  <c r="I154" i="15"/>
  <c r="H154" i="15"/>
  <c r="G154" i="15"/>
  <c r="F154" i="15"/>
  <c r="E154" i="15"/>
  <c r="E163" i="15" s="1"/>
  <c r="D154" i="15"/>
  <c r="C154" i="15"/>
  <c r="B154" i="15"/>
  <c r="I149" i="15"/>
  <c r="E149" i="15"/>
  <c r="D149" i="15"/>
  <c r="C148" i="15"/>
  <c r="O147" i="15"/>
  <c r="M147" i="15"/>
  <c r="K147" i="15"/>
  <c r="J147" i="15"/>
  <c r="I147" i="15"/>
  <c r="H147" i="15"/>
  <c r="G147" i="15"/>
  <c r="G149" i="15" s="1"/>
  <c r="F147" i="15"/>
  <c r="E147" i="15"/>
  <c r="D147" i="15"/>
  <c r="C147" i="15"/>
  <c r="C149" i="15" s="1"/>
  <c r="B147" i="15"/>
  <c r="J146" i="15"/>
  <c r="J149" i="15" s="1"/>
  <c r="I146" i="15"/>
  <c r="H146" i="15"/>
  <c r="L146" i="15" s="1"/>
  <c r="G146" i="15"/>
  <c r="F146" i="15"/>
  <c r="E146" i="15"/>
  <c r="D146" i="15"/>
  <c r="C146" i="15"/>
  <c r="B146" i="15"/>
  <c r="B149" i="15" s="1"/>
  <c r="P145" i="15"/>
  <c r="K145" i="15"/>
  <c r="J145" i="15"/>
  <c r="I145" i="15"/>
  <c r="H145" i="15"/>
  <c r="G145" i="15"/>
  <c r="F145" i="15"/>
  <c r="E145" i="15"/>
  <c r="N145" i="15" s="1"/>
  <c r="D145" i="15"/>
  <c r="C145" i="15"/>
  <c r="B145" i="15"/>
  <c r="O144" i="15"/>
  <c r="N144" i="15"/>
  <c r="J144" i="15"/>
  <c r="I144" i="15"/>
  <c r="H144" i="15"/>
  <c r="G144" i="15"/>
  <c r="F144" i="15"/>
  <c r="E144" i="15"/>
  <c r="D144" i="15"/>
  <c r="C144" i="15"/>
  <c r="B144" i="15"/>
  <c r="N143" i="15"/>
  <c r="K143" i="15"/>
  <c r="J143" i="15"/>
  <c r="I143" i="15"/>
  <c r="H143" i="15"/>
  <c r="G143" i="15"/>
  <c r="F143" i="15"/>
  <c r="P143" i="15" s="1"/>
  <c r="E143" i="15"/>
  <c r="M143" i="15" s="1"/>
  <c r="D143" i="15"/>
  <c r="C143" i="15"/>
  <c r="O143" i="15" s="1"/>
  <c r="B143" i="15"/>
  <c r="J142" i="15"/>
  <c r="I142" i="15"/>
  <c r="H142" i="15"/>
  <c r="G142" i="15"/>
  <c r="F142" i="15"/>
  <c r="P142" i="15" s="1"/>
  <c r="E142" i="15"/>
  <c r="D142" i="15"/>
  <c r="C142" i="15"/>
  <c r="B142" i="15"/>
  <c r="L141" i="15"/>
  <c r="K141" i="15"/>
  <c r="J141" i="15"/>
  <c r="I141" i="15"/>
  <c r="H141" i="15"/>
  <c r="G141" i="15"/>
  <c r="F141" i="15"/>
  <c r="E141" i="15"/>
  <c r="D141" i="15"/>
  <c r="C141" i="15"/>
  <c r="B141" i="15"/>
  <c r="J140" i="15"/>
  <c r="I140" i="15"/>
  <c r="H140" i="15"/>
  <c r="H148" i="15" s="1"/>
  <c r="G140" i="15"/>
  <c r="F140" i="15"/>
  <c r="E140" i="15"/>
  <c r="D140" i="15"/>
  <c r="C140" i="15"/>
  <c r="B140" i="15"/>
  <c r="O139" i="15"/>
  <c r="M139" i="15"/>
  <c r="K139" i="15"/>
  <c r="J139" i="15"/>
  <c r="I139" i="15"/>
  <c r="H139" i="15"/>
  <c r="G139" i="15"/>
  <c r="F139" i="15"/>
  <c r="E139" i="15"/>
  <c r="D139" i="15"/>
  <c r="P139" i="15" s="1"/>
  <c r="C139" i="15"/>
  <c r="B139" i="15"/>
  <c r="B148" i="15" s="1"/>
  <c r="H134" i="15"/>
  <c r="D134" i="15"/>
  <c r="O132" i="15"/>
  <c r="N132" i="15"/>
  <c r="L132" i="15"/>
  <c r="J132" i="15"/>
  <c r="J134" i="15" s="1"/>
  <c r="I132" i="15"/>
  <c r="H132" i="15"/>
  <c r="G132" i="15"/>
  <c r="F132" i="15"/>
  <c r="P132" i="15" s="1"/>
  <c r="E132" i="15"/>
  <c r="D132" i="15"/>
  <c r="C132" i="15"/>
  <c r="B132" i="15"/>
  <c r="B134" i="15" s="1"/>
  <c r="O131" i="15"/>
  <c r="K131" i="15"/>
  <c r="J131" i="15"/>
  <c r="I131" i="15"/>
  <c r="I134" i="15" s="1"/>
  <c r="H131" i="15"/>
  <c r="G131" i="15"/>
  <c r="F131" i="15"/>
  <c r="M131" i="15" s="1"/>
  <c r="E131" i="15"/>
  <c r="E134" i="15" s="1"/>
  <c r="D131" i="15"/>
  <c r="C131" i="15"/>
  <c r="C134" i="15" s="1"/>
  <c r="B131" i="15"/>
  <c r="P130" i="15"/>
  <c r="J130" i="15"/>
  <c r="I130" i="15"/>
  <c r="H130" i="15"/>
  <c r="G130" i="15"/>
  <c r="F130" i="15"/>
  <c r="E130" i="15"/>
  <c r="N130" i="15" s="1"/>
  <c r="D130" i="15"/>
  <c r="C130" i="15"/>
  <c r="B130" i="15"/>
  <c r="O129" i="15"/>
  <c r="K129" i="15"/>
  <c r="J129" i="15"/>
  <c r="I129" i="15"/>
  <c r="H129" i="15"/>
  <c r="G129" i="15"/>
  <c r="F129" i="15"/>
  <c r="P129" i="15" s="1"/>
  <c r="E129" i="15"/>
  <c r="L129" i="15" s="1"/>
  <c r="D129" i="15"/>
  <c r="C129" i="15"/>
  <c r="M129" i="15" s="1"/>
  <c r="B129" i="15"/>
  <c r="K128" i="15"/>
  <c r="J128" i="15"/>
  <c r="I128" i="15"/>
  <c r="H128" i="15"/>
  <c r="G128" i="15"/>
  <c r="F128" i="15"/>
  <c r="P128" i="15" s="1"/>
  <c r="E128" i="15"/>
  <c r="D128" i="15"/>
  <c r="C128" i="15"/>
  <c r="M128" i="15" s="1"/>
  <c r="B128" i="15"/>
  <c r="L127" i="15"/>
  <c r="K127" i="15"/>
  <c r="J127" i="15"/>
  <c r="I127" i="15"/>
  <c r="H127" i="15"/>
  <c r="G127" i="15"/>
  <c r="F127" i="15"/>
  <c r="E127" i="15"/>
  <c r="N127" i="15" s="1"/>
  <c r="D127" i="15"/>
  <c r="P127" i="15" s="1"/>
  <c r="C127" i="15"/>
  <c r="O127" i="15" s="1"/>
  <c r="B127" i="15"/>
  <c r="N126" i="15"/>
  <c r="L126" i="15"/>
  <c r="J126" i="15"/>
  <c r="I126" i="15"/>
  <c r="H126" i="15"/>
  <c r="O126" i="15" s="1"/>
  <c r="G126" i="15"/>
  <c r="F126" i="15"/>
  <c r="P126" i="15" s="1"/>
  <c r="E126" i="15"/>
  <c r="D126" i="15"/>
  <c r="C126" i="15"/>
  <c r="B126" i="15"/>
  <c r="O125" i="15"/>
  <c r="M125" i="15"/>
  <c r="J125" i="15"/>
  <c r="I125" i="15"/>
  <c r="H125" i="15"/>
  <c r="G125" i="15"/>
  <c r="F125" i="15"/>
  <c r="E125" i="15"/>
  <c r="N125" i="15" s="1"/>
  <c r="D125" i="15"/>
  <c r="C125" i="15"/>
  <c r="B125" i="15"/>
  <c r="P125" i="15" s="1"/>
  <c r="N124" i="15"/>
  <c r="L124" i="15"/>
  <c r="J124" i="15"/>
  <c r="I124" i="15"/>
  <c r="I133" i="15" s="1"/>
  <c r="H124" i="15"/>
  <c r="O124" i="15" s="1"/>
  <c r="G124" i="15"/>
  <c r="G133" i="15" s="1"/>
  <c r="F124" i="15"/>
  <c r="E124" i="15"/>
  <c r="D124" i="15"/>
  <c r="C124" i="15"/>
  <c r="B124" i="15"/>
  <c r="H119" i="15"/>
  <c r="F119" i="15"/>
  <c r="P119" i="15" s="1"/>
  <c r="C119" i="15"/>
  <c r="N117" i="15"/>
  <c r="K117" i="15"/>
  <c r="J117" i="15"/>
  <c r="I117" i="15"/>
  <c r="I119" i="15" s="1"/>
  <c r="H117" i="15"/>
  <c r="G117" i="15"/>
  <c r="G119" i="15" s="1"/>
  <c r="F117" i="15"/>
  <c r="P117" i="15" s="1"/>
  <c r="E117" i="15"/>
  <c r="D117" i="15"/>
  <c r="C117" i="15"/>
  <c r="O117" i="15" s="1"/>
  <c r="B117" i="15"/>
  <c r="K116" i="15"/>
  <c r="J116" i="15"/>
  <c r="J119" i="15" s="1"/>
  <c r="I116" i="15"/>
  <c r="H116" i="15"/>
  <c r="G116" i="15"/>
  <c r="F116" i="15"/>
  <c r="N116" i="15" s="1"/>
  <c r="E116" i="15"/>
  <c r="E119" i="15" s="1"/>
  <c r="N119" i="15" s="1"/>
  <c r="D116" i="15"/>
  <c r="D119" i="15" s="1"/>
  <c r="C116" i="15"/>
  <c r="B116" i="15"/>
  <c r="B119" i="15" s="1"/>
  <c r="L115" i="15"/>
  <c r="K115" i="15"/>
  <c r="J115" i="15"/>
  <c r="I115" i="15"/>
  <c r="H115" i="15"/>
  <c r="G115" i="15"/>
  <c r="F115" i="15"/>
  <c r="E115" i="15"/>
  <c r="D115" i="15"/>
  <c r="P115" i="15" s="1"/>
  <c r="C115" i="15"/>
  <c r="B115" i="15"/>
  <c r="J114" i="15"/>
  <c r="I114" i="15"/>
  <c r="H114" i="15"/>
  <c r="G114" i="15"/>
  <c r="F114" i="15"/>
  <c r="N114" i="15" s="1"/>
  <c r="E114" i="15"/>
  <c r="D114" i="15"/>
  <c r="P114" i="15" s="1"/>
  <c r="C114" i="15"/>
  <c r="B114" i="15"/>
  <c r="P113" i="15"/>
  <c r="O113" i="15"/>
  <c r="K113" i="15"/>
  <c r="J113" i="15"/>
  <c r="I113" i="15"/>
  <c r="H113" i="15"/>
  <c r="G113" i="15"/>
  <c r="F113" i="15"/>
  <c r="E113" i="15"/>
  <c r="N113" i="15" s="1"/>
  <c r="D113" i="15"/>
  <c r="C113" i="15"/>
  <c r="B113" i="15"/>
  <c r="P112" i="15"/>
  <c r="L112" i="15"/>
  <c r="J112" i="15"/>
  <c r="I112" i="15"/>
  <c r="H112" i="15"/>
  <c r="G112" i="15"/>
  <c r="F112" i="15"/>
  <c r="N112" i="15" s="1"/>
  <c r="E112" i="15"/>
  <c r="D112" i="15"/>
  <c r="C112" i="15"/>
  <c r="B112" i="15"/>
  <c r="O111" i="15"/>
  <c r="J111" i="15"/>
  <c r="I111" i="15"/>
  <c r="H111" i="15"/>
  <c r="G111" i="15"/>
  <c r="F111" i="15"/>
  <c r="P111" i="15" s="1"/>
  <c r="E111" i="15"/>
  <c r="D111" i="15"/>
  <c r="C111" i="15"/>
  <c r="B111" i="15"/>
  <c r="O110" i="15"/>
  <c r="J110" i="15"/>
  <c r="J118" i="15" s="1"/>
  <c r="I110" i="15"/>
  <c r="H110" i="15"/>
  <c r="K110" i="15" s="1"/>
  <c r="G110" i="15"/>
  <c r="G118" i="15" s="1"/>
  <c r="F110" i="15"/>
  <c r="L110" i="15" s="1"/>
  <c r="E110" i="15"/>
  <c r="D110" i="15"/>
  <c r="C110" i="15"/>
  <c r="B110" i="15"/>
  <c r="B118" i="15" s="1"/>
  <c r="L109" i="15"/>
  <c r="K109" i="15"/>
  <c r="J109" i="15"/>
  <c r="I109" i="15"/>
  <c r="H109" i="15"/>
  <c r="G109" i="15"/>
  <c r="F109" i="15"/>
  <c r="E109" i="15"/>
  <c r="D109" i="15"/>
  <c r="D118" i="15" s="1"/>
  <c r="C109" i="15"/>
  <c r="O109" i="15" s="1"/>
  <c r="B109" i="15"/>
  <c r="J104" i="15"/>
  <c r="F104" i="15"/>
  <c r="C103" i="15"/>
  <c r="J102" i="15"/>
  <c r="I102" i="15"/>
  <c r="H102" i="15"/>
  <c r="G102" i="15"/>
  <c r="F102" i="15"/>
  <c r="N102" i="15" s="1"/>
  <c r="E102" i="15"/>
  <c r="D102" i="15"/>
  <c r="D104" i="15" s="1"/>
  <c r="C102" i="15"/>
  <c r="B102" i="15"/>
  <c r="P101" i="15"/>
  <c r="O101" i="15"/>
  <c r="K101" i="15"/>
  <c r="J101" i="15"/>
  <c r="I101" i="15"/>
  <c r="I104" i="15" s="1"/>
  <c r="H101" i="15"/>
  <c r="G101" i="15"/>
  <c r="G104" i="15" s="1"/>
  <c r="F101" i="15"/>
  <c r="E101" i="15"/>
  <c r="D101" i="15"/>
  <c r="C101" i="15"/>
  <c r="B101" i="15"/>
  <c r="B104" i="15" s="1"/>
  <c r="P100" i="15"/>
  <c r="L100" i="15"/>
  <c r="J100" i="15"/>
  <c r="I100" i="15"/>
  <c r="H100" i="15"/>
  <c r="G100" i="15"/>
  <c r="F100" i="15"/>
  <c r="N100" i="15" s="1"/>
  <c r="E100" i="15"/>
  <c r="D100" i="15"/>
  <c r="C100" i="15"/>
  <c r="B100" i="15"/>
  <c r="O99" i="15"/>
  <c r="J99" i="15"/>
  <c r="I99" i="15"/>
  <c r="H99" i="15"/>
  <c r="G99" i="15"/>
  <c r="F99" i="15"/>
  <c r="P99" i="15" s="1"/>
  <c r="E99" i="15"/>
  <c r="D99" i="15"/>
  <c r="C99" i="15"/>
  <c r="B99" i="15"/>
  <c r="O98" i="15"/>
  <c r="J98" i="15"/>
  <c r="I98" i="15"/>
  <c r="H98" i="15"/>
  <c r="K98" i="15" s="1"/>
  <c r="G98" i="15"/>
  <c r="F98" i="15"/>
  <c r="L98" i="15" s="1"/>
  <c r="E98" i="15"/>
  <c r="D98" i="15"/>
  <c r="C98" i="15"/>
  <c r="B98" i="15"/>
  <c r="L97" i="15"/>
  <c r="K97" i="15"/>
  <c r="J97" i="15"/>
  <c r="I97" i="15"/>
  <c r="H97" i="15"/>
  <c r="G97" i="15"/>
  <c r="F97" i="15"/>
  <c r="E97" i="15"/>
  <c r="N97" i="15" s="1"/>
  <c r="D97" i="15"/>
  <c r="C97" i="15"/>
  <c r="O97" i="15" s="1"/>
  <c r="B97" i="15"/>
  <c r="J96" i="15"/>
  <c r="I96" i="15"/>
  <c r="H96" i="15"/>
  <c r="K96" i="15" s="1"/>
  <c r="G96" i="15"/>
  <c r="F96" i="15"/>
  <c r="N96" i="15" s="1"/>
  <c r="E96" i="15"/>
  <c r="D96" i="15"/>
  <c r="C96" i="15"/>
  <c r="B96" i="15"/>
  <c r="J95" i="15"/>
  <c r="I95" i="15"/>
  <c r="I103" i="15" s="1"/>
  <c r="H95" i="15"/>
  <c r="O95" i="15" s="1"/>
  <c r="G95" i="15"/>
  <c r="F95" i="15"/>
  <c r="E95" i="15"/>
  <c r="N95" i="15" s="1"/>
  <c r="D95" i="15"/>
  <c r="P95" i="15" s="1"/>
  <c r="C95" i="15"/>
  <c r="B95" i="15"/>
  <c r="O94" i="15"/>
  <c r="K94" i="15"/>
  <c r="J94" i="15"/>
  <c r="I94" i="15"/>
  <c r="H94" i="15"/>
  <c r="G94" i="15"/>
  <c r="G103" i="15" s="1"/>
  <c r="F94" i="15"/>
  <c r="L94" i="15" s="1"/>
  <c r="E94" i="15"/>
  <c r="D94" i="15"/>
  <c r="D103" i="15" s="1"/>
  <c r="C94" i="15"/>
  <c r="B94" i="15"/>
  <c r="J89" i="15"/>
  <c r="I89" i="15"/>
  <c r="H89" i="15"/>
  <c r="P87" i="15"/>
  <c r="K87" i="15"/>
  <c r="J87" i="15"/>
  <c r="I87" i="15"/>
  <c r="H87" i="15"/>
  <c r="L87" i="15" s="1"/>
  <c r="G87" i="15"/>
  <c r="F87" i="15"/>
  <c r="E87" i="15"/>
  <c r="D87" i="15"/>
  <c r="C87" i="15"/>
  <c r="M87" i="15" s="1"/>
  <c r="B87" i="15"/>
  <c r="O86" i="15"/>
  <c r="L86" i="15"/>
  <c r="K86" i="15"/>
  <c r="J86" i="15"/>
  <c r="I86" i="15"/>
  <c r="H86" i="15"/>
  <c r="G86" i="15"/>
  <c r="F86" i="15"/>
  <c r="N86" i="15" s="1"/>
  <c r="E86" i="15"/>
  <c r="D86" i="15"/>
  <c r="D89" i="15" s="1"/>
  <c r="C86" i="15"/>
  <c r="C89" i="15" s="1"/>
  <c r="B86" i="15"/>
  <c r="B89" i="15" s="1"/>
  <c r="M85" i="15"/>
  <c r="L85" i="15"/>
  <c r="J85" i="15"/>
  <c r="I85" i="15"/>
  <c r="H85" i="15"/>
  <c r="G85" i="15"/>
  <c r="F85" i="15"/>
  <c r="E85" i="15"/>
  <c r="N85" i="15" s="1"/>
  <c r="D85" i="15"/>
  <c r="C85" i="15"/>
  <c r="B85" i="15"/>
  <c r="L84" i="15"/>
  <c r="J84" i="15"/>
  <c r="I84" i="15"/>
  <c r="H84" i="15"/>
  <c r="O84" i="15" s="1"/>
  <c r="G84" i="15"/>
  <c r="F84" i="15"/>
  <c r="E84" i="15"/>
  <c r="N84" i="15" s="1"/>
  <c r="D84" i="15"/>
  <c r="P84" i="15" s="1"/>
  <c r="C84" i="15"/>
  <c r="B84" i="15"/>
  <c r="O83" i="15"/>
  <c r="K83" i="15"/>
  <c r="J83" i="15"/>
  <c r="I83" i="15"/>
  <c r="H83" i="15"/>
  <c r="G83" i="15"/>
  <c r="F83" i="15"/>
  <c r="N83" i="15" s="1"/>
  <c r="E83" i="15"/>
  <c r="D83" i="15"/>
  <c r="C83" i="15"/>
  <c r="M83" i="15" s="1"/>
  <c r="B83" i="15"/>
  <c r="O82" i="15"/>
  <c r="J82" i="15"/>
  <c r="I82" i="15"/>
  <c r="I88" i="15" s="1"/>
  <c r="H82" i="15"/>
  <c r="G82" i="15"/>
  <c r="F82" i="15"/>
  <c r="E82" i="15"/>
  <c r="E88" i="15" s="1"/>
  <c r="D82" i="15"/>
  <c r="C82" i="15"/>
  <c r="B82" i="15"/>
  <c r="J81" i="15"/>
  <c r="I81" i="15"/>
  <c r="H81" i="15"/>
  <c r="G81" i="15"/>
  <c r="F81" i="15"/>
  <c r="M81" i="15" s="1"/>
  <c r="E81" i="15"/>
  <c r="N81" i="15" s="1"/>
  <c r="D81" i="15"/>
  <c r="C81" i="15"/>
  <c r="B81" i="15"/>
  <c r="J80" i="15"/>
  <c r="I80" i="15"/>
  <c r="H80" i="15"/>
  <c r="K80" i="15" s="1"/>
  <c r="G80" i="15"/>
  <c r="F80" i="15"/>
  <c r="E80" i="15"/>
  <c r="N80" i="15" s="1"/>
  <c r="D80" i="15"/>
  <c r="P80" i="15" s="1"/>
  <c r="C80" i="15"/>
  <c r="B80" i="15"/>
  <c r="O79" i="15"/>
  <c r="N79" i="15"/>
  <c r="K79" i="15"/>
  <c r="J79" i="15"/>
  <c r="J88" i="15" s="1"/>
  <c r="I79" i="15"/>
  <c r="H79" i="15"/>
  <c r="G79" i="15"/>
  <c r="G88" i="15" s="1"/>
  <c r="F79" i="15"/>
  <c r="L79" i="15" s="1"/>
  <c r="E79" i="15"/>
  <c r="D79" i="15"/>
  <c r="C79" i="15"/>
  <c r="B79" i="15"/>
  <c r="B88" i="15" s="1"/>
  <c r="I74" i="15"/>
  <c r="E74" i="15"/>
  <c r="B74" i="15"/>
  <c r="J73" i="15"/>
  <c r="L72" i="15"/>
  <c r="J72" i="15"/>
  <c r="I72" i="15"/>
  <c r="H72" i="15"/>
  <c r="O72" i="15" s="1"/>
  <c r="G72" i="15"/>
  <c r="F72" i="15"/>
  <c r="E72" i="15"/>
  <c r="N72" i="15" s="1"/>
  <c r="D72" i="15"/>
  <c r="D74" i="15" s="1"/>
  <c r="C72" i="15"/>
  <c r="B72" i="15"/>
  <c r="O71" i="15"/>
  <c r="K71" i="15"/>
  <c r="J71" i="15"/>
  <c r="J74" i="15" s="1"/>
  <c r="I71" i="15"/>
  <c r="H71" i="15"/>
  <c r="G71" i="15"/>
  <c r="F71" i="15"/>
  <c r="N71" i="15" s="1"/>
  <c r="E71" i="15"/>
  <c r="D71" i="15"/>
  <c r="C71" i="15"/>
  <c r="M71" i="15" s="1"/>
  <c r="B71" i="15"/>
  <c r="O70" i="15"/>
  <c r="J70" i="15"/>
  <c r="I70" i="15"/>
  <c r="H70" i="15"/>
  <c r="G70" i="15"/>
  <c r="F70" i="15"/>
  <c r="E70" i="15"/>
  <c r="N70" i="15" s="1"/>
  <c r="D70" i="15"/>
  <c r="C70" i="15"/>
  <c r="B70" i="15"/>
  <c r="J69" i="15"/>
  <c r="I69" i="15"/>
  <c r="H69" i="15"/>
  <c r="G69" i="15"/>
  <c r="F69" i="15"/>
  <c r="M69" i="15" s="1"/>
  <c r="E69" i="15"/>
  <c r="N69" i="15" s="1"/>
  <c r="D69" i="15"/>
  <c r="C69" i="15"/>
  <c r="B69" i="15"/>
  <c r="J68" i="15"/>
  <c r="I68" i="15"/>
  <c r="H68" i="15"/>
  <c r="K68" i="15" s="1"/>
  <c r="G68" i="15"/>
  <c r="F68" i="15"/>
  <c r="E68" i="15"/>
  <c r="N68" i="15" s="1"/>
  <c r="D68" i="15"/>
  <c r="P68" i="15" s="1"/>
  <c r="C68" i="15"/>
  <c r="B68" i="15"/>
  <c r="O67" i="15"/>
  <c r="N67" i="15"/>
  <c r="K67" i="15"/>
  <c r="J67" i="15"/>
  <c r="I67" i="15"/>
  <c r="H67" i="15"/>
  <c r="G67" i="15"/>
  <c r="F67" i="15"/>
  <c r="L67" i="15" s="1"/>
  <c r="E67" i="15"/>
  <c r="D67" i="15"/>
  <c r="C67" i="15"/>
  <c r="B67" i="15"/>
  <c r="K66" i="15"/>
  <c r="J66" i="15"/>
  <c r="I66" i="15"/>
  <c r="H66" i="15"/>
  <c r="G66" i="15"/>
  <c r="F66" i="15"/>
  <c r="P66" i="15" s="1"/>
  <c r="E66" i="15"/>
  <c r="L66" i="15" s="1"/>
  <c r="D66" i="15"/>
  <c r="C66" i="15"/>
  <c r="O66" i="15" s="1"/>
  <c r="B66" i="15"/>
  <c r="P65" i="15"/>
  <c r="J65" i="15"/>
  <c r="I65" i="15"/>
  <c r="H65" i="15"/>
  <c r="M65" i="15" s="1"/>
  <c r="G65" i="15"/>
  <c r="F65" i="15"/>
  <c r="E65" i="15"/>
  <c r="N65" i="15" s="1"/>
  <c r="D65" i="15"/>
  <c r="C65" i="15"/>
  <c r="B65" i="15"/>
  <c r="B73" i="15" s="1"/>
  <c r="P64" i="15"/>
  <c r="L64" i="15"/>
  <c r="K64" i="15"/>
  <c r="J64" i="15"/>
  <c r="I64" i="15"/>
  <c r="I73" i="15" s="1"/>
  <c r="H64" i="15"/>
  <c r="H73" i="15" s="1"/>
  <c r="G64" i="15"/>
  <c r="F64" i="15"/>
  <c r="F73" i="15" s="1"/>
  <c r="E64" i="15"/>
  <c r="D64" i="15"/>
  <c r="C64" i="15"/>
  <c r="B64" i="15"/>
  <c r="J59" i="15"/>
  <c r="G59" i="15"/>
  <c r="F59" i="15"/>
  <c r="P59" i="15" s="1"/>
  <c r="B59" i="15"/>
  <c r="J57" i="15"/>
  <c r="I57" i="15"/>
  <c r="I59" i="15" s="1"/>
  <c r="H57" i="15"/>
  <c r="G57" i="15"/>
  <c r="F57" i="15"/>
  <c r="M57" i="15" s="1"/>
  <c r="E57" i="15"/>
  <c r="N57" i="15" s="1"/>
  <c r="D57" i="15"/>
  <c r="C57" i="15"/>
  <c r="B57" i="15"/>
  <c r="J56" i="15"/>
  <c r="I56" i="15"/>
  <c r="H56" i="15"/>
  <c r="K56" i="15" s="1"/>
  <c r="G56" i="15"/>
  <c r="F56" i="15"/>
  <c r="E56" i="15"/>
  <c r="D56" i="15"/>
  <c r="D59" i="15" s="1"/>
  <c r="C56" i="15"/>
  <c r="C59" i="15" s="1"/>
  <c r="B56" i="15"/>
  <c r="O55" i="15"/>
  <c r="N55" i="15"/>
  <c r="K55" i="15"/>
  <c r="J55" i="15"/>
  <c r="I55" i="15"/>
  <c r="H55" i="15"/>
  <c r="G55" i="15"/>
  <c r="F55" i="15"/>
  <c r="L55" i="15" s="1"/>
  <c r="E55" i="15"/>
  <c r="D55" i="15"/>
  <c r="C55" i="15"/>
  <c r="B55" i="15"/>
  <c r="K54" i="15"/>
  <c r="J54" i="15"/>
  <c r="J58" i="15" s="1"/>
  <c r="I54" i="15"/>
  <c r="H54" i="15"/>
  <c r="G54" i="15"/>
  <c r="F54" i="15"/>
  <c r="E54" i="15"/>
  <c r="D54" i="15"/>
  <c r="C54" i="15"/>
  <c r="O54" i="15" s="1"/>
  <c r="B54" i="15"/>
  <c r="L53" i="15"/>
  <c r="K53" i="15"/>
  <c r="J53" i="15"/>
  <c r="I53" i="15"/>
  <c r="H53" i="15"/>
  <c r="G53" i="15"/>
  <c r="F53" i="15"/>
  <c r="E53" i="15"/>
  <c r="D53" i="15"/>
  <c r="P53" i="15" s="1"/>
  <c r="C53" i="15"/>
  <c r="M53" i="15" s="1"/>
  <c r="B53" i="15"/>
  <c r="L52" i="15"/>
  <c r="J52" i="15"/>
  <c r="I52" i="15"/>
  <c r="H52" i="15"/>
  <c r="O52" i="15" s="1"/>
  <c r="G52" i="15"/>
  <c r="F52" i="15"/>
  <c r="E52" i="15"/>
  <c r="N52" i="15" s="1"/>
  <c r="D52" i="15"/>
  <c r="P52" i="15" s="1"/>
  <c r="C52" i="15"/>
  <c r="B52" i="15"/>
  <c r="O51" i="15"/>
  <c r="K51" i="15"/>
  <c r="J51" i="15"/>
  <c r="I51" i="15"/>
  <c r="H51" i="15"/>
  <c r="G51" i="15"/>
  <c r="F51" i="15"/>
  <c r="N51" i="15" s="1"/>
  <c r="E51" i="15"/>
  <c r="D51" i="15"/>
  <c r="C51" i="15"/>
  <c r="M51" i="15" s="1"/>
  <c r="B51" i="15"/>
  <c r="P50" i="15"/>
  <c r="K50" i="15"/>
  <c r="J50" i="15"/>
  <c r="I50" i="15"/>
  <c r="H50" i="15"/>
  <c r="L50" i="15" s="1"/>
  <c r="G50" i="15"/>
  <c r="G58" i="15" s="1"/>
  <c r="F50" i="15"/>
  <c r="E50" i="15"/>
  <c r="N50" i="15" s="1"/>
  <c r="D50" i="15"/>
  <c r="C50" i="15"/>
  <c r="M50" i="15" s="1"/>
  <c r="B50" i="15"/>
  <c r="P49" i="15"/>
  <c r="O49" i="15"/>
  <c r="J49" i="15"/>
  <c r="I49" i="15"/>
  <c r="I58" i="15" s="1"/>
  <c r="H49" i="15"/>
  <c r="M49" i="15" s="1"/>
  <c r="G49" i="15"/>
  <c r="F49" i="15"/>
  <c r="F58" i="15" s="1"/>
  <c r="E49" i="15"/>
  <c r="N49" i="15" s="1"/>
  <c r="D49" i="15"/>
  <c r="C49" i="15"/>
  <c r="B49" i="15"/>
  <c r="B58" i="15" s="1"/>
  <c r="G44" i="15"/>
  <c r="E44" i="15"/>
  <c r="C44" i="15"/>
  <c r="K42" i="15"/>
  <c r="J42" i="15"/>
  <c r="I42" i="15"/>
  <c r="H42" i="15"/>
  <c r="G42" i="15"/>
  <c r="F42" i="15"/>
  <c r="E42" i="15"/>
  <c r="L42" i="15" s="1"/>
  <c r="D42" i="15"/>
  <c r="C42" i="15"/>
  <c r="O42" i="15" s="1"/>
  <c r="B42" i="15"/>
  <c r="J41" i="15"/>
  <c r="I41" i="15"/>
  <c r="I44" i="15" s="1"/>
  <c r="H41" i="15"/>
  <c r="O41" i="15" s="1"/>
  <c r="G41" i="15"/>
  <c r="F41" i="15"/>
  <c r="F44" i="15" s="1"/>
  <c r="E41" i="15"/>
  <c r="D41" i="15"/>
  <c r="D44" i="15" s="1"/>
  <c r="C41" i="15"/>
  <c r="B41" i="15"/>
  <c r="P40" i="15"/>
  <c r="O40" i="15"/>
  <c r="K40" i="15"/>
  <c r="J40" i="15"/>
  <c r="I40" i="15"/>
  <c r="H40" i="15"/>
  <c r="L40" i="15" s="1"/>
  <c r="G40" i="15"/>
  <c r="F40" i="15"/>
  <c r="E40" i="15"/>
  <c r="N40" i="15" s="1"/>
  <c r="D40" i="15"/>
  <c r="C40" i="15"/>
  <c r="M40" i="15" s="1"/>
  <c r="B40" i="15"/>
  <c r="O39" i="15"/>
  <c r="K39" i="15"/>
  <c r="J39" i="15"/>
  <c r="I39" i="15"/>
  <c r="H39" i="15"/>
  <c r="G39" i="15"/>
  <c r="F39" i="15"/>
  <c r="L39" i="15" s="1"/>
  <c r="E39" i="15"/>
  <c r="D39" i="15"/>
  <c r="C39" i="15"/>
  <c r="M39" i="15" s="1"/>
  <c r="B39" i="15"/>
  <c r="K38" i="15"/>
  <c r="J38" i="15"/>
  <c r="I38" i="15"/>
  <c r="H38" i="15"/>
  <c r="O38" i="15" s="1"/>
  <c r="G38" i="15"/>
  <c r="F38" i="15"/>
  <c r="P38" i="15" s="1"/>
  <c r="E38" i="15"/>
  <c r="L38" i="15" s="1"/>
  <c r="D38" i="15"/>
  <c r="C38" i="15"/>
  <c r="M38" i="15" s="1"/>
  <c r="B38" i="15"/>
  <c r="L37" i="15"/>
  <c r="J37" i="15"/>
  <c r="I37" i="15"/>
  <c r="H37" i="15"/>
  <c r="K37" i="15" s="1"/>
  <c r="G37" i="15"/>
  <c r="F37" i="15"/>
  <c r="E37" i="15"/>
  <c r="N37" i="15" s="1"/>
  <c r="D37" i="15"/>
  <c r="P37" i="15" s="1"/>
  <c r="C37" i="15"/>
  <c r="B37" i="15"/>
  <c r="L36" i="15"/>
  <c r="K36" i="15"/>
  <c r="J36" i="15"/>
  <c r="I36" i="15"/>
  <c r="H36" i="15"/>
  <c r="G36" i="15"/>
  <c r="F36" i="15"/>
  <c r="N36" i="15" s="1"/>
  <c r="E36" i="15"/>
  <c r="D36" i="15"/>
  <c r="P36" i="15" s="1"/>
  <c r="C36" i="15"/>
  <c r="O36" i="15" s="1"/>
  <c r="B36" i="15"/>
  <c r="P35" i="15"/>
  <c r="J35" i="15"/>
  <c r="I35" i="15"/>
  <c r="H35" i="15"/>
  <c r="O35" i="15" s="1"/>
  <c r="G35" i="15"/>
  <c r="F35" i="15"/>
  <c r="N35" i="15" s="1"/>
  <c r="E35" i="15"/>
  <c r="D35" i="15"/>
  <c r="C35" i="15"/>
  <c r="M35" i="15" s="1"/>
  <c r="B35" i="15"/>
  <c r="B43" i="15" s="1"/>
  <c r="O34" i="15"/>
  <c r="J34" i="15"/>
  <c r="J43" i="15" s="1"/>
  <c r="I34" i="15"/>
  <c r="H34" i="15"/>
  <c r="L34" i="15" s="1"/>
  <c r="G34" i="15"/>
  <c r="G43" i="15" s="1"/>
  <c r="F34" i="15"/>
  <c r="P34" i="15" s="1"/>
  <c r="E34" i="15"/>
  <c r="N34" i="15" s="1"/>
  <c r="D34" i="15"/>
  <c r="C34" i="15"/>
  <c r="C43" i="15" s="1"/>
  <c r="B34" i="15"/>
  <c r="H29" i="15"/>
  <c r="F29" i="15"/>
  <c r="O27" i="15"/>
  <c r="L27" i="15"/>
  <c r="K27" i="15"/>
  <c r="J27" i="15"/>
  <c r="I27" i="15"/>
  <c r="H27" i="15"/>
  <c r="G27" i="15"/>
  <c r="G29" i="15" s="1"/>
  <c r="F27" i="15"/>
  <c r="P27" i="15" s="1"/>
  <c r="E27" i="15"/>
  <c r="D27" i="15"/>
  <c r="D29" i="15" s="1"/>
  <c r="C27" i="15"/>
  <c r="M27" i="15" s="1"/>
  <c r="B27" i="15"/>
  <c r="K26" i="15"/>
  <c r="J26" i="15"/>
  <c r="J29" i="15" s="1"/>
  <c r="I26" i="15"/>
  <c r="I29" i="15" s="1"/>
  <c r="H26" i="15"/>
  <c r="O26" i="15" s="1"/>
  <c r="G26" i="15"/>
  <c r="F26" i="15"/>
  <c r="P26" i="15" s="1"/>
  <c r="E26" i="15"/>
  <c r="L26" i="15" s="1"/>
  <c r="D26" i="15"/>
  <c r="C26" i="15"/>
  <c r="C29" i="15" s="1"/>
  <c r="B26" i="15"/>
  <c r="B29" i="15" s="1"/>
  <c r="L25" i="15"/>
  <c r="J25" i="15"/>
  <c r="I25" i="15"/>
  <c r="H25" i="15"/>
  <c r="K25" i="15" s="1"/>
  <c r="G25" i="15"/>
  <c r="F25" i="15"/>
  <c r="E25" i="15"/>
  <c r="N25" i="15" s="1"/>
  <c r="D25" i="15"/>
  <c r="P25" i="15" s="1"/>
  <c r="C25" i="15"/>
  <c r="B25" i="15"/>
  <c r="L24" i="15"/>
  <c r="K24" i="15"/>
  <c r="J24" i="15"/>
  <c r="I24" i="15"/>
  <c r="H24" i="15"/>
  <c r="G24" i="15"/>
  <c r="F24" i="15"/>
  <c r="N24" i="15" s="1"/>
  <c r="E24" i="15"/>
  <c r="D24" i="15"/>
  <c r="P24" i="15" s="1"/>
  <c r="C24" i="15"/>
  <c r="O24" i="15" s="1"/>
  <c r="B24" i="15"/>
  <c r="P23" i="15"/>
  <c r="J23" i="15"/>
  <c r="I23" i="15"/>
  <c r="H23" i="15"/>
  <c r="O23" i="15" s="1"/>
  <c r="G23" i="15"/>
  <c r="F23" i="15"/>
  <c r="N23" i="15" s="1"/>
  <c r="E23" i="15"/>
  <c r="D23" i="15"/>
  <c r="C23" i="15"/>
  <c r="M23" i="15" s="1"/>
  <c r="B23" i="15"/>
  <c r="O22" i="15"/>
  <c r="J22" i="15"/>
  <c r="I22" i="15"/>
  <c r="H22" i="15"/>
  <c r="L22" i="15" s="1"/>
  <c r="G22" i="15"/>
  <c r="F22" i="15"/>
  <c r="P22" i="15" s="1"/>
  <c r="E22" i="15"/>
  <c r="N22" i="15" s="1"/>
  <c r="D22" i="15"/>
  <c r="C22" i="15"/>
  <c r="B22" i="15"/>
  <c r="J21" i="15"/>
  <c r="I21" i="15"/>
  <c r="H21" i="15"/>
  <c r="O21" i="15" s="1"/>
  <c r="G21" i="15"/>
  <c r="F21" i="15"/>
  <c r="N21" i="15" s="1"/>
  <c r="E21" i="15"/>
  <c r="D21" i="15"/>
  <c r="C21" i="15"/>
  <c r="B21" i="15"/>
  <c r="P20" i="15"/>
  <c r="O20" i="15"/>
  <c r="K20" i="15"/>
  <c r="J20" i="15"/>
  <c r="I20" i="15"/>
  <c r="H20" i="15"/>
  <c r="L20" i="15" s="1"/>
  <c r="G20" i="15"/>
  <c r="G28" i="15" s="1"/>
  <c r="F20" i="15"/>
  <c r="E20" i="15"/>
  <c r="N20" i="15" s="1"/>
  <c r="D20" i="15"/>
  <c r="C20" i="15"/>
  <c r="C28" i="15" s="1"/>
  <c r="B20" i="15"/>
  <c r="O19" i="15"/>
  <c r="L19" i="15"/>
  <c r="K19" i="15"/>
  <c r="J19" i="15"/>
  <c r="J28" i="15" s="1"/>
  <c r="I19" i="15"/>
  <c r="I28" i="15" s="1"/>
  <c r="H19" i="15"/>
  <c r="G19" i="15"/>
  <c r="F19" i="15"/>
  <c r="F28" i="15" s="1"/>
  <c r="P28" i="15" s="1"/>
  <c r="E19" i="15"/>
  <c r="D19" i="15"/>
  <c r="D28" i="15" s="1"/>
  <c r="C19" i="15"/>
  <c r="M19" i="15" s="1"/>
  <c r="B19" i="15"/>
  <c r="B28" i="15" s="1"/>
  <c r="E14" i="15"/>
  <c r="C14" i="15"/>
  <c r="L12" i="15"/>
  <c r="K12" i="15"/>
  <c r="J12" i="15"/>
  <c r="I12" i="15"/>
  <c r="I14" i="15" s="1"/>
  <c r="H12" i="15"/>
  <c r="G12" i="15"/>
  <c r="F12" i="15"/>
  <c r="N12" i="15" s="1"/>
  <c r="E12" i="15"/>
  <c r="D12" i="15"/>
  <c r="D14" i="15" s="1"/>
  <c r="C12" i="15"/>
  <c r="O12" i="15" s="1"/>
  <c r="B12" i="15"/>
  <c r="P11" i="15"/>
  <c r="J11" i="15"/>
  <c r="J14" i="15" s="1"/>
  <c r="I11" i="15"/>
  <c r="H11" i="15"/>
  <c r="O11" i="15" s="1"/>
  <c r="G11" i="15"/>
  <c r="G14" i="15" s="1"/>
  <c r="F11" i="15"/>
  <c r="N11" i="15" s="1"/>
  <c r="E11" i="15"/>
  <c r="D11" i="15"/>
  <c r="C11" i="15"/>
  <c r="M11" i="15" s="1"/>
  <c r="B11" i="15"/>
  <c r="B14" i="15" s="1"/>
  <c r="O10" i="15"/>
  <c r="J10" i="15"/>
  <c r="I10" i="15"/>
  <c r="H10" i="15"/>
  <c r="L10" i="15" s="1"/>
  <c r="G10" i="15"/>
  <c r="F10" i="15"/>
  <c r="P10" i="15" s="1"/>
  <c r="E10" i="15"/>
  <c r="N10" i="15" s="1"/>
  <c r="D10" i="15"/>
  <c r="C10" i="15"/>
  <c r="B10" i="15"/>
  <c r="J9" i="15"/>
  <c r="I9" i="15"/>
  <c r="H9" i="15"/>
  <c r="O9" i="15" s="1"/>
  <c r="G9" i="15"/>
  <c r="F9" i="15"/>
  <c r="N9" i="15" s="1"/>
  <c r="E9" i="15"/>
  <c r="D9" i="15"/>
  <c r="C9" i="15"/>
  <c r="B9" i="15"/>
  <c r="P8" i="15"/>
  <c r="J8" i="15"/>
  <c r="I8" i="15"/>
  <c r="H8" i="15"/>
  <c r="L8" i="15" s="1"/>
  <c r="G8" i="15"/>
  <c r="F8" i="15"/>
  <c r="E8" i="15"/>
  <c r="N8" i="15" s="1"/>
  <c r="D8" i="15"/>
  <c r="C8" i="15"/>
  <c r="B8" i="15"/>
  <c r="O7" i="15"/>
  <c r="L7" i="15"/>
  <c r="K7" i="15"/>
  <c r="J7" i="15"/>
  <c r="I7" i="15"/>
  <c r="H7" i="15"/>
  <c r="G7" i="15"/>
  <c r="F7" i="15"/>
  <c r="P7" i="15" s="1"/>
  <c r="E7" i="15"/>
  <c r="D7" i="15"/>
  <c r="C7" i="15"/>
  <c r="M7" i="15" s="1"/>
  <c r="B7" i="15"/>
  <c r="K6" i="15"/>
  <c r="J6" i="15"/>
  <c r="I6" i="15"/>
  <c r="H6" i="15"/>
  <c r="O6" i="15" s="1"/>
  <c r="G6" i="15"/>
  <c r="F6" i="15"/>
  <c r="P6" i="15" s="1"/>
  <c r="E6" i="15"/>
  <c r="L6" i="15" s="1"/>
  <c r="D6" i="15"/>
  <c r="C6" i="15"/>
  <c r="M6" i="15" s="1"/>
  <c r="B6" i="15"/>
  <c r="J5" i="15"/>
  <c r="J13" i="15" s="1"/>
  <c r="I5" i="15"/>
  <c r="H5" i="15"/>
  <c r="K5" i="15" s="1"/>
  <c r="G5" i="15"/>
  <c r="F5" i="15"/>
  <c r="E5" i="15"/>
  <c r="N5" i="15" s="1"/>
  <c r="D5" i="15"/>
  <c r="P5" i="15" s="1"/>
  <c r="C5" i="15"/>
  <c r="B5" i="15"/>
  <c r="B13" i="15" s="1"/>
  <c r="L4" i="15"/>
  <c r="K4" i="15"/>
  <c r="J4" i="15"/>
  <c r="I4" i="15"/>
  <c r="I13" i="15" s="1"/>
  <c r="H4" i="15"/>
  <c r="G4" i="15"/>
  <c r="G13" i="15" s="1"/>
  <c r="F4" i="15"/>
  <c r="N4" i="15" s="1"/>
  <c r="E4" i="15"/>
  <c r="D4" i="15"/>
  <c r="P4" i="15" s="1"/>
  <c r="C4" i="15"/>
  <c r="C13" i="15" s="1"/>
  <c r="B4" i="15"/>
  <c r="H467" i="14"/>
  <c r="G467" i="14"/>
  <c r="F467" i="14"/>
  <c r="E467" i="14"/>
  <c r="D467" i="14"/>
  <c r="C467" i="14"/>
  <c r="B467" i="14"/>
  <c r="I466" i="14"/>
  <c r="H466" i="14"/>
  <c r="G466" i="14"/>
  <c r="F466" i="14"/>
  <c r="E466" i="14"/>
  <c r="D466" i="14"/>
  <c r="C466" i="14"/>
  <c r="B466" i="14"/>
  <c r="I465" i="14"/>
  <c r="H465" i="14"/>
  <c r="G465" i="14"/>
  <c r="F465" i="14"/>
  <c r="E465" i="14"/>
  <c r="D465" i="14"/>
  <c r="C465" i="14"/>
  <c r="B465" i="14"/>
  <c r="I464" i="14"/>
  <c r="H464" i="14"/>
  <c r="G464" i="14"/>
  <c r="F464" i="14"/>
  <c r="E464" i="14"/>
  <c r="D464" i="14"/>
  <c r="C464" i="14"/>
  <c r="B464" i="14"/>
  <c r="I463" i="14"/>
  <c r="H463" i="14"/>
  <c r="G463" i="14"/>
  <c r="F463" i="14"/>
  <c r="E463" i="14"/>
  <c r="D463" i="14"/>
  <c r="C463" i="14"/>
  <c r="B463" i="14"/>
  <c r="I462" i="14"/>
  <c r="H462" i="14"/>
  <c r="G462" i="14"/>
  <c r="F462" i="14"/>
  <c r="E462" i="14"/>
  <c r="D462" i="14"/>
  <c r="C462" i="14"/>
  <c r="B462" i="14"/>
  <c r="I461" i="14"/>
  <c r="H461" i="14"/>
  <c r="G461" i="14"/>
  <c r="F461" i="14"/>
  <c r="E461" i="14"/>
  <c r="D461" i="14"/>
  <c r="C461" i="14"/>
  <c r="B461" i="14"/>
  <c r="I460" i="14"/>
  <c r="H460" i="14"/>
  <c r="G460" i="14"/>
  <c r="F460" i="14"/>
  <c r="E460" i="14"/>
  <c r="D460" i="14"/>
  <c r="C460" i="14"/>
  <c r="B460" i="14"/>
  <c r="I459" i="14"/>
  <c r="H459" i="14"/>
  <c r="G459" i="14"/>
  <c r="F459" i="14"/>
  <c r="E459" i="14"/>
  <c r="D459" i="14"/>
  <c r="C459" i="14"/>
  <c r="B459" i="14"/>
  <c r="I458" i="14"/>
  <c r="H458" i="14"/>
  <c r="G458" i="14"/>
  <c r="F458" i="14"/>
  <c r="E458" i="14"/>
  <c r="D458" i="14"/>
  <c r="C458" i="14"/>
  <c r="B458" i="14"/>
  <c r="I457" i="14"/>
  <c r="H457" i="14"/>
  <c r="G457" i="14"/>
  <c r="F457" i="14"/>
  <c r="E457" i="14"/>
  <c r="D457" i="14"/>
  <c r="C457" i="14"/>
  <c r="B457" i="14"/>
  <c r="I456" i="14"/>
  <c r="H456" i="14"/>
  <c r="G456" i="14"/>
  <c r="F456" i="14"/>
  <c r="E456" i="14"/>
  <c r="D456" i="14"/>
  <c r="C456" i="14"/>
  <c r="B456" i="14"/>
  <c r="I455" i="14"/>
  <c r="H455" i="14"/>
  <c r="G455" i="14"/>
  <c r="F455" i="14"/>
  <c r="E455" i="14"/>
  <c r="D455" i="14"/>
  <c r="C455" i="14"/>
  <c r="B455" i="14"/>
  <c r="I454" i="14"/>
  <c r="H454" i="14"/>
  <c r="G454" i="14"/>
  <c r="F454" i="14"/>
  <c r="E454" i="14"/>
  <c r="D454" i="14"/>
  <c r="C454" i="14"/>
  <c r="B454" i="14"/>
  <c r="I453" i="14"/>
  <c r="H453" i="14"/>
  <c r="G453" i="14"/>
  <c r="F453" i="14"/>
  <c r="E453" i="14"/>
  <c r="D453" i="14"/>
  <c r="C453" i="14"/>
  <c r="B453" i="14"/>
  <c r="I452" i="14"/>
  <c r="H452" i="14"/>
  <c r="G452" i="14"/>
  <c r="F452" i="14"/>
  <c r="E452" i="14"/>
  <c r="D452" i="14"/>
  <c r="C452" i="14"/>
  <c r="B452" i="14"/>
  <c r="I451" i="14"/>
  <c r="H451" i="14"/>
  <c r="G451" i="14"/>
  <c r="F451" i="14"/>
  <c r="E451" i="14"/>
  <c r="D451" i="14"/>
  <c r="C451" i="14"/>
  <c r="B451" i="14"/>
  <c r="I450" i="14"/>
  <c r="H450" i="14"/>
  <c r="G450" i="14"/>
  <c r="F450" i="14"/>
  <c r="E450" i="14"/>
  <c r="D450" i="14"/>
  <c r="C450" i="14"/>
  <c r="B450" i="14"/>
  <c r="I449" i="14"/>
  <c r="H449" i="14"/>
  <c r="G449" i="14"/>
  <c r="F449" i="14"/>
  <c r="E449" i="14"/>
  <c r="D449" i="14"/>
  <c r="C449" i="14"/>
  <c r="B449" i="14"/>
  <c r="I448" i="14"/>
  <c r="H448" i="14"/>
  <c r="G448" i="14"/>
  <c r="F448" i="14"/>
  <c r="E448" i="14"/>
  <c r="D448" i="14"/>
  <c r="C448" i="14"/>
  <c r="B448" i="14"/>
  <c r="I447" i="14"/>
  <c r="H447" i="14"/>
  <c r="G447" i="14"/>
  <c r="F447" i="14"/>
  <c r="E447" i="14"/>
  <c r="D447" i="14"/>
  <c r="C447" i="14"/>
  <c r="B447" i="14"/>
  <c r="I446" i="14"/>
  <c r="H446" i="14"/>
  <c r="G446" i="14"/>
  <c r="F446" i="14"/>
  <c r="E446" i="14"/>
  <c r="D446" i="14"/>
  <c r="C446" i="14"/>
  <c r="B446" i="14"/>
  <c r="I445" i="14"/>
  <c r="H445" i="14"/>
  <c r="G445" i="14"/>
  <c r="F445" i="14"/>
  <c r="E445" i="14"/>
  <c r="D445" i="14"/>
  <c r="C445" i="14"/>
  <c r="B445" i="14"/>
  <c r="I444" i="14"/>
  <c r="H444" i="14"/>
  <c r="G444" i="14"/>
  <c r="F444" i="14"/>
  <c r="E444" i="14"/>
  <c r="D444" i="14"/>
  <c r="C444" i="14"/>
  <c r="B444" i="14"/>
  <c r="I443" i="14"/>
  <c r="H443" i="14"/>
  <c r="G443" i="14"/>
  <c r="F443" i="14"/>
  <c r="E443" i="14"/>
  <c r="D443" i="14"/>
  <c r="C443" i="14"/>
  <c r="B443" i="14"/>
  <c r="I442" i="14"/>
  <c r="H442" i="14"/>
  <c r="G442" i="14"/>
  <c r="F442" i="14"/>
  <c r="E442" i="14"/>
  <c r="D442" i="14"/>
  <c r="C442" i="14"/>
  <c r="B442" i="14"/>
  <c r="I441" i="14"/>
  <c r="H441" i="14"/>
  <c r="G441" i="14"/>
  <c r="F441" i="14"/>
  <c r="E441" i="14"/>
  <c r="D441" i="14"/>
  <c r="C441" i="14"/>
  <c r="B441" i="14"/>
  <c r="I440" i="14"/>
  <c r="H440" i="14"/>
  <c r="G440" i="14"/>
  <c r="F440" i="14"/>
  <c r="E440" i="14"/>
  <c r="D440" i="14"/>
  <c r="C440" i="14"/>
  <c r="B440" i="14"/>
  <c r="I439" i="14"/>
  <c r="H439" i="14"/>
  <c r="G439" i="14"/>
  <c r="F439" i="14"/>
  <c r="E439" i="14"/>
  <c r="D439" i="14"/>
  <c r="C439" i="14"/>
  <c r="B439" i="14"/>
  <c r="I438" i="14"/>
  <c r="H438" i="14"/>
  <c r="G438" i="14"/>
  <c r="F438" i="14"/>
  <c r="E438" i="14"/>
  <c r="D438" i="14"/>
  <c r="C438" i="14"/>
  <c r="B438" i="14"/>
  <c r="I437" i="14"/>
  <c r="H437" i="14"/>
  <c r="G437" i="14"/>
  <c r="F437" i="14"/>
  <c r="E437" i="14"/>
  <c r="D437" i="14"/>
  <c r="C437" i="14"/>
  <c r="B437" i="14"/>
  <c r="I436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I426" i="14"/>
  <c r="H426" i="14"/>
  <c r="G426" i="14"/>
  <c r="F426" i="14"/>
  <c r="E426" i="14"/>
  <c r="D426" i="14"/>
  <c r="C426" i="14"/>
  <c r="B426" i="14"/>
  <c r="I425" i="14"/>
  <c r="H425" i="14"/>
  <c r="G425" i="14"/>
  <c r="F425" i="14"/>
  <c r="E425" i="14"/>
  <c r="D425" i="14"/>
  <c r="C425" i="14"/>
  <c r="B425" i="14"/>
  <c r="I424" i="14"/>
  <c r="H424" i="14"/>
  <c r="G424" i="14"/>
  <c r="F424" i="14"/>
  <c r="E424" i="14"/>
  <c r="D424" i="14"/>
  <c r="C424" i="14"/>
  <c r="B424" i="14"/>
  <c r="I423" i="14"/>
  <c r="H423" i="14"/>
  <c r="G423" i="14"/>
  <c r="F423" i="14"/>
  <c r="E423" i="14"/>
  <c r="D423" i="14"/>
  <c r="C423" i="14"/>
  <c r="B423" i="14"/>
  <c r="I422" i="14"/>
  <c r="H422" i="14"/>
  <c r="G422" i="14"/>
  <c r="F422" i="14"/>
  <c r="E422" i="14"/>
  <c r="D422" i="14"/>
  <c r="C422" i="14"/>
  <c r="B422" i="14"/>
  <c r="I421" i="14"/>
  <c r="H421" i="14"/>
  <c r="G421" i="14"/>
  <c r="F421" i="14"/>
  <c r="E421" i="14"/>
  <c r="D421" i="14"/>
  <c r="C421" i="14"/>
  <c r="B421" i="14"/>
  <c r="I420" i="14"/>
  <c r="H420" i="14"/>
  <c r="G420" i="14"/>
  <c r="F420" i="14"/>
  <c r="E420" i="14"/>
  <c r="D420" i="14"/>
  <c r="C420" i="14"/>
  <c r="B420" i="14"/>
  <c r="I419" i="14"/>
  <c r="H419" i="14"/>
  <c r="G419" i="14"/>
  <c r="F419" i="14"/>
  <c r="E419" i="14"/>
  <c r="D419" i="14"/>
  <c r="C419" i="14"/>
  <c r="B419" i="14"/>
  <c r="I418" i="14"/>
  <c r="H418" i="14"/>
  <c r="G418" i="14"/>
  <c r="F418" i="14"/>
  <c r="E418" i="14"/>
  <c r="D418" i="14"/>
  <c r="C418" i="14"/>
  <c r="B418" i="14"/>
  <c r="I417" i="14"/>
  <c r="H417" i="14"/>
  <c r="G417" i="14"/>
  <c r="F417" i="14"/>
  <c r="E417" i="14"/>
  <c r="D417" i="14"/>
  <c r="C417" i="14"/>
  <c r="B417" i="14"/>
  <c r="I416" i="14"/>
  <c r="H416" i="14"/>
  <c r="G416" i="14"/>
  <c r="F416" i="14"/>
  <c r="E416" i="14"/>
  <c r="D416" i="14"/>
  <c r="C416" i="14"/>
  <c r="B416" i="14"/>
  <c r="I415" i="14"/>
  <c r="H415" i="14"/>
  <c r="G415" i="14"/>
  <c r="F415" i="14"/>
  <c r="E415" i="14"/>
  <c r="D415" i="14"/>
  <c r="C415" i="14"/>
  <c r="B415" i="14"/>
  <c r="I414" i="14"/>
  <c r="H414" i="14"/>
  <c r="G414" i="14"/>
  <c r="F414" i="14"/>
  <c r="E414" i="14"/>
  <c r="D414" i="14"/>
  <c r="C414" i="14"/>
  <c r="B414" i="14"/>
  <c r="I413" i="14"/>
  <c r="H413" i="14"/>
  <c r="G413" i="14"/>
  <c r="F413" i="14"/>
  <c r="E413" i="14"/>
  <c r="D413" i="14"/>
  <c r="C413" i="14"/>
  <c r="B413" i="14"/>
  <c r="I412" i="14"/>
  <c r="H412" i="14"/>
  <c r="G412" i="14"/>
  <c r="F412" i="14"/>
  <c r="E412" i="14"/>
  <c r="D412" i="14"/>
  <c r="C412" i="14"/>
  <c r="B412" i="14"/>
  <c r="I411" i="14"/>
  <c r="H411" i="14"/>
  <c r="G411" i="14"/>
  <c r="F411" i="14"/>
  <c r="E411" i="14"/>
  <c r="D411" i="14"/>
  <c r="C411" i="14"/>
  <c r="B411" i="14"/>
  <c r="I410" i="14"/>
  <c r="H410" i="14"/>
  <c r="G410" i="14"/>
  <c r="F410" i="14"/>
  <c r="E410" i="14"/>
  <c r="D410" i="14"/>
  <c r="C410" i="14"/>
  <c r="B410" i="14"/>
  <c r="I409" i="14"/>
  <c r="H409" i="14"/>
  <c r="G409" i="14"/>
  <c r="F409" i="14"/>
  <c r="E409" i="14"/>
  <c r="D409" i="14"/>
  <c r="C409" i="14"/>
  <c r="B409" i="14"/>
  <c r="I408" i="14"/>
  <c r="H408" i="14"/>
  <c r="G408" i="14"/>
  <c r="F408" i="14"/>
  <c r="E408" i="14"/>
  <c r="D408" i="14"/>
  <c r="C408" i="14"/>
  <c r="B408" i="14"/>
  <c r="I407" i="14"/>
  <c r="H407" i="14"/>
  <c r="G407" i="14"/>
  <c r="F407" i="14"/>
  <c r="E407" i="14"/>
  <c r="D407" i="14"/>
  <c r="C407" i="14"/>
  <c r="B407" i="14"/>
  <c r="I406" i="14"/>
  <c r="H406" i="14"/>
  <c r="G406" i="14"/>
  <c r="F406" i="14"/>
  <c r="E406" i="14"/>
  <c r="D406" i="14"/>
  <c r="C406" i="14"/>
  <c r="B406" i="14"/>
  <c r="I405" i="14"/>
  <c r="H405" i="14"/>
  <c r="G405" i="14"/>
  <c r="F405" i="14"/>
  <c r="E405" i="14"/>
  <c r="D405" i="14"/>
  <c r="C405" i="14"/>
  <c r="B405" i="14"/>
  <c r="I404" i="14"/>
  <c r="H404" i="14"/>
  <c r="G404" i="14"/>
  <c r="F404" i="14"/>
  <c r="E404" i="14"/>
  <c r="D404" i="14"/>
  <c r="C404" i="14"/>
  <c r="B404" i="14"/>
  <c r="I403" i="14"/>
  <c r="H403" i="14"/>
  <c r="G403" i="14"/>
  <c r="F403" i="14"/>
  <c r="E403" i="14"/>
  <c r="D403" i="14"/>
  <c r="C403" i="14"/>
  <c r="B403" i="14"/>
  <c r="I402" i="14"/>
  <c r="H402" i="14"/>
  <c r="G402" i="14"/>
  <c r="F402" i="14"/>
  <c r="E402" i="14"/>
  <c r="D402" i="14"/>
  <c r="C402" i="14"/>
  <c r="B402" i="14"/>
  <c r="I401" i="14"/>
  <c r="H401" i="14"/>
  <c r="G401" i="14"/>
  <c r="F401" i="14"/>
  <c r="E401" i="14"/>
  <c r="D401" i="14"/>
  <c r="C401" i="14"/>
  <c r="B401" i="14"/>
  <c r="I400" i="14"/>
  <c r="H400" i="14"/>
  <c r="G400" i="14"/>
  <c r="F400" i="14"/>
  <c r="E400" i="14"/>
  <c r="D400" i="14"/>
  <c r="C400" i="14"/>
  <c r="B400" i="14"/>
  <c r="I399" i="14"/>
  <c r="H399" i="14"/>
  <c r="G399" i="14"/>
  <c r="F399" i="14"/>
  <c r="E399" i="14"/>
  <c r="D399" i="14"/>
  <c r="C399" i="14"/>
  <c r="B399" i="14"/>
  <c r="I398" i="14"/>
  <c r="H398" i="14"/>
  <c r="G398" i="14"/>
  <c r="F398" i="14"/>
  <c r="E398" i="14"/>
  <c r="D398" i="14"/>
  <c r="C398" i="14"/>
  <c r="B398" i="14"/>
  <c r="I397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I388" i="14"/>
  <c r="H388" i="14"/>
  <c r="G388" i="14"/>
  <c r="F388" i="14"/>
  <c r="E388" i="14"/>
  <c r="D388" i="14"/>
  <c r="C388" i="14"/>
  <c r="B388" i="14"/>
  <c r="I387" i="14"/>
  <c r="H387" i="14"/>
  <c r="G387" i="14"/>
  <c r="F387" i="14"/>
  <c r="E387" i="14"/>
  <c r="D387" i="14"/>
  <c r="C387" i="14"/>
  <c r="B387" i="14"/>
  <c r="I386" i="14"/>
  <c r="H386" i="14"/>
  <c r="G386" i="14"/>
  <c r="F386" i="14"/>
  <c r="E386" i="14"/>
  <c r="D386" i="14"/>
  <c r="C386" i="14"/>
  <c r="B386" i="14"/>
  <c r="I385" i="14"/>
  <c r="H385" i="14"/>
  <c r="G385" i="14"/>
  <c r="F385" i="14"/>
  <c r="E385" i="14"/>
  <c r="D385" i="14"/>
  <c r="C385" i="14"/>
  <c r="B385" i="14"/>
  <c r="I384" i="14"/>
  <c r="H384" i="14"/>
  <c r="G384" i="14"/>
  <c r="F384" i="14"/>
  <c r="E384" i="14"/>
  <c r="D384" i="14"/>
  <c r="C384" i="14"/>
  <c r="B384" i="14"/>
  <c r="I383" i="14"/>
  <c r="H383" i="14"/>
  <c r="G383" i="14"/>
  <c r="F383" i="14"/>
  <c r="E383" i="14"/>
  <c r="D383" i="14"/>
  <c r="C383" i="14"/>
  <c r="B383" i="14"/>
  <c r="I382" i="14"/>
  <c r="H382" i="14"/>
  <c r="G382" i="14"/>
  <c r="F382" i="14"/>
  <c r="E382" i="14"/>
  <c r="D382" i="14"/>
  <c r="C382" i="14"/>
  <c r="B382" i="14"/>
  <c r="I381" i="14"/>
  <c r="H381" i="14"/>
  <c r="G381" i="14"/>
  <c r="F381" i="14"/>
  <c r="E381" i="14"/>
  <c r="D381" i="14"/>
  <c r="C381" i="14"/>
  <c r="B381" i="14"/>
  <c r="I380" i="14"/>
  <c r="H380" i="14"/>
  <c r="G380" i="14"/>
  <c r="F380" i="14"/>
  <c r="E380" i="14"/>
  <c r="D380" i="14"/>
  <c r="C380" i="14"/>
  <c r="B380" i="14"/>
  <c r="I379" i="14"/>
  <c r="H379" i="14"/>
  <c r="G379" i="14"/>
  <c r="F379" i="14"/>
  <c r="E379" i="14"/>
  <c r="D379" i="14"/>
  <c r="C379" i="14"/>
  <c r="B379" i="14"/>
  <c r="I378" i="14"/>
  <c r="H378" i="14"/>
  <c r="G378" i="14"/>
  <c r="F378" i="14"/>
  <c r="E378" i="14"/>
  <c r="D378" i="14"/>
  <c r="C378" i="14"/>
  <c r="B378" i="14"/>
  <c r="I377" i="14"/>
  <c r="H377" i="14"/>
  <c r="G377" i="14"/>
  <c r="F377" i="14"/>
  <c r="E377" i="14"/>
  <c r="D377" i="14"/>
  <c r="C377" i="14"/>
  <c r="B377" i="14"/>
  <c r="I376" i="14"/>
  <c r="H376" i="14"/>
  <c r="G376" i="14"/>
  <c r="F376" i="14"/>
  <c r="E376" i="14"/>
  <c r="D376" i="14"/>
  <c r="C376" i="14"/>
  <c r="B376" i="14"/>
  <c r="I375" i="14"/>
  <c r="H375" i="14"/>
  <c r="G375" i="14"/>
  <c r="F375" i="14"/>
  <c r="E375" i="14"/>
  <c r="D375" i="14"/>
  <c r="C375" i="14"/>
  <c r="B375" i="14"/>
  <c r="I374" i="14"/>
  <c r="H374" i="14"/>
  <c r="G374" i="14"/>
  <c r="F374" i="14"/>
  <c r="E374" i="14"/>
  <c r="D374" i="14"/>
  <c r="C374" i="14"/>
  <c r="B374" i="14"/>
  <c r="I373" i="14"/>
  <c r="H373" i="14"/>
  <c r="G373" i="14"/>
  <c r="F373" i="14"/>
  <c r="E373" i="14"/>
  <c r="D373" i="14"/>
  <c r="C373" i="14"/>
  <c r="B373" i="14"/>
  <c r="I372" i="14"/>
  <c r="H372" i="14"/>
  <c r="G372" i="14"/>
  <c r="F372" i="14"/>
  <c r="E372" i="14"/>
  <c r="D372" i="14"/>
  <c r="C372" i="14"/>
  <c r="B372" i="14"/>
  <c r="I371" i="14"/>
  <c r="H371" i="14"/>
  <c r="G371" i="14"/>
  <c r="F371" i="14"/>
  <c r="E371" i="14"/>
  <c r="D371" i="14"/>
  <c r="C371" i="14"/>
  <c r="B371" i="14"/>
  <c r="I370" i="14"/>
  <c r="H370" i="14"/>
  <c r="G370" i="14"/>
  <c r="F370" i="14"/>
  <c r="E370" i="14"/>
  <c r="D370" i="14"/>
  <c r="C370" i="14"/>
  <c r="B370" i="14"/>
  <c r="I369" i="14"/>
  <c r="H369" i="14"/>
  <c r="G369" i="14"/>
  <c r="F369" i="14"/>
  <c r="E369" i="14"/>
  <c r="D369" i="14"/>
  <c r="C369" i="14"/>
  <c r="B369" i="14"/>
  <c r="I368" i="14"/>
  <c r="H368" i="14"/>
  <c r="G368" i="14"/>
  <c r="F368" i="14"/>
  <c r="E368" i="14"/>
  <c r="D368" i="14"/>
  <c r="C368" i="14"/>
  <c r="B368" i="14"/>
  <c r="I367" i="14"/>
  <c r="H367" i="14"/>
  <c r="G367" i="14"/>
  <c r="F367" i="14"/>
  <c r="E367" i="14"/>
  <c r="D367" i="14"/>
  <c r="C367" i="14"/>
  <c r="B367" i="14"/>
  <c r="I366" i="14"/>
  <c r="H366" i="14"/>
  <c r="G366" i="14"/>
  <c r="F366" i="14"/>
  <c r="E366" i="14"/>
  <c r="D366" i="14"/>
  <c r="C366" i="14"/>
  <c r="B366" i="14"/>
  <c r="I365" i="14"/>
  <c r="H365" i="14"/>
  <c r="G365" i="14"/>
  <c r="F365" i="14"/>
  <c r="E365" i="14"/>
  <c r="D365" i="14"/>
  <c r="C365" i="14"/>
  <c r="B365" i="14"/>
  <c r="I364" i="14"/>
  <c r="H364" i="14"/>
  <c r="G364" i="14"/>
  <c r="F364" i="14"/>
  <c r="E364" i="14"/>
  <c r="D364" i="14"/>
  <c r="C364" i="14"/>
  <c r="B364" i="14"/>
  <c r="I363" i="14"/>
  <c r="H363" i="14"/>
  <c r="G363" i="14"/>
  <c r="F363" i="14"/>
  <c r="E363" i="14"/>
  <c r="D363" i="14"/>
  <c r="C363" i="14"/>
  <c r="B363" i="14"/>
  <c r="I362" i="14"/>
  <c r="H362" i="14"/>
  <c r="G362" i="14"/>
  <c r="F362" i="14"/>
  <c r="E362" i="14"/>
  <c r="D362" i="14"/>
  <c r="C362" i="14"/>
  <c r="B362" i="14"/>
  <c r="I361" i="14"/>
  <c r="H361" i="14"/>
  <c r="G361" i="14"/>
  <c r="F361" i="14"/>
  <c r="E361" i="14"/>
  <c r="D361" i="14"/>
  <c r="C361" i="14"/>
  <c r="B361" i="14"/>
  <c r="I360" i="14"/>
  <c r="H360" i="14"/>
  <c r="G360" i="14"/>
  <c r="F360" i="14"/>
  <c r="E360" i="14"/>
  <c r="D360" i="14"/>
  <c r="C360" i="14"/>
  <c r="B360" i="14"/>
  <c r="I359" i="14"/>
  <c r="H359" i="14"/>
  <c r="G359" i="14"/>
  <c r="F359" i="14"/>
  <c r="E359" i="14"/>
  <c r="D359" i="14"/>
  <c r="C359" i="14"/>
  <c r="B359" i="14"/>
  <c r="I358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I348" i="14"/>
  <c r="H348" i="14"/>
  <c r="G348" i="14"/>
  <c r="F348" i="14"/>
  <c r="E348" i="14"/>
  <c r="D348" i="14"/>
  <c r="C348" i="14"/>
  <c r="B348" i="14"/>
  <c r="I347" i="14"/>
  <c r="H347" i="14"/>
  <c r="G347" i="14"/>
  <c r="F347" i="14"/>
  <c r="E347" i="14"/>
  <c r="D347" i="14"/>
  <c r="C347" i="14"/>
  <c r="B347" i="14"/>
  <c r="I346" i="14"/>
  <c r="H346" i="14"/>
  <c r="G346" i="14"/>
  <c r="F346" i="14"/>
  <c r="E346" i="14"/>
  <c r="D346" i="14"/>
  <c r="C346" i="14"/>
  <c r="B346" i="14"/>
  <c r="I345" i="14"/>
  <c r="H345" i="14"/>
  <c r="G345" i="14"/>
  <c r="F345" i="14"/>
  <c r="E345" i="14"/>
  <c r="D345" i="14"/>
  <c r="C345" i="14"/>
  <c r="B345" i="14"/>
  <c r="I344" i="14"/>
  <c r="H344" i="14"/>
  <c r="G344" i="14"/>
  <c r="F344" i="14"/>
  <c r="E344" i="14"/>
  <c r="D344" i="14"/>
  <c r="C344" i="14"/>
  <c r="B344" i="14"/>
  <c r="I343" i="14"/>
  <c r="H343" i="14"/>
  <c r="G343" i="14"/>
  <c r="F343" i="14"/>
  <c r="E343" i="14"/>
  <c r="D343" i="14"/>
  <c r="C343" i="14"/>
  <c r="B343" i="14"/>
  <c r="I342" i="14"/>
  <c r="H342" i="14"/>
  <c r="G342" i="14"/>
  <c r="F342" i="14"/>
  <c r="E342" i="14"/>
  <c r="D342" i="14"/>
  <c r="C342" i="14"/>
  <c r="B342" i="14"/>
  <c r="I341" i="14"/>
  <c r="H341" i="14"/>
  <c r="G341" i="14"/>
  <c r="F341" i="14"/>
  <c r="E341" i="14"/>
  <c r="D341" i="14"/>
  <c r="C341" i="14"/>
  <c r="B341" i="14"/>
  <c r="I340" i="14"/>
  <c r="H340" i="14"/>
  <c r="G340" i="14"/>
  <c r="F340" i="14"/>
  <c r="E340" i="14"/>
  <c r="D340" i="14"/>
  <c r="C340" i="14"/>
  <c r="B340" i="14"/>
  <c r="I339" i="14"/>
  <c r="H339" i="14"/>
  <c r="G339" i="14"/>
  <c r="F339" i="14"/>
  <c r="E339" i="14"/>
  <c r="D339" i="14"/>
  <c r="C339" i="14"/>
  <c r="B339" i="14"/>
  <c r="I338" i="14"/>
  <c r="H338" i="14"/>
  <c r="G338" i="14"/>
  <c r="F338" i="14"/>
  <c r="E338" i="14"/>
  <c r="D338" i="14"/>
  <c r="C338" i="14"/>
  <c r="B338" i="14"/>
  <c r="I337" i="14"/>
  <c r="H337" i="14"/>
  <c r="G337" i="14"/>
  <c r="F337" i="14"/>
  <c r="E337" i="14"/>
  <c r="D337" i="14"/>
  <c r="C337" i="14"/>
  <c r="B337" i="14"/>
  <c r="I336" i="14"/>
  <c r="H336" i="14"/>
  <c r="G336" i="14"/>
  <c r="F336" i="14"/>
  <c r="E336" i="14"/>
  <c r="D336" i="14"/>
  <c r="C336" i="14"/>
  <c r="B336" i="14"/>
  <c r="I335" i="14"/>
  <c r="H335" i="14"/>
  <c r="G335" i="14"/>
  <c r="F335" i="14"/>
  <c r="E335" i="14"/>
  <c r="D335" i="14"/>
  <c r="C335" i="14"/>
  <c r="B335" i="14"/>
  <c r="I334" i="14"/>
  <c r="H334" i="14"/>
  <c r="G334" i="14"/>
  <c r="F334" i="14"/>
  <c r="E334" i="14"/>
  <c r="D334" i="14"/>
  <c r="C334" i="14"/>
  <c r="B334" i="14"/>
  <c r="I333" i="14"/>
  <c r="H333" i="14"/>
  <c r="G333" i="14"/>
  <c r="F333" i="14"/>
  <c r="E333" i="14"/>
  <c r="D333" i="14"/>
  <c r="C333" i="14"/>
  <c r="B333" i="14"/>
  <c r="I332" i="14"/>
  <c r="H332" i="14"/>
  <c r="G332" i="14"/>
  <c r="F332" i="14"/>
  <c r="E332" i="14"/>
  <c r="D332" i="14"/>
  <c r="C332" i="14"/>
  <c r="B332" i="14"/>
  <c r="I331" i="14"/>
  <c r="H331" i="14"/>
  <c r="G331" i="14"/>
  <c r="F331" i="14"/>
  <c r="E331" i="14"/>
  <c r="D331" i="14"/>
  <c r="C331" i="14"/>
  <c r="B331" i="14"/>
  <c r="I330" i="14"/>
  <c r="H330" i="14"/>
  <c r="G330" i="14"/>
  <c r="F330" i="14"/>
  <c r="E330" i="14"/>
  <c r="D330" i="14"/>
  <c r="C330" i="14"/>
  <c r="B330" i="14"/>
  <c r="I329" i="14"/>
  <c r="H329" i="14"/>
  <c r="G329" i="14"/>
  <c r="F329" i="14"/>
  <c r="E329" i="14"/>
  <c r="D329" i="14"/>
  <c r="C329" i="14"/>
  <c r="B329" i="14"/>
  <c r="I328" i="14"/>
  <c r="H328" i="14"/>
  <c r="G328" i="14"/>
  <c r="F328" i="14"/>
  <c r="E328" i="14"/>
  <c r="D328" i="14"/>
  <c r="C328" i="14"/>
  <c r="B328" i="14"/>
  <c r="I327" i="14"/>
  <c r="H327" i="14"/>
  <c r="G327" i="14"/>
  <c r="F327" i="14"/>
  <c r="E327" i="14"/>
  <c r="D327" i="14"/>
  <c r="C327" i="14"/>
  <c r="B327" i="14"/>
  <c r="I326" i="14"/>
  <c r="H326" i="14"/>
  <c r="G326" i="14"/>
  <c r="F326" i="14"/>
  <c r="E326" i="14"/>
  <c r="D326" i="14"/>
  <c r="C326" i="14"/>
  <c r="B326" i="14"/>
  <c r="I325" i="14"/>
  <c r="H325" i="14"/>
  <c r="G325" i="14"/>
  <c r="F325" i="14"/>
  <c r="E325" i="14"/>
  <c r="D325" i="14"/>
  <c r="C325" i="14"/>
  <c r="B325" i="14"/>
  <c r="I324" i="14"/>
  <c r="H324" i="14"/>
  <c r="G324" i="14"/>
  <c r="F324" i="14"/>
  <c r="E324" i="14"/>
  <c r="D324" i="14"/>
  <c r="C324" i="14"/>
  <c r="B324" i="14"/>
  <c r="I323" i="14"/>
  <c r="H323" i="14"/>
  <c r="G323" i="14"/>
  <c r="F323" i="14"/>
  <c r="E323" i="14"/>
  <c r="D323" i="14"/>
  <c r="C323" i="14"/>
  <c r="B323" i="14"/>
  <c r="I322" i="14"/>
  <c r="H322" i="14"/>
  <c r="G322" i="14"/>
  <c r="F322" i="14"/>
  <c r="E322" i="14"/>
  <c r="D322" i="14"/>
  <c r="C322" i="14"/>
  <c r="B322" i="14"/>
  <c r="I321" i="14"/>
  <c r="H321" i="14"/>
  <c r="G321" i="14"/>
  <c r="F321" i="14"/>
  <c r="E321" i="14"/>
  <c r="D321" i="14"/>
  <c r="C321" i="14"/>
  <c r="B321" i="14"/>
  <c r="I320" i="14"/>
  <c r="H320" i="14"/>
  <c r="G320" i="14"/>
  <c r="F320" i="14"/>
  <c r="E320" i="14"/>
  <c r="D320" i="14"/>
  <c r="C320" i="14"/>
  <c r="B320" i="14"/>
  <c r="I319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I310" i="14"/>
  <c r="H310" i="14"/>
  <c r="G310" i="14"/>
  <c r="F310" i="14"/>
  <c r="E310" i="14"/>
  <c r="D310" i="14"/>
  <c r="C310" i="14"/>
  <c r="B310" i="14"/>
  <c r="I309" i="14"/>
  <c r="H309" i="14"/>
  <c r="G309" i="14"/>
  <c r="F309" i="14"/>
  <c r="E309" i="14"/>
  <c r="D309" i="14"/>
  <c r="C309" i="14"/>
  <c r="B309" i="14"/>
  <c r="I308" i="14"/>
  <c r="H308" i="14"/>
  <c r="G308" i="14"/>
  <c r="F308" i="14"/>
  <c r="E308" i="14"/>
  <c r="D308" i="14"/>
  <c r="C308" i="14"/>
  <c r="B308" i="14"/>
  <c r="I307" i="14"/>
  <c r="H307" i="14"/>
  <c r="G307" i="14"/>
  <c r="F307" i="14"/>
  <c r="E307" i="14"/>
  <c r="D307" i="14"/>
  <c r="C307" i="14"/>
  <c r="B307" i="14"/>
  <c r="I306" i="14"/>
  <c r="H306" i="14"/>
  <c r="G306" i="14"/>
  <c r="F306" i="14"/>
  <c r="E306" i="14"/>
  <c r="D306" i="14"/>
  <c r="C306" i="14"/>
  <c r="B306" i="14"/>
  <c r="I305" i="14"/>
  <c r="H305" i="14"/>
  <c r="G305" i="14"/>
  <c r="F305" i="14"/>
  <c r="E305" i="14"/>
  <c r="D305" i="14"/>
  <c r="C305" i="14"/>
  <c r="B305" i="14"/>
  <c r="I304" i="14"/>
  <c r="H304" i="14"/>
  <c r="G304" i="14"/>
  <c r="F304" i="14"/>
  <c r="E304" i="14"/>
  <c r="D304" i="14"/>
  <c r="C304" i="14"/>
  <c r="B304" i="14"/>
  <c r="I303" i="14"/>
  <c r="H303" i="14"/>
  <c r="G303" i="14"/>
  <c r="F303" i="14"/>
  <c r="E303" i="14"/>
  <c r="D303" i="14"/>
  <c r="C303" i="14"/>
  <c r="B303" i="14"/>
  <c r="I302" i="14"/>
  <c r="H302" i="14"/>
  <c r="G302" i="14"/>
  <c r="F302" i="14"/>
  <c r="E302" i="14"/>
  <c r="D302" i="14"/>
  <c r="C302" i="14"/>
  <c r="B302" i="14"/>
  <c r="I301" i="14"/>
  <c r="H301" i="14"/>
  <c r="G301" i="14"/>
  <c r="F301" i="14"/>
  <c r="E301" i="14"/>
  <c r="D301" i="14"/>
  <c r="C301" i="14"/>
  <c r="B301" i="14"/>
  <c r="I300" i="14"/>
  <c r="H300" i="14"/>
  <c r="G300" i="14"/>
  <c r="F300" i="14"/>
  <c r="E300" i="14"/>
  <c r="D300" i="14"/>
  <c r="C300" i="14"/>
  <c r="B300" i="14"/>
  <c r="I299" i="14"/>
  <c r="H299" i="14"/>
  <c r="G299" i="14"/>
  <c r="F299" i="14"/>
  <c r="E299" i="14"/>
  <c r="D299" i="14"/>
  <c r="C299" i="14"/>
  <c r="B299" i="14"/>
  <c r="I298" i="14"/>
  <c r="H298" i="14"/>
  <c r="G298" i="14"/>
  <c r="F298" i="14"/>
  <c r="E298" i="14"/>
  <c r="D298" i="14"/>
  <c r="C298" i="14"/>
  <c r="B298" i="14"/>
  <c r="I297" i="14"/>
  <c r="H297" i="14"/>
  <c r="G297" i="14"/>
  <c r="F297" i="14"/>
  <c r="E297" i="14"/>
  <c r="D297" i="14"/>
  <c r="C297" i="14"/>
  <c r="B297" i="14"/>
  <c r="I296" i="14"/>
  <c r="H296" i="14"/>
  <c r="G296" i="14"/>
  <c r="F296" i="14"/>
  <c r="E296" i="14"/>
  <c r="D296" i="14"/>
  <c r="C296" i="14"/>
  <c r="B296" i="14"/>
  <c r="I295" i="14"/>
  <c r="H295" i="14"/>
  <c r="G295" i="14"/>
  <c r="F295" i="14"/>
  <c r="E295" i="14"/>
  <c r="D295" i="14"/>
  <c r="C295" i="14"/>
  <c r="B295" i="14"/>
  <c r="I294" i="14"/>
  <c r="H294" i="14"/>
  <c r="G294" i="14"/>
  <c r="F294" i="14"/>
  <c r="E294" i="14"/>
  <c r="D294" i="14"/>
  <c r="C294" i="14"/>
  <c r="B294" i="14"/>
  <c r="I293" i="14"/>
  <c r="H293" i="14"/>
  <c r="G293" i="14"/>
  <c r="F293" i="14"/>
  <c r="E293" i="14"/>
  <c r="D293" i="14"/>
  <c r="C293" i="14"/>
  <c r="B293" i="14"/>
  <c r="I292" i="14"/>
  <c r="H292" i="14"/>
  <c r="G292" i="14"/>
  <c r="F292" i="14"/>
  <c r="E292" i="14"/>
  <c r="D292" i="14"/>
  <c r="C292" i="14"/>
  <c r="B292" i="14"/>
  <c r="I291" i="14"/>
  <c r="H291" i="14"/>
  <c r="G291" i="14"/>
  <c r="F291" i="14"/>
  <c r="E291" i="14"/>
  <c r="D291" i="14"/>
  <c r="C291" i="14"/>
  <c r="B291" i="14"/>
  <c r="I290" i="14"/>
  <c r="H290" i="14"/>
  <c r="G290" i="14"/>
  <c r="F290" i="14"/>
  <c r="E290" i="14"/>
  <c r="D290" i="14"/>
  <c r="C290" i="14"/>
  <c r="B290" i="14"/>
  <c r="I289" i="14"/>
  <c r="H289" i="14"/>
  <c r="G289" i="14"/>
  <c r="F289" i="14"/>
  <c r="E289" i="14"/>
  <c r="D289" i="14"/>
  <c r="C289" i="14"/>
  <c r="B289" i="14"/>
  <c r="I288" i="14"/>
  <c r="H288" i="14"/>
  <c r="G288" i="14"/>
  <c r="F288" i="14"/>
  <c r="E288" i="14"/>
  <c r="D288" i="14"/>
  <c r="C288" i="14"/>
  <c r="B288" i="14"/>
  <c r="I287" i="14"/>
  <c r="H287" i="14"/>
  <c r="G287" i="14"/>
  <c r="F287" i="14"/>
  <c r="E287" i="14"/>
  <c r="D287" i="14"/>
  <c r="C287" i="14"/>
  <c r="B287" i="14"/>
  <c r="I286" i="14"/>
  <c r="H286" i="14"/>
  <c r="G286" i="14"/>
  <c r="F286" i="14"/>
  <c r="E286" i="14"/>
  <c r="D286" i="14"/>
  <c r="C286" i="14"/>
  <c r="B286" i="14"/>
  <c r="I285" i="14"/>
  <c r="H285" i="14"/>
  <c r="G285" i="14"/>
  <c r="F285" i="14"/>
  <c r="E285" i="14"/>
  <c r="D285" i="14"/>
  <c r="C285" i="14"/>
  <c r="B285" i="14"/>
  <c r="I284" i="14"/>
  <c r="H284" i="14"/>
  <c r="G284" i="14"/>
  <c r="F284" i="14"/>
  <c r="E284" i="14"/>
  <c r="D284" i="14"/>
  <c r="C284" i="14"/>
  <c r="B284" i="14"/>
  <c r="I283" i="14"/>
  <c r="H283" i="14"/>
  <c r="G283" i="14"/>
  <c r="F283" i="14"/>
  <c r="E283" i="14"/>
  <c r="D283" i="14"/>
  <c r="C283" i="14"/>
  <c r="B283" i="14"/>
  <c r="I282" i="14"/>
  <c r="H282" i="14"/>
  <c r="G282" i="14"/>
  <c r="F282" i="14"/>
  <c r="E282" i="14"/>
  <c r="D282" i="14"/>
  <c r="C282" i="14"/>
  <c r="B282" i="14"/>
  <c r="I281" i="14"/>
  <c r="H281" i="14"/>
  <c r="G281" i="14"/>
  <c r="F281" i="14"/>
  <c r="E281" i="14"/>
  <c r="D281" i="14"/>
  <c r="C281" i="14"/>
  <c r="B281" i="14"/>
  <c r="I280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I271" i="14"/>
  <c r="H271" i="14"/>
  <c r="G271" i="14"/>
  <c r="F271" i="14"/>
  <c r="E271" i="14"/>
  <c r="D271" i="14"/>
  <c r="C271" i="14"/>
  <c r="B271" i="14"/>
  <c r="I270" i="14"/>
  <c r="H270" i="14"/>
  <c r="G270" i="14"/>
  <c r="F270" i="14"/>
  <c r="E270" i="14"/>
  <c r="D270" i="14"/>
  <c r="C270" i="14"/>
  <c r="B270" i="14"/>
  <c r="I269" i="14"/>
  <c r="H269" i="14"/>
  <c r="G269" i="14"/>
  <c r="F269" i="14"/>
  <c r="E269" i="14"/>
  <c r="D269" i="14"/>
  <c r="C269" i="14"/>
  <c r="B269" i="14"/>
  <c r="I268" i="14"/>
  <c r="H268" i="14"/>
  <c r="G268" i="14"/>
  <c r="F268" i="14"/>
  <c r="E268" i="14"/>
  <c r="D268" i="14"/>
  <c r="C268" i="14"/>
  <c r="B268" i="14"/>
  <c r="I267" i="14"/>
  <c r="H267" i="14"/>
  <c r="G267" i="14"/>
  <c r="F267" i="14"/>
  <c r="E267" i="14"/>
  <c r="D267" i="14"/>
  <c r="C267" i="14"/>
  <c r="B267" i="14"/>
  <c r="I266" i="14"/>
  <c r="H266" i="14"/>
  <c r="G266" i="14"/>
  <c r="F266" i="14"/>
  <c r="E266" i="14"/>
  <c r="D266" i="14"/>
  <c r="C266" i="14"/>
  <c r="B266" i="14"/>
  <c r="I265" i="14"/>
  <c r="H265" i="14"/>
  <c r="G265" i="14"/>
  <c r="F265" i="14"/>
  <c r="E265" i="14"/>
  <c r="D265" i="14"/>
  <c r="C265" i="14"/>
  <c r="B265" i="14"/>
  <c r="I264" i="14"/>
  <c r="H264" i="14"/>
  <c r="G264" i="14"/>
  <c r="F264" i="14"/>
  <c r="E264" i="14"/>
  <c r="D264" i="14"/>
  <c r="C264" i="14"/>
  <c r="B264" i="14"/>
  <c r="I263" i="14"/>
  <c r="H263" i="14"/>
  <c r="G263" i="14"/>
  <c r="F263" i="14"/>
  <c r="E263" i="14"/>
  <c r="D263" i="14"/>
  <c r="C263" i="14"/>
  <c r="B263" i="14"/>
  <c r="I262" i="14"/>
  <c r="H262" i="14"/>
  <c r="G262" i="14"/>
  <c r="F262" i="14"/>
  <c r="E262" i="14"/>
  <c r="D262" i="14"/>
  <c r="C262" i="14"/>
  <c r="B262" i="14"/>
  <c r="I261" i="14"/>
  <c r="H261" i="14"/>
  <c r="G261" i="14"/>
  <c r="F261" i="14"/>
  <c r="E261" i="14"/>
  <c r="D261" i="14"/>
  <c r="C261" i="14"/>
  <c r="B261" i="14"/>
  <c r="I260" i="14"/>
  <c r="H260" i="14"/>
  <c r="G260" i="14"/>
  <c r="F260" i="14"/>
  <c r="E260" i="14"/>
  <c r="D260" i="14"/>
  <c r="C260" i="14"/>
  <c r="B260" i="14"/>
  <c r="I259" i="14"/>
  <c r="H259" i="14"/>
  <c r="G259" i="14"/>
  <c r="F259" i="14"/>
  <c r="E259" i="14"/>
  <c r="D259" i="14"/>
  <c r="C259" i="14"/>
  <c r="B259" i="14"/>
  <c r="I258" i="14"/>
  <c r="H258" i="14"/>
  <c r="G258" i="14"/>
  <c r="F258" i="14"/>
  <c r="E258" i="14"/>
  <c r="D258" i="14"/>
  <c r="C258" i="14"/>
  <c r="B258" i="14"/>
  <c r="I257" i="14"/>
  <c r="H257" i="14"/>
  <c r="G257" i="14"/>
  <c r="F257" i="14"/>
  <c r="E257" i="14"/>
  <c r="D257" i="14"/>
  <c r="C257" i="14"/>
  <c r="B257" i="14"/>
  <c r="I256" i="14"/>
  <c r="H256" i="14"/>
  <c r="G256" i="14"/>
  <c r="F256" i="14"/>
  <c r="E256" i="14"/>
  <c r="D256" i="14"/>
  <c r="C256" i="14"/>
  <c r="B256" i="14"/>
  <c r="I255" i="14"/>
  <c r="H255" i="14"/>
  <c r="G255" i="14"/>
  <c r="F255" i="14"/>
  <c r="E255" i="14"/>
  <c r="D255" i="14"/>
  <c r="C255" i="14"/>
  <c r="B255" i="14"/>
  <c r="I254" i="14"/>
  <c r="H254" i="14"/>
  <c r="G254" i="14"/>
  <c r="F254" i="14"/>
  <c r="E254" i="14"/>
  <c r="D254" i="14"/>
  <c r="C254" i="14"/>
  <c r="B254" i="14"/>
  <c r="I253" i="14"/>
  <c r="H253" i="14"/>
  <c r="G253" i="14"/>
  <c r="F253" i="14"/>
  <c r="E253" i="14"/>
  <c r="D253" i="14"/>
  <c r="C253" i="14"/>
  <c r="B253" i="14"/>
  <c r="I252" i="14"/>
  <c r="H252" i="14"/>
  <c r="G252" i="14"/>
  <c r="F252" i="14"/>
  <c r="E252" i="14"/>
  <c r="D252" i="14"/>
  <c r="C252" i="14"/>
  <c r="B252" i="14"/>
  <c r="I251" i="14"/>
  <c r="H251" i="14"/>
  <c r="G251" i="14"/>
  <c r="F251" i="14"/>
  <c r="E251" i="14"/>
  <c r="D251" i="14"/>
  <c r="C251" i="14"/>
  <c r="B251" i="14"/>
  <c r="I250" i="14"/>
  <c r="H250" i="14"/>
  <c r="G250" i="14"/>
  <c r="F250" i="14"/>
  <c r="E250" i="14"/>
  <c r="D250" i="14"/>
  <c r="C250" i="14"/>
  <c r="B250" i="14"/>
  <c r="I249" i="14"/>
  <c r="H249" i="14"/>
  <c r="G249" i="14"/>
  <c r="F249" i="14"/>
  <c r="E249" i="14"/>
  <c r="D249" i="14"/>
  <c r="C249" i="14"/>
  <c r="B249" i="14"/>
  <c r="I248" i="14"/>
  <c r="H248" i="14"/>
  <c r="G248" i="14"/>
  <c r="F248" i="14"/>
  <c r="E248" i="14"/>
  <c r="D248" i="14"/>
  <c r="C248" i="14"/>
  <c r="B248" i="14"/>
  <c r="I247" i="14"/>
  <c r="H247" i="14"/>
  <c r="G247" i="14"/>
  <c r="F247" i="14"/>
  <c r="E247" i="14"/>
  <c r="D247" i="14"/>
  <c r="C247" i="14"/>
  <c r="B247" i="14"/>
  <c r="I246" i="14"/>
  <c r="H246" i="14"/>
  <c r="G246" i="14"/>
  <c r="F246" i="14"/>
  <c r="E246" i="14"/>
  <c r="D246" i="14"/>
  <c r="C246" i="14"/>
  <c r="B246" i="14"/>
  <c r="I245" i="14"/>
  <c r="H245" i="14"/>
  <c r="G245" i="14"/>
  <c r="F245" i="14"/>
  <c r="E245" i="14"/>
  <c r="D245" i="14"/>
  <c r="C245" i="14"/>
  <c r="B245" i="14"/>
  <c r="I244" i="14"/>
  <c r="H244" i="14"/>
  <c r="G244" i="14"/>
  <c r="F244" i="14"/>
  <c r="E244" i="14"/>
  <c r="D244" i="14"/>
  <c r="C244" i="14"/>
  <c r="B244" i="14"/>
  <c r="I243" i="14"/>
  <c r="H243" i="14"/>
  <c r="G243" i="14"/>
  <c r="F243" i="14"/>
  <c r="E243" i="14"/>
  <c r="D243" i="14"/>
  <c r="C243" i="14"/>
  <c r="B243" i="14"/>
  <c r="I242" i="14"/>
  <c r="H242" i="14"/>
  <c r="G242" i="14"/>
  <c r="F242" i="14"/>
  <c r="E242" i="14"/>
  <c r="D242" i="14"/>
  <c r="C242" i="14"/>
  <c r="B242" i="14"/>
  <c r="I241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I231" i="14"/>
  <c r="H231" i="14"/>
  <c r="G231" i="14"/>
  <c r="F231" i="14"/>
  <c r="E231" i="14"/>
  <c r="D231" i="14"/>
  <c r="C231" i="14"/>
  <c r="B231" i="14"/>
  <c r="I230" i="14"/>
  <c r="H230" i="14"/>
  <c r="G230" i="14"/>
  <c r="F230" i="14"/>
  <c r="E230" i="14"/>
  <c r="D230" i="14"/>
  <c r="C230" i="14"/>
  <c r="B230" i="14"/>
  <c r="I229" i="14"/>
  <c r="H229" i="14"/>
  <c r="G229" i="14"/>
  <c r="F229" i="14"/>
  <c r="E229" i="14"/>
  <c r="D229" i="14"/>
  <c r="C229" i="14"/>
  <c r="B229" i="14"/>
  <c r="I228" i="14"/>
  <c r="H228" i="14"/>
  <c r="G228" i="14"/>
  <c r="F228" i="14"/>
  <c r="E228" i="14"/>
  <c r="D228" i="14"/>
  <c r="C228" i="14"/>
  <c r="B228" i="14"/>
  <c r="I227" i="14"/>
  <c r="H227" i="14"/>
  <c r="G227" i="14"/>
  <c r="F227" i="14"/>
  <c r="E227" i="14"/>
  <c r="D227" i="14"/>
  <c r="C227" i="14"/>
  <c r="B227" i="14"/>
  <c r="I226" i="14"/>
  <c r="H226" i="14"/>
  <c r="G226" i="14"/>
  <c r="F226" i="14"/>
  <c r="E226" i="14"/>
  <c r="D226" i="14"/>
  <c r="C226" i="14"/>
  <c r="B226" i="14"/>
  <c r="I225" i="14"/>
  <c r="H225" i="14"/>
  <c r="G225" i="14"/>
  <c r="F225" i="14"/>
  <c r="E225" i="14"/>
  <c r="D225" i="14"/>
  <c r="C225" i="14"/>
  <c r="B225" i="14"/>
  <c r="I224" i="14"/>
  <c r="H224" i="14"/>
  <c r="G224" i="14"/>
  <c r="F224" i="14"/>
  <c r="E224" i="14"/>
  <c r="D224" i="14"/>
  <c r="C224" i="14"/>
  <c r="B224" i="14"/>
  <c r="I223" i="14"/>
  <c r="H223" i="14"/>
  <c r="G223" i="14"/>
  <c r="F223" i="14"/>
  <c r="E223" i="14"/>
  <c r="D223" i="14"/>
  <c r="C223" i="14"/>
  <c r="B223" i="14"/>
  <c r="I222" i="14"/>
  <c r="H222" i="14"/>
  <c r="G222" i="14"/>
  <c r="F222" i="14"/>
  <c r="E222" i="14"/>
  <c r="D222" i="14"/>
  <c r="C222" i="14"/>
  <c r="B222" i="14"/>
  <c r="I221" i="14"/>
  <c r="H221" i="14"/>
  <c r="G221" i="14"/>
  <c r="F221" i="14"/>
  <c r="E221" i="14"/>
  <c r="D221" i="14"/>
  <c r="C221" i="14"/>
  <c r="B221" i="14"/>
  <c r="I220" i="14"/>
  <c r="H220" i="14"/>
  <c r="G220" i="14"/>
  <c r="F220" i="14"/>
  <c r="E220" i="14"/>
  <c r="D220" i="14"/>
  <c r="C220" i="14"/>
  <c r="B220" i="14"/>
  <c r="I219" i="14"/>
  <c r="H219" i="14"/>
  <c r="G219" i="14"/>
  <c r="F219" i="14"/>
  <c r="E219" i="14"/>
  <c r="D219" i="14"/>
  <c r="C219" i="14"/>
  <c r="B219" i="14"/>
  <c r="I218" i="14"/>
  <c r="H218" i="14"/>
  <c r="G218" i="14"/>
  <c r="F218" i="14"/>
  <c r="E218" i="14"/>
  <c r="D218" i="14"/>
  <c r="C218" i="14"/>
  <c r="B218" i="14"/>
  <c r="I217" i="14"/>
  <c r="H217" i="14"/>
  <c r="G217" i="14"/>
  <c r="F217" i="14"/>
  <c r="E217" i="14"/>
  <c r="D217" i="14"/>
  <c r="C217" i="14"/>
  <c r="B217" i="14"/>
  <c r="I216" i="14"/>
  <c r="H216" i="14"/>
  <c r="G216" i="14"/>
  <c r="F216" i="14"/>
  <c r="E216" i="14"/>
  <c r="D216" i="14"/>
  <c r="C216" i="14"/>
  <c r="B216" i="14"/>
  <c r="I215" i="14"/>
  <c r="H215" i="14"/>
  <c r="G215" i="14"/>
  <c r="F215" i="14"/>
  <c r="E215" i="14"/>
  <c r="D215" i="14"/>
  <c r="C215" i="14"/>
  <c r="B215" i="14"/>
  <c r="I214" i="14"/>
  <c r="H214" i="14"/>
  <c r="G214" i="14"/>
  <c r="F214" i="14"/>
  <c r="E214" i="14"/>
  <c r="D214" i="14"/>
  <c r="C214" i="14"/>
  <c r="B214" i="14"/>
  <c r="I213" i="14"/>
  <c r="H213" i="14"/>
  <c r="G213" i="14"/>
  <c r="F213" i="14"/>
  <c r="E213" i="14"/>
  <c r="D213" i="14"/>
  <c r="C213" i="14"/>
  <c r="B213" i="14"/>
  <c r="I212" i="14"/>
  <c r="H212" i="14"/>
  <c r="G212" i="14"/>
  <c r="F212" i="14"/>
  <c r="E212" i="14"/>
  <c r="D212" i="14"/>
  <c r="C212" i="14"/>
  <c r="B212" i="14"/>
  <c r="I211" i="14"/>
  <c r="H211" i="14"/>
  <c r="G211" i="14"/>
  <c r="F211" i="14"/>
  <c r="E211" i="14"/>
  <c r="D211" i="14"/>
  <c r="C211" i="14"/>
  <c r="B211" i="14"/>
  <c r="I210" i="14"/>
  <c r="H210" i="14"/>
  <c r="G210" i="14"/>
  <c r="F210" i="14"/>
  <c r="E210" i="14"/>
  <c r="D210" i="14"/>
  <c r="C210" i="14"/>
  <c r="B210" i="14"/>
  <c r="I209" i="14"/>
  <c r="H209" i="14"/>
  <c r="G209" i="14"/>
  <c r="F209" i="14"/>
  <c r="E209" i="14"/>
  <c r="D209" i="14"/>
  <c r="C209" i="14"/>
  <c r="B209" i="14"/>
  <c r="I208" i="14"/>
  <c r="H208" i="14"/>
  <c r="G208" i="14"/>
  <c r="F208" i="14"/>
  <c r="E208" i="14"/>
  <c r="D208" i="14"/>
  <c r="C208" i="14"/>
  <c r="B208" i="14"/>
  <c r="I207" i="14"/>
  <c r="H207" i="14"/>
  <c r="G207" i="14"/>
  <c r="F207" i="14"/>
  <c r="E207" i="14"/>
  <c r="D207" i="14"/>
  <c r="C207" i="14"/>
  <c r="B207" i="14"/>
  <c r="I206" i="14"/>
  <c r="H206" i="14"/>
  <c r="G206" i="14"/>
  <c r="F206" i="14"/>
  <c r="E206" i="14"/>
  <c r="D206" i="14"/>
  <c r="C206" i="14"/>
  <c r="B206" i="14"/>
  <c r="I205" i="14"/>
  <c r="H205" i="14"/>
  <c r="G205" i="14"/>
  <c r="F205" i="14"/>
  <c r="E205" i="14"/>
  <c r="D205" i="14"/>
  <c r="C205" i="14"/>
  <c r="B205" i="14"/>
  <c r="I204" i="14"/>
  <c r="H204" i="14"/>
  <c r="G204" i="14"/>
  <c r="F204" i="14"/>
  <c r="E204" i="14"/>
  <c r="D204" i="14"/>
  <c r="C204" i="14"/>
  <c r="B204" i="14"/>
  <c r="I203" i="14"/>
  <c r="H203" i="14"/>
  <c r="G203" i="14"/>
  <c r="F203" i="14"/>
  <c r="E203" i="14"/>
  <c r="D203" i="14"/>
  <c r="C203" i="14"/>
  <c r="B203" i="14"/>
  <c r="I202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I193" i="14"/>
  <c r="H193" i="14"/>
  <c r="G193" i="14"/>
  <c r="F193" i="14"/>
  <c r="E193" i="14"/>
  <c r="D193" i="14"/>
  <c r="C193" i="14"/>
  <c r="B193" i="14"/>
  <c r="I192" i="14"/>
  <c r="H192" i="14"/>
  <c r="G192" i="14"/>
  <c r="F192" i="14"/>
  <c r="E192" i="14"/>
  <c r="D192" i="14"/>
  <c r="C192" i="14"/>
  <c r="B192" i="14"/>
  <c r="I191" i="14"/>
  <c r="H191" i="14"/>
  <c r="G191" i="14"/>
  <c r="F191" i="14"/>
  <c r="E191" i="14"/>
  <c r="D191" i="14"/>
  <c r="C191" i="14"/>
  <c r="B191" i="14"/>
  <c r="I190" i="14"/>
  <c r="H190" i="14"/>
  <c r="G190" i="14"/>
  <c r="F190" i="14"/>
  <c r="E190" i="14"/>
  <c r="D190" i="14"/>
  <c r="C190" i="14"/>
  <c r="B190" i="14"/>
  <c r="I189" i="14"/>
  <c r="H189" i="14"/>
  <c r="G189" i="14"/>
  <c r="F189" i="14"/>
  <c r="E189" i="14"/>
  <c r="D189" i="14"/>
  <c r="C189" i="14"/>
  <c r="B189" i="14"/>
  <c r="I188" i="14"/>
  <c r="H188" i="14"/>
  <c r="G188" i="14"/>
  <c r="F188" i="14"/>
  <c r="E188" i="14"/>
  <c r="D188" i="14"/>
  <c r="C188" i="14"/>
  <c r="B188" i="14"/>
  <c r="I187" i="14"/>
  <c r="H187" i="14"/>
  <c r="G187" i="14"/>
  <c r="F187" i="14"/>
  <c r="E187" i="14"/>
  <c r="D187" i="14"/>
  <c r="C187" i="14"/>
  <c r="B187" i="14"/>
  <c r="I186" i="14"/>
  <c r="H186" i="14"/>
  <c r="G186" i="14"/>
  <c r="F186" i="14"/>
  <c r="E186" i="14"/>
  <c r="D186" i="14"/>
  <c r="C186" i="14"/>
  <c r="B186" i="14"/>
  <c r="I185" i="14"/>
  <c r="H185" i="14"/>
  <c r="G185" i="14"/>
  <c r="F185" i="14"/>
  <c r="E185" i="14"/>
  <c r="D185" i="14"/>
  <c r="C185" i="14"/>
  <c r="B185" i="14"/>
  <c r="I184" i="14"/>
  <c r="H184" i="14"/>
  <c r="G184" i="14"/>
  <c r="F184" i="14"/>
  <c r="E184" i="14"/>
  <c r="D184" i="14"/>
  <c r="C184" i="14"/>
  <c r="B184" i="14"/>
  <c r="I183" i="14"/>
  <c r="H183" i="14"/>
  <c r="G183" i="14"/>
  <c r="F183" i="14"/>
  <c r="E183" i="14"/>
  <c r="D183" i="14"/>
  <c r="C183" i="14"/>
  <c r="B183" i="14"/>
  <c r="I182" i="14"/>
  <c r="H182" i="14"/>
  <c r="G182" i="14"/>
  <c r="F182" i="14"/>
  <c r="E182" i="14"/>
  <c r="D182" i="14"/>
  <c r="C182" i="14"/>
  <c r="B182" i="14"/>
  <c r="I181" i="14"/>
  <c r="H181" i="14"/>
  <c r="G181" i="14"/>
  <c r="F181" i="14"/>
  <c r="E181" i="14"/>
  <c r="D181" i="14"/>
  <c r="C181" i="14"/>
  <c r="B181" i="14"/>
  <c r="I180" i="14"/>
  <c r="H180" i="14"/>
  <c r="G180" i="14"/>
  <c r="F180" i="14"/>
  <c r="E180" i="14"/>
  <c r="D180" i="14"/>
  <c r="C180" i="14"/>
  <c r="B180" i="14"/>
  <c r="I179" i="14"/>
  <c r="H179" i="14"/>
  <c r="G179" i="14"/>
  <c r="F179" i="14"/>
  <c r="E179" i="14"/>
  <c r="D179" i="14"/>
  <c r="C179" i="14"/>
  <c r="B179" i="14"/>
  <c r="I178" i="14"/>
  <c r="H178" i="14"/>
  <c r="G178" i="14"/>
  <c r="F178" i="14"/>
  <c r="E178" i="14"/>
  <c r="D178" i="14"/>
  <c r="C178" i="14"/>
  <c r="B178" i="14"/>
  <c r="I177" i="14"/>
  <c r="H177" i="14"/>
  <c r="G177" i="14"/>
  <c r="F177" i="14"/>
  <c r="E177" i="14"/>
  <c r="D177" i="14"/>
  <c r="C177" i="14"/>
  <c r="B177" i="14"/>
  <c r="I176" i="14"/>
  <c r="H176" i="14"/>
  <c r="G176" i="14"/>
  <c r="F176" i="14"/>
  <c r="E176" i="14"/>
  <c r="D176" i="14"/>
  <c r="C176" i="14"/>
  <c r="B176" i="14"/>
  <c r="I175" i="14"/>
  <c r="H175" i="14"/>
  <c r="G175" i="14"/>
  <c r="F175" i="14"/>
  <c r="E175" i="14"/>
  <c r="D175" i="14"/>
  <c r="C175" i="14"/>
  <c r="B175" i="14"/>
  <c r="I174" i="14"/>
  <c r="H174" i="14"/>
  <c r="G174" i="14"/>
  <c r="F174" i="14"/>
  <c r="E174" i="14"/>
  <c r="D174" i="14"/>
  <c r="C174" i="14"/>
  <c r="B174" i="14"/>
  <c r="I173" i="14"/>
  <c r="H173" i="14"/>
  <c r="G173" i="14"/>
  <c r="F173" i="14"/>
  <c r="E173" i="14"/>
  <c r="D173" i="14"/>
  <c r="C173" i="14"/>
  <c r="B173" i="14"/>
  <c r="I172" i="14"/>
  <c r="H172" i="14"/>
  <c r="G172" i="14"/>
  <c r="F172" i="14"/>
  <c r="E172" i="14"/>
  <c r="D172" i="14"/>
  <c r="C172" i="14"/>
  <c r="B172" i="14"/>
  <c r="I171" i="14"/>
  <c r="H171" i="14"/>
  <c r="G171" i="14"/>
  <c r="F171" i="14"/>
  <c r="E171" i="14"/>
  <c r="D171" i="14"/>
  <c r="C171" i="14"/>
  <c r="B171" i="14"/>
  <c r="I170" i="14"/>
  <c r="H170" i="14"/>
  <c r="G170" i="14"/>
  <c r="F170" i="14"/>
  <c r="E170" i="14"/>
  <c r="D170" i="14"/>
  <c r="C170" i="14"/>
  <c r="B170" i="14"/>
  <c r="I169" i="14"/>
  <c r="H169" i="14"/>
  <c r="G169" i="14"/>
  <c r="F169" i="14"/>
  <c r="E169" i="14"/>
  <c r="D169" i="14"/>
  <c r="C169" i="14"/>
  <c r="B169" i="14"/>
  <c r="I168" i="14"/>
  <c r="H168" i="14"/>
  <c r="G168" i="14"/>
  <c r="F168" i="14"/>
  <c r="E168" i="14"/>
  <c r="D168" i="14"/>
  <c r="C168" i="14"/>
  <c r="B168" i="14"/>
  <c r="I167" i="14"/>
  <c r="H167" i="14"/>
  <c r="G167" i="14"/>
  <c r="F167" i="14"/>
  <c r="E167" i="14"/>
  <c r="D167" i="14"/>
  <c r="C167" i="14"/>
  <c r="B167" i="14"/>
  <c r="I166" i="14"/>
  <c r="H166" i="14"/>
  <c r="G166" i="14"/>
  <c r="F166" i="14"/>
  <c r="E166" i="14"/>
  <c r="D166" i="14"/>
  <c r="C166" i="14"/>
  <c r="B166" i="14"/>
  <c r="I165" i="14"/>
  <c r="H165" i="14"/>
  <c r="G165" i="14"/>
  <c r="F165" i="14"/>
  <c r="E165" i="14"/>
  <c r="D165" i="14"/>
  <c r="C165" i="14"/>
  <c r="B165" i="14"/>
  <c r="I164" i="14"/>
  <c r="H164" i="14"/>
  <c r="G164" i="14"/>
  <c r="F164" i="14"/>
  <c r="E164" i="14"/>
  <c r="D164" i="14"/>
  <c r="C164" i="14"/>
  <c r="B164" i="14"/>
  <c r="I163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I153" i="14"/>
  <c r="H153" i="14"/>
  <c r="G153" i="14"/>
  <c r="F153" i="14"/>
  <c r="E153" i="14"/>
  <c r="D153" i="14"/>
  <c r="C153" i="14"/>
  <c r="B153" i="14"/>
  <c r="I152" i="14"/>
  <c r="H152" i="14"/>
  <c r="G152" i="14"/>
  <c r="F152" i="14"/>
  <c r="E152" i="14"/>
  <c r="D152" i="14"/>
  <c r="C152" i="14"/>
  <c r="B152" i="14"/>
  <c r="I151" i="14"/>
  <c r="H151" i="14"/>
  <c r="G151" i="14"/>
  <c r="F151" i="14"/>
  <c r="E151" i="14"/>
  <c r="D151" i="14"/>
  <c r="C151" i="14"/>
  <c r="B151" i="14"/>
  <c r="I150" i="14"/>
  <c r="H150" i="14"/>
  <c r="G150" i="14"/>
  <c r="F150" i="14"/>
  <c r="E150" i="14"/>
  <c r="D150" i="14"/>
  <c r="C150" i="14"/>
  <c r="B150" i="14"/>
  <c r="I149" i="14"/>
  <c r="H149" i="14"/>
  <c r="G149" i="14"/>
  <c r="F149" i="14"/>
  <c r="E149" i="14"/>
  <c r="D149" i="14"/>
  <c r="C149" i="14"/>
  <c r="B149" i="14"/>
  <c r="I148" i="14"/>
  <c r="H148" i="14"/>
  <c r="G148" i="14"/>
  <c r="F148" i="14"/>
  <c r="E148" i="14"/>
  <c r="D148" i="14"/>
  <c r="C148" i="14"/>
  <c r="B148" i="14"/>
  <c r="I147" i="14"/>
  <c r="H147" i="14"/>
  <c r="G147" i="14"/>
  <c r="F147" i="14"/>
  <c r="E147" i="14"/>
  <c r="D147" i="14"/>
  <c r="C147" i="14"/>
  <c r="B147" i="14"/>
  <c r="I146" i="14"/>
  <c r="H146" i="14"/>
  <c r="G146" i="14"/>
  <c r="F146" i="14"/>
  <c r="E146" i="14"/>
  <c r="D146" i="14"/>
  <c r="C146" i="14"/>
  <c r="B146" i="14"/>
  <c r="I145" i="14"/>
  <c r="H145" i="14"/>
  <c r="G145" i="14"/>
  <c r="F145" i="14"/>
  <c r="E145" i="14"/>
  <c r="D145" i="14"/>
  <c r="C145" i="14"/>
  <c r="B145" i="14"/>
  <c r="I144" i="14"/>
  <c r="H144" i="14"/>
  <c r="G144" i="14"/>
  <c r="F144" i="14"/>
  <c r="E144" i="14"/>
  <c r="D144" i="14"/>
  <c r="C144" i="14"/>
  <c r="B144" i="14"/>
  <c r="I143" i="14"/>
  <c r="H143" i="14"/>
  <c r="G143" i="14"/>
  <c r="F143" i="14"/>
  <c r="E143" i="14"/>
  <c r="D143" i="14"/>
  <c r="C143" i="14"/>
  <c r="B143" i="14"/>
  <c r="I142" i="14"/>
  <c r="H142" i="14"/>
  <c r="G142" i="14"/>
  <c r="F142" i="14"/>
  <c r="E142" i="14"/>
  <c r="D142" i="14"/>
  <c r="C142" i="14"/>
  <c r="B142" i="14"/>
  <c r="I141" i="14"/>
  <c r="H141" i="14"/>
  <c r="G141" i="14"/>
  <c r="F141" i="14"/>
  <c r="E141" i="14"/>
  <c r="D141" i="14"/>
  <c r="C141" i="14"/>
  <c r="B141" i="14"/>
  <c r="I140" i="14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I90" i="14"/>
  <c r="H90" i="14"/>
  <c r="G90" i="14"/>
  <c r="F90" i="14"/>
  <c r="E90" i="14"/>
  <c r="D90" i="14"/>
  <c r="C90" i="14"/>
  <c r="B90" i="14"/>
  <c r="I89" i="14"/>
  <c r="H89" i="14"/>
  <c r="G89" i="14"/>
  <c r="F89" i="14"/>
  <c r="E89" i="14"/>
  <c r="D89" i="14"/>
  <c r="C89" i="14"/>
  <c r="B89" i="14"/>
  <c r="I88" i="14"/>
  <c r="H88" i="14"/>
  <c r="G88" i="14"/>
  <c r="F88" i="14"/>
  <c r="E88" i="14"/>
  <c r="D88" i="14"/>
  <c r="C88" i="14"/>
  <c r="B88" i="14"/>
  <c r="I87" i="14"/>
  <c r="H87" i="14"/>
  <c r="G87" i="14"/>
  <c r="F87" i="14"/>
  <c r="E87" i="14"/>
  <c r="D87" i="14"/>
  <c r="C87" i="14"/>
  <c r="B87" i="14"/>
  <c r="I86" i="14"/>
  <c r="H86" i="14"/>
  <c r="G86" i="14"/>
  <c r="F86" i="14"/>
  <c r="E86" i="14"/>
  <c r="D86" i="14"/>
  <c r="C86" i="14"/>
  <c r="B86" i="14"/>
  <c r="I85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I73" i="14"/>
  <c r="H73" i="14"/>
  <c r="G73" i="14"/>
  <c r="F73" i="14"/>
  <c r="E73" i="14"/>
  <c r="D73" i="14"/>
  <c r="C73" i="14"/>
  <c r="B73" i="14"/>
  <c r="I72" i="14"/>
  <c r="H72" i="14"/>
  <c r="G72" i="14"/>
  <c r="F72" i="14"/>
  <c r="E72" i="14"/>
  <c r="D72" i="14"/>
  <c r="C72" i="14"/>
  <c r="B72" i="14"/>
  <c r="I71" i="14"/>
  <c r="H71" i="14"/>
  <c r="G71" i="14"/>
  <c r="F71" i="14"/>
  <c r="E71" i="14"/>
  <c r="D71" i="14"/>
  <c r="C71" i="14"/>
  <c r="B71" i="14"/>
  <c r="I70" i="14"/>
  <c r="H70" i="14"/>
  <c r="G70" i="14"/>
  <c r="F70" i="14"/>
  <c r="E70" i="14"/>
  <c r="D70" i="14"/>
  <c r="C70" i="14"/>
  <c r="B70" i="14"/>
  <c r="I69" i="14"/>
  <c r="H69" i="14"/>
  <c r="G69" i="14"/>
  <c r="F69" i="14"/>
  <c r="E69" i="14"/>
  <c r="D69" i="14"/>
  <c r="C69" i="14"/>
  <c r="B69" i="14"/>
  <c r="I68" i="14"/>
  <c r="H68" i="14"/>
  <c r="G68" i="14"/>
  <c r="F68" i="14"/>
  <c r="E68" i="14"/>
  <c r="D68" i="14"/>
  <c r="C68" i="14"/>
  <c r="B68" i="14"/>
  <c r="I67" i="14"/>
  <c r="H67" i="14"/>
  <c r="G67" i="14"/>
  <c r="F67" i="14"/>
  <c r="E67" i="14"/>
  <c r="D67" i="14"/>
  <c r="C67" i="14"/>
  <c r="B67" i="14"/>
  <c r="I66" i="14"/>
  <c r="H66" i="14"/>
  <c r="G66" i="14"/>
  <c r="F66" i="14"/>
  <c r="E66" i="14"/>
  <c r="D66" i="14"/>
  <c r="C66" i="14"/>
  <c r="B66" i="14"/>
  <c r="I65" i="14"/>
  <c r="H65" i="14"/>
  <c r="G65" i="14"/>
  <c r="F65" i="14"/>
  <c r="E65" i="14"/>
  <c r="D65" i="14"/>
  <c r="C65" i="14"/>
  <c r="B65" i="14"/>
  <c r="I64" i="14"/>
  <c r="H64" i="14"/>
  <c r="G64" i="14"/>
  <c r="F64" i="14"/>
  <c r="E64" i="14"/>
  <c r="D64" i="14"/>
  <c r="C64" i="14"/>
  <c r="B64" i="14"/>
  <c r="I63" i="14"/>
  <c r="H63" i="14"/>
  <c r="G63" i="14"/>
  <c r="F63" i="14"/>
  <c r="E63" i="14"/>
  <c r="D63" i="14"/>
  <c r="C63" i="14"/>
  <c r="B63" i="14"/>
  <c r="I62" i="14"/>
  <c r="H62" i="14"/>
  <c r="G62" i="14"/>
  <c r="F62" i="14"/>
  <c r="E62" i="14"/>
  <c r="D62" i="14"/>
  <c r="C62" i="14"/>
  <c r="B62" i="14"/>
  <c r="I61" i="14"/>
  <c r="H61" i="14"/>
  <c r="G61" i="14"/>
  <c r="F61" i="14"/>
  <c r="E61" i="14"/>
  <c r="D61" i="14"/>
  <c r="C61" i="14"/>
  <c r="B61" i="14"/>
  <c r="I60" i="14"/>
  <c r="H60" i="14"/>
  <c r="G60" i="14"/>
  <c r="F60" i="14"/>
  <c r="E60" i="14"/>
  <c r="D60" i="14"/>
  <c r="C60" i="14"/>
  <c r="B60" i="14"/>
  <c r="I59" i="14"/>
  <c r="H59" i="14"/>
  <c r="G59" i="14"/>
  <c r="F59" i="14"/>
  <c r="E59" i="14"/>
  <c r="D59" i="14"/>
  <c r="C59" i="14"/>
  <c r="B59" i="14"/>
  <c r="I58" i="14"/>
  <c r="H58" i="14"/>
  <c r="G58" i="14"/>
  <c r="F58" i="14"/>
  <c r="E58" i="14"/>
  <c r="D58" i="14"/>
  <c r="C58" i="14"/>
  <c r="B58" i="14"/>
  <c r="I57" i="14"/>
  <c r="H57" i="14"/>
  <c r="G57" i="14"/>
  <c r="F57" i="14"/>
  <c r="E57" i="14"/>
  <c r="D57" i="14"/>
  <c r="C57" i="14"/>
  <c r="B57" i="14"/>
  <c r="I56" i="14"/>
  <c r="H56" i="14"/>
  <c r="G56" i="14"/>
  <c r="F56" i="14"/>
  <c r="E56" i="14"/>
  <c r="D56" i="14"/>
  <c r="C56" i="14"/>
  <c r="B56" i="14"/>
  <c r="I55" i="14"/>
  <c r="H55" i="14"/>
  <c r="G55" i="14"/>
  <c r="F55" i="14"/>
  <c r="E55" i="14"/>
  <c r="D55" i="14"/>
  <c r="C55" i="14"/>
  <c r="B55" i="14"/>
  <c r="I54" i="14"/>
  <c r="H54" i="14"/>
  <c r="G54" i="14"/>
  <c r="F54" i="14"/>
  <c r="E54" i="14"/>
  <c r="D54" i="14"/>
  <c r="C54" i="14"/>
  <c r="B54" i="14"/>
  <c r="I53" i="14"/>
  <c r="H53" i="14"/>
  <c r="G53" i="14"/>
  <c r="F53" i="14"/>
  <c r="E53" i="14"/>
  <c r="D53" i="14"/>
  <c r="C53" i="14"/>
  <c r="B53" i="14"/>
  <c r="I52" i="14"/>
  <c r="H52" i="14"/>
  <c r="G52" i="14"/>
  <c r="F52" i="14"/>
  <c r="E52" i="14"/>
  <c r="D52" i="14"/>
  <c r="C52" i="14"/>
  <c r="B52" i="14"/>
  <c r="I51" i="14"/>
  <c r="H51" i="14"/>
  <c r="G51" i="14"/>
  <c r="F51" i="14"/>
  <c r="E51" i="14"/>
  <c r="D51" i="14"/>
  <c r="C51" i="14"/>
  <c r="B51" i="14"/>
  <c r="I50" i="14"/>
  <c r="H50" i="14"/>
  <c r="G50" i="14"/>
  <c r="F50" i="14"/>
  <c r="E50" i="14"/>
  <c r="D50" i="14"/>
  <c r="C50" i="14"/>
  <c r="B50" i="14"/>
  <c r="I49" i="14"/>
  <c r="H49" i="14"/>
  <c r="G49" i="14"/>
  <c r="F49" i="14"/>
  <c r="E49" i="14"/>
  <c r="D49" i="14"/>
  <c r="C49" i="14"/>
  <c r="B49" i="14"/>
  <c r="I48" i="14"/>
  <c r="H48" i="14"/>
  <c r="G48" i="14"/>
  <c r="F48" i="14"/>
  <c r="E48" i="14"/>
  <c r="D48" i="14"/>
  <c r="C48" i="14"/>
  <c r="B48" i="14"/>
  <c r="I47" i="14"/>
  <c r="H47" i="14"/>
  <c r="G47" i="14"/>
  <c r="F47" i="14"/>
  <c r="E47" i="14"/>
  <c r="D47" i="14"/>
  <c r="C47" i="14"/>
  <c r="B47" i="14"/>
  <c r="I46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I37" i="14"/>
  <c r="H37" i="14"/>
  <c r="G37" i="14"/>
  <c r="F37" i="14"/>
  <c r="E37" i="14"/>
  <c r="D37" i="14"/>
  <c r="C37" i="14"/>
  <c r="B37" i="14"/>
  <c r="I36" i="14"/>
  <c r="H36" i="14"/>
  <c r="G36" i="14"/>
  <c r="F36" i="14"/>
  <c r="E36" i="14"/>
  <c r="D36" i="14"/>
  <c r="C36" i="14"/>
  <c r="B36" i="14"/>
  <c r="I35" i="14"/>
  <c r="H35" i="14"/>
  <c r="G35" i="14"/>
  <c r="F35" i="14"/>
  <c r="E35" i="14"/>
  <c r="D35" i="14"/>
  <c r="C35" i="14"/>
  <c r="B35" i="14"/>
  <c r="I34" i="14"/>
  <c r="H34" i="14"/>
  <c r="G34" i="14"/>
  <c r="F34" i="14"/>
  <c r="E34" i="14"/>
  <c r="D34" i="14"/>
  <c r="C34" i="14"/>
  <c r="B34" i="14"/>
  <c r="I33" i="14"/>
  <c r="H33" i="14"/>
  <c r="G33" i="14"/>
  <c r="F33" i="14"/>
  <c r="E33" i="14"/>
  <c r="D33" i="14"/>
  <c r="C33" i="14"/>
  <c r="B33" i="14"/>
  <c r="I32" i="14"/>
  <c r="H32" i="14"/>
  <c r="G32" i="14"/>
  <c r="F32" i="14"/>
  <c r="E32" i="14"/>
  <c r="D32" i="14"/>
  <c r="C32" i="14"/>
  <c r="B32" i="14"/>
  <c r="I31" i="14"/>
  <c r="H31" i="14"/>
  <c r="G31" i="14"/>
  <c r="F31" i="14"/>
  <c r="E31" i="14"/>
  <c r="D31" i="14"/>
  <c r="C31" i="14"/>
  <c r="B31" i="14"/>
  <c r="I30" i="14"/>
  <c r="H30" i="14"/>
  <c r="G30" i="14"/>
  <c r="F30" i="14"/>
  <c r="E30" i="14"/>
  <c r="D30" i="14"/>
  <c r="C30" i="14"/>
  <c r="B30" i="14"/>
  <c r="I29" i="14"/>
  <c r="H29" i="14"/>
  <c r="G29" i="14"/>
  <c r="F29" i="14"/>
  <c r="E29" i="14"/>
  <c r="D29" i="14"/>
  <c r="C29" i="14"/>
  <c r="B29" i="14"/>
  <c r="I28" i="14"/>
  <c r="H28" i="14"/>
  <c r="G28" i="14"/>
  <c r="F28" i="14"/>
  <c r="E28" i="14"/>
  <c r="D28" i="14"/>
  <c r="C28" i="14"/>
  <c r="B28" i="14"/>
  <c r="I27" i="14"/>
  <c r="H27" i="14"/>
  <c r="G27" i="14"/>
  <c r="F27" i="14"/>
  <c r="E27" i="14"/>
  <c r="D27" i="14"/>
  <c r="C27" i="14"/>
  <c r="B27" i="14"/>
  <c r="I26" i="14"/>
  <c r="H26" i="14"/>
  <c r="G26" i="14"/>
  <c r="F26" i="14"/>
  <c r="E26" i="14"/>
  <c r="D26" i="14"/>
  <c r="C26" i="14"/>
  <c r="B26" i="14"/>
  <c r="I25" i="14"/>
  <c r="H25" i="14"/>
  <c r="G25" i="14"/>
  <c r="F25" i="14"/>
  <c r="E25" i="14"/>
  <c r="D25" i="14"/>
  <c r="C25" i="14"/>
  <c r="B25" i="14"/>
  <c r="I24" i="14"/>
  <c r="H24" i="14"/>
  <c r="G24" i="14"/>
  <c r="F24" i="14"/>
  <c r="E24" i="14"/>
  <c r="D24" i="14"/>
  <c r="C24" i="14"/>
  <c r="B24" i="14"/>
  <c r="I23" i="14"/>
  <c r="H23" i="14"/>
  <c r="G23" i="14"/>
  <c r="F23" i="14"/>
  <c r="E23" i="14"/>
  <c r="D23" i="14"/>
  <c r="C23" i="14"/>
  <c r="B23" i="14"/>
  <c r="I22" i="14"/>
  <c r="H22" i="14"/>
  <c r="G22" i="14"/>
  <c r="F22" i="14"/>
  <c r="E22" i="14"/>
  <c r="D22" i="14"/>
  <c r="C22" i="14"/>
  <c r="B22" i="14"/>
  <c r="I21" i="14"/>
  <c r="H21" i="14"/>
  <c r="G21" i="14"/>
  <c r="F21" i="14"/>
  <c r="E21" i="14"/>
  <c r="D21" i="14"/>
  <c r="C21" i="14"/>
  <c r="B21" i="14"/>
  <c r="I20" i="14"/>
  <c r="H20" i="14"/>
  <c r="G20" i="14"/>
  <c r="F20" i="14"/>
  <c r="E20" i="14"/>
  <c r="D20" i="14"/>
  <c r="C20" i="14"/>
  <c r="B20" i="14"/>
  <c r="I19" i="14"/>
  <c r="H19" i="14"/>
  <c r="G19" i="14"/>
  <c r="F19" i="14"/>
  <c r="E19" i="14"/>
  <c r="D19" i="14"/>
  <c r="C19" i="14"/>
  <c r="B19" i="14"/>
  <c r="I18" i="14"/>
  <c r="H18" i="14"/>
  <c r="G18" i="14"/>
  <c r="F18" i="14"/>
  <c r="E18" i="14"/>
  <c r="D18" i="14"/>
  <c r="C18" i="14"/>
  <c r="B18" i="14"/>
  <c r="I17" i="14"/>
  <c r="H17" i="14"/>
  <c r="G17" i="14"/>
  <c r="F17" i="14"/>
  <c r="E17" i="14"/>
  <c r="D17" i="14"/>
  <c r="C17" i="14"/>
  <c r="B17" i="14"/>
  <c r="I16" i="14"/>
  <c r="H16" i="14"/>
  <c r="G16" i="14"/>
  <c r="F16" i="14"/>
  <c r="E16" i="14"/>
  <c r="D16" i="14"/>
  <c r="C16" i="14"/>
  <c r="B16" i="14"/>
  <c r="I15" i="14"/>
  <c r="H15" i="14"/>
  <c r="G15" i="14"/>
  <c r="F15" i="14"/>
  <c r="E15" i="14"/>
  <c r="D15" i="14"/>
  <c r="C15" i="14"/>
  <c r="B15" i="14"/>
  <c r="I14" i="14"/>
  <c r="H14" i="14"/>
  <c r="G14" i="14"/>
  <c r="F14" i="14"/>
  <c r="E14" i="14"/>
  <c r="D14" i="14"/>
  <c r="C14" i="14"/>
  <c r="B14" i="14"/>
  <c r="I13" i="14"/>
  <c r="H13" i="14"/>
  <c r="G13" i="14"/>
  <c r="F13" i="14"/>
  <c r="E13" i="14"/>
  <c r="D13" i="14"/>
  <c r="C13" i="14"/>
  <c r="B13" i="14"/>
  <c r="I12" i="14"/>
  <c r="H12" i="14"/>
  <c r="G12" i="14"/>
  <c r="F12" i="14"/>
  <c r="E12" i="14"/>
  <c r="D12" i="14"/>
  <c r="C12" i="14"/>
  <c r="B12" i="14"/>
  <c r="I11" i="14"/>
  <c r="H11" i="14"/>
  <c r="G11" i="14"/>
  <c r="F11" i="14"/>
  <c r="E11" i="14"/>
  <c r="D11" i="14"/>
  <c r="C11" i="14"/>
  <c r="B11" i="14"/>
  <c r="I10" i="14"/>
  <c r="H10" i="14"/>
  <c r="G10" i="14"/>
  <c r="F10" i="14"/>
  <c r="E10" i="14"/>
  <c r="D10" i="14"/>
  <c r="C10" i="14"/>
  <c r="B10" i="14"/>
  <c r="I9" i="14"/>
  <c r="H9" i="14"/>
  <c r="G9" i="14"/>
  <c r="F9" i="14"/>
  <c r="E9" i="14"/>
  <c r="D9" i="14"/>
  <c r="C9" i="14"/>
  <c r="B9" i="14"/>
  <c r="I8" i="14"/>
  <c r="H8" i="14"/>
  <c r="G8" i="14"/>
  <c r="F8" i="14"/>
  <c r="E8" i="14"/>
  <c r="D8" i="14"/>
  <c r="C8" i="14"/>
  <c r="B8" i="14"/>
  <c r="I7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I466" i="13"/>
  <c r="H466" i="13"/>
  <c r="G466" i="13"/>
  <c r="F466" i="13"/>
  <c r="E466" i="13"/>
  <c r="D466" i="13"/>
  <c r="C466" i="13"/>
  <c r="B466" i="13"/>
  <c r="I465" i="13"/>
  <c r="H465" i="13"/>
  <c r="G465" i="13"/>
  <c r="F465" i="13"/>
  <c r="E465" i="13"/>
  <c r="D465" i="13"/>
  <c r="C465" i="13"/>
  <c r="B465" i="13"/>
  <c r="I464" i="13"/>
  <c r="H464" i="13"/>
  <c r="G464" i="13"/>
  <c r="F464" i="13"/>
  <c r="E464" i="13"/>
  <c r="D464" i="13"/>
  <c r="C464" i="13"/>
  <c r="B464" i="13"/>
  <c r="I463" i="13"/>
  <c r="H463" i="13"/>
  <c r="G463" i="13"/>
  <c r="F463" i="13"/>
  <c r="E463" i="13"/>
  <c r="D463" i="13"/>
  <c r="C463" i="13"/>
  <c r="B463" i="13"/>
  <c r="I462" i="13"/>
  <c r="H462" i="13"/>
  <c r="G462" i="13"/>
  <c r="F462" i="13"/>
  <c r="E462" i="13"/>
  <c r="D462" i="13"/>
  <c r="C462" i="13"/>
  <c r="B462" i="13"/>
  <c r="I461" i="13"/>
  <c r="H461" i="13"/>
  <c r="G461" i="13"/>
  <c r="F461" i="13"/>
  <c r="E461" i="13"/>
  <c r="D461" i="13"/>
  <c r="C461" i="13"/>
  <c r="B461" i="13"/>
  <c r="I460" i="13"/>
  <c r="H460" i="13"/>
  <c r="G460" i="13"/>
  <c r="F460" i="13"/>
  <c r="E460" i="13"/>
  <c r="D460" i="13"/>
  <c r="C460" i="13"/>
  <c r="B460" i="13"/>
  <c r="I459" i="13"/>
  <c r="H459" i="13"/>
  <c r="G459" i="13"/>
  <c r="F459" i="13"/>
  <c r="E459" i="13"/>
  <c r="D459" i="13"/>
  <c r="C459" i="13"/>
  <c r="B459" i="13"/>
  <c r="I458" i="13"/>
  <c r="H458" i="13"/>
  <c r="G458" i="13"/>
  <c r="F458" i="13"/>
  <c r="E458" i="13"/>
  <c r="D458" i="13"/>
  <c r="C458" i="13"/>
  <c r="B458" i="13"/>
  <c r="I457" i="13"/>
  <c r="H457" i="13"/>
  <c r="G457" i="13"/>
  <c r="F457" i="13"/>
  <c r="E457" i="13"/>
  <c r="D457" i="13"/>
  <c r="C457" i="13"/>
  <c r="B457" i="13"/>
  <c r="I456" i="13"/>
  <c r="H456" i="13"/>
  <c r="G456" i="13"/>
  <c r="F456" i="13"/>
  <c r="E456" i="13"/>
  <c r="D456" i="13"/>
  <c r="C456" i="13"/>
  <c r="B456" i="13"/>
  <c r="I455" i="13"/>
  <c r="H455" i="13"/>
  <c r="G455" i="13"/>
  <c r="F455" i="13"/>
  <c r="E455" i="13"/>
  <c r="D455" i="13"/>
  <c r="C455" i="13"/>
  <c r="B455" i="13"/>
  <c r="I454" i="13"/>
  <c r="H454" i="13"/>
  <c r="G454" i="13"/>
  <c r="F454" i="13"/>
  <c r="E454" i="13"/>
  <c r="D454" i="13"/>
  <c r="C454" i="13"/>
  <c r="B454" i="13"/>
  <c r="I453" i="13"/>
  <c r="H453" i="13"/>
  <c r="G453" i="13"/>
  <c r="F453" i="13"/>
  <c r="E453" i="13"/>
  <c r="D453" i="13"/>
  <c r="C453" i="13"/>
  <c r="B453" i="13"/>
  <c r="I452" i="13"/>
  <c r="H452" i="13"/>
  <c r="G452" i="13"/>
  <c r="F452" i="13"/>
  <c r="E452" i="13"/>
  <c r="D452" i="13"/>
  <c r="C452" i="13"/>
  <c r="B452" i="13"/>
  <c r="I451" i="13"/>
  <c r="H451" i="13"/>
  <c r="G451" i="13"/>
  <c r="F451" i="13"/>
  <c r="E451" i="13"/>
  <c r="D451" i="13"/>
  <c r="C451" i="13"/>
  <c r="B451" i="13"/>
  <c r="I450" i="13"/>
  <c r="H450" i="13"/>
  <c r="G450" i="13"/>
  <c r="F450" i="13"/>
  <c r="E450" i="13"/>
  <c r="D450" i="13"/>
  <c r="C450" i="13"/>
  <c r="B450" i="13"/>
  <c r="I449" i="13"/>
  <c r="H449" i="13"/>
  <c r="G449" i="13"/>
  <c r="F449" i="13"/>
  <c r="E449" i="13"/>
  <c r="D449" i="13"/>
  <c r="C449" i="13"/>
  <c r="B449" i="13"/>
  <c r="I448" i="13"/>
  <c r="H448" i="13"/>
  <c r="G448" i="13"/>
  <c r="F448" i="13"/>
  <c r="E448" i="13"/>
  <c r="D448" i="13"/>
  <c r="C448" i="13"/>
  <c r="B448" i="13"/>
  <c r="I447" i="13"/>
  <c r="H447" i="13"/>
  <c r="G447" i="13"/>
  <c r="F447" i="13"/>
  <c r="E447" i="13"/>
  <c r="D447" i="13"/>
  <c r="C447" i="13"/>
  <c r="B447" i="13"/>
  <c r="I446" i="13"/>
  <c r="H446" i="13"/>
  <c r="G446" i="13"/>
  <c r="F446" i="13"/>
  <c r="E446" i="13"/>
  <c r="D446" i="13"/>
  <c r="C446" i="13"/>
  <c r="B446" i="13"/>
  <c r="I445" i="13"/>
  <c r="H445" i="13"/>
  <c r="G445" i="13"/>
  <c r="F445" i="13"/>
  <c r="E445" i="13"/>
  <c r="D445" i="13"/>
  <c r="C445" i="13"/>
  <c r="B445" i="13"/>
  <c r="I444" i="13"/>
  <c r="H444" i="13"/>
  <c r="G444" i="13"/>
  <c r="F444" i="13"/>
  <c r="E444" i="13"/>
  <c r="D444" i="13"/>
  <c r="C444" i="13"/>
  <c r="B444" i="13"/>
  <c r="I443" i="13"/>
  <c r="H443" i="13"/>
  <c r="G443" i="13"/>
  <c r="F443" i="13"/>
  <c r="E443" i="13"/>
  <c r="D443" i="13"/>
  <c r="C443" i="13"/>
  <c r="B443" i="13"/>
  <c r="I442" i="13"/>
  <c r="H442" i="13"/>
  <c r="G442" i="13"/>
  <c r="F442" i="13"/>
  <c r="E442" i="13"/>
  <c r="D442" i="13"/>
  <c r="C442" i="13"/>
  <c r="B442" i="13"/>
  <c r="I441" i="13"/>
  <c r="H441" i="13"/>
  <c r="G441" i="13"/>
  <c r="F441" i="13"/>
  <c r="E441" i="13"/>
  <c r="D441" i="13"/>
  <c r="C441" i="13"/>
  <c r="B441" i="13"/>
  <c r="I440" i="13"/>
  <c r="H440" i="13"/>
  <c r="G440" i="13"/>
  <c r="F440" i="13"/>
  <c r="E440" i="13"/>
  <c r="D440" i="13"/>
  <c r="C440" i="13"/>
  <c r="B440" i="13"/>
  <c r="I439" i="13"/>
  <c r="H439" i="13"/>
  <c r="G439" i="13"/>
  <c r="F439" i="13"/>
  <c r="E439" i="13"/>
  <c r="D439" i="13"/>
  <c r="C439" i="13"/>
  <c r="B439" i="13"/>
  <c r="I438" i="13"/>
  <c r="H438" i="13"/>
  <c r="G438" i="13"/>
  <c r="F438" i="13"/>
  <c r="E438" i="13"/>
  <c r="D438" i="13"/>
  <c r="C438" i="13"/>
  <c r="B438" i="13"/>
  <c r="I437" i="13"/>
  <c r="H437" i="13"/>
  <c r="G437" i="13"/>
  <c r="F437" i="13"/>
  <c r="E437" i="13"/>
  <c r="D437" i="13"/>
  <c r="C437" i="13"/>
  <c r="B437" i="13"/>
  <c r="I436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I426" i="13"/>
  <c r="H426" i="13"/>
  <c r="G426" i="13"/>
  <c r="F426" i="13"/>
  <c r="E426" i="13"/>
  <c r="D426" i="13"/>
  <c r="C426" i="13"/>
  <c r="B426" i="13"/>
  <c r="I425" i="13"/>
  <c r="H425" i="13"/>
  <c r="G425" i="13"/>
  <c r="F425" i="13"/>
  <c r="E425" i="13"/>
  <c r="D425" i="13"/>
  <c r="C425" i="13"/>
  <c r="B425" i="13"/>
  <c r="I424" i="13"/>
  <c r="H424" i="13"/>
  <c r="G424" i="13"/>
  <c r="F424" i="13"/>
  <c r="E424" i="13"/>
  <c r="D424" i="13"/>
  <c r="C424" i="13"/>
  <c r="B424" i="13"/>
  <c r="I423" i="13"/>
  <c r="H423" i="13"/>
  <c r="G423" i="13"/>
  <c r="F423" i="13"/>
  <c r="E423" i="13"/>
  <c r="D423" i="13"/>
  <c r="C423" i="13"/>
  <c r="B423" i="13"/>
  <c r="I422" i="13"/>
  <c r="H422" i="13"/>
  <c r="G422" i="13"/>
  <c r="F422" i="13"/>
  <c r="E422" i="13"/>
  <c r="D422" i="13"/>
  <c r="C422" i="13"/>
  <c r="B422" i="13"/>
  <c r="I421" i="13"/>
  <c r="H421" i="13"/>
  <c r="G421" i="13"/>
  <c r="F421" i="13"/>
  <c r="E421" i="13"/>
  <c r="D421" i="13"/>
  <c r="C421" i="13"/>
  <c r="B421" i="13"/>
  <c r="I420" i="13"/>
  <c r="H420" i="13"/>
  <c r="G420" i="13"/>
  <c r="F420" i="13"/>
  <c r="E420" i="13"/>
  <c r="D420" i="13"/>
  <c r="C420" i="13"/>
  <c r="B420" i="13"/>
  <c r="I419" i="13"/>
  <c r="H419" i="13"/>
  <c r="G419" i="13"/>
  <c r="F419" i="13"/>
  <c r="E419" i="13"/>
  <c r="D419" i="13"/>
  <c r="C419" i="13"/>
  <c r="B419" i="13"/>
  <c r="I418" i="13"/>
  <c r="H418" i="13"/>
  <c r="G418" i="13"/>
  <c r="F418" i="13"/>
  <c r="E418" i="13"/>
  <c r="D418" i="13"/>
  <c r="C418" i="13"/>
  <c r="B418" i="13"/>
  <c r="I417" i="13"/>
  <c r="H417" i="13"/>
  <c r="G417" i="13"/>
  <c r="F417" i="13"/>
  <c r="E417" i="13"/>
  <c r="D417" i="13"/>
  <c r="C417" i="13"/>
  <c r="B417" i="13"/>
  <c r="I416" i="13"/>
  <c r="H416" i="13"/>
  <c r="G416" i="13"/>
  <c r="F416" i="13"/>
  <c r="E416" i="13"/>
  <c r="D416" i="13"/>
  <c r="C416" i="13"/>
  <c r="B416" i="13"/>
  <c r="I415" i="13"/>
  <c r="H415" i="13"/>
  <c r="G415" i="13"/>
  <c r="F415" i="13"/>
  <c r="E415" i="13"/>
  <c r="D415" i="13"/>
  <c r="C415" i="13"/>
  <c r="B415" i="13"/>
  <c r="I414" i="13"/>
  <c r="H414" i="13"/>
  <c r="G414" i="13"/>
  <c r="F414" i="13"/>
  <c r="E414" i="13"/>
  <c r="D414" i="13"/>
  <c r="C414" i="13"/>
  <c r="B414" i="13"/>
  <c r="I413" i="13"/>
  <c r="H413" i="13"/>
  <c r="G413" i="13"/>
  <c r="F413" i="13"/>
  <c r="E413" i="13"/>
  <c r="D413" i="13"/>
  <c r="C413" i="13"/>
  <c r="B413" i="13"/>
  <c r="I412" i="13"/>
  <c r="H412" i="13"/>
  <c r="G412" i="13"/>
  <c r="F412" i="13"/>
  <c r="E412" i="13"/>
  <c r="D412" i="13"/>
  <c r="C412" i="13"/>
  <c r="B412" i="13"/>
  <c r="I411" i="13"/>
  <c r="H411" i="13"/>
  <c r="G411" i="13"/>
  <c r="F411" i="13"/>
  <c r="E411" i="13"/>
  <c r="D411" i="13"/>
  <c r="C411" i="13"/>
  <c r="B411" i="13"/>
  <c r="I410" i="13"/>
  <c r="H410" i="13"/>
  <c r="G410" i="13"/>
  <c r="F410" i="13"/>
  <c r="E410" i="13"/>
  <c r="D410" i="13"/>
  <c r="C410" i="13"/>
  <c r="B410" i="13"/>
  <c r="I409" i="13"/>
  <c r="H409" i="13"/>
  <c r="G409" i="13"/>
  <c r="F409" i="13"/>
  <c r="E409" i="13"/>
  <c r="D409" i="13"/>
  <c r="C409" i="13"/>
  <c r="B409" i="13"/>
  <c r="I408" i="13"/>
  <c r="H408" i="13"/>
  <c r="G408" i="13"/>
  <c r="F408" i="13"/>
  <c r="E408" i="13"/>
  <c r="D408" i="13"/>
  <c r="C408" i="13"/>
  <c r="B408" i="13"/>
  <c r="I407" i="13"/>
  <c r="H407" i="13"/>
  <c r="G407" i="13"/>
  <c r="F407" i="13"/>
  <c r="E407" i="13"/>
  <c r="D407" i="13"/>
  <c r="C407" i="13"/>
  <c r="B407" i="13"/>
  <c r="I406" i="13"/>
  <c r="H406" i="13"/>
  <c r="G406" i="13"/>
  <c r="F406" i="13"/>
  <c r="E406" i="13"/>
  <c r="D406" i="13"/>
  <c r="C406" i="13"/>
  <c r="B406" i="13"/>
  <c r="I405" i="13"/>
  <c r="H405" i="13"/>
  <c r="G405" i="13"/>
  <c r="F405" i="13"/>
  <c r="E405" i="13"/>
  <c r="D405" i="13"/>
  <c r="C405" i="13"/>
  <c r="B405" i="13"/>
  <c r="I404" i="13"/>
  <c r="H404" i="13"/>
  <c r="G404" i="13"/>
  <c r="F404" i="13"/>
  <c r="E404" i="13"/>
  <c r="D404" i="13"/>
  <c r="C404" i="13"/>
  <c r="B404" i="13"/>
  <c r="I403" i="13"/>
  <c r="H403" i="13"/>
  <c r="G403" i="13"/>
  <c r="F403" i="13"/>
  <c r="E403" i="13"/>
  <c r="D403" i="13"/>
  <c r="C403" i="13"/>
  <c r="B403" i="13"/>
  <c r="I402" i="13"/>
  <c r="H402" i="13"/>
  <c r="G402" i="13"/>
  <c r="F402" i="13"/>
  <c r="E402" i="13"/>
  <c r="D402" i="13"/>
  <c r="C402" i="13"/>
  <c r="B402" i="13"/>
  <c r="I401" i="13"/>
  <c r="H401" i="13"/>
  <c r="G401" i="13"/>
  <c r="F401" i="13"/>
  <c r="E401" i="13"/>
  <c r="D401" i="13"/>
  <c r="C401" i="13"/>
  <c r="B401" i="13"/>
  <c r="I400" i="13"/>
  <c r="H400" i="13"/>
  <c r="G400" i="13"/>
  <c r="F400" i="13"/>
  <c r="E400" i="13"/>
  <c r="D400" i="13"/>
  <c r="C400" i="13"/>
  <c r="B400" i="13"/>
  <c r="I399" i="13"/>
  <c r="H399" i="13"/>
  <c r="G399" i="13"/>
  <c r="F399" i="13"/>
  <c r="E399" i="13"/>
  <c r="D399" i="13"/>
  <c r="C399" i="13"/>
  <c r="B399" i="13"/>
  <c r="I398" i="13"/>
  <c r="H398" i="13"/>
  <c r="G398" i="13"/>
  <c r="F398" i="13"/>
  <c r="E398" i="13"/>
  <c r="D398" i="13"/>
  <c r="C398" i="13"/>
  <c r="B398" i="13"/>
  <c r="I397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I388" i="13"/>
  <c r="H388" i="13"/>
  <c r="G388" i="13"/>
  <c r="F388" i="13"/>
  <c r="E388" i="13"/>
  <c r="D388" i="13"/>
  <c r="C388" i="13"/>
  <c r="B388" i="13"/>
  <c r="I387" i="13"/>
  <c r="H387" i="13"/>
  <c r="G387" i="13"/>
  <c r="F387" i="13"/>
  <c r="E387" i="13"/>
  <c r="D387" i="13"/>
  <c r="C387" i="13"/>
  <c r="B387" i="13"/>
  <c r="I386" i="13"/>
  <c r="H386" i="13"/>
  <c r="G386" i="13"/>
  <c r="F386" i="13"/>
  <c r="E386" i="13"/>
  <c r="D386" i="13"/>
  <c r="C386" i="13"/>
  <c r="B386" i="13"/>
  <c r="I385" i="13"/>
  <c r="H385" i="13"/>
  <c r="G385" i="13"/>
  <c r="F385" i="13"/>
  <c r="E385" i="13"/>
  <c r="D385" i="13"/>
  <c r="C385" i="13"/>
  <c r="B385" i="13"/>
  <c r="I384" i="13"/>
  <c r="H384" i="13"/>
  <c r="G384" i="13"/>
  <c r="F384" i="13"/>
  <c r="E384" i="13"/>
  <c r="D384" i="13"/>
  <c r="C384" i="13"/>
  <c r="B384" i="13"/>
  <c r="I383" i="13"/>
  <c r="H383" i="13"/>
  <c r="G383" i="13"/>
  <c r="F383" i="13"/>
  <c r="E383" i="13"/>
  <c r="D383" i="13"/>
  <c r="C383" i="13"/>
  <c r="B383" i="13"/>
  <c r="I382" i="13"/>
  <c r="H382" i="13"/>
  <c r="G382" i="13"/>
  <c r="F382" i="13"/>
  <c r="E382" i="13"/>
  <c r="D382" i="13"/>
  <c r="C382" i="13"/>
  <c r="B382" i="13"/>
  <c r="I381" i="13"/>
  <c r="H381" i="13"/>
  <c r="G381" i="13"/>
  <c r="F381" i="13"/>
  <c r="E381" i="13"/>
  <c r="D381" i="13"/>
  <c r="C381" i="13"/>
  <c r="B381" i="13"/>
  <c r="I380" i="13"/>
  <c r="H380" i="13"/>
  <c r="G380" i="13"/>
  <c r="F380" i="13"/>
  <c r="E380" i="13"/>
  <c r="D380" i="13"/>
  <c r="C380" i="13"/>
  <c r="B380" i="13"/>
  <c r="I379" i="13"/>
  <c r="H379" i="13"/>
  <c r="G379" i="13"/>
  <c r="F379" i="13"/>
  <c r="E379" i="13"/>
  <c r="D379" i="13"/>
  <c r="C379" i="13"/>
  <c r="B379" i="13"/>
  <c r="I378" i="13"/>
  <c r="H378" i="13"/>
  <c r="G378" i="13"/>
  <c r="F378" i="13"/>
  <c r="E378" i="13"/>
  <c r="D378" i="13"/>
  <c r="C378" i="13"/>
  <c r="B378" i="13"/>
  <c r="I377" i="13"/>
  <c r="H377" i="13"/>
  <c r="G377" i="13"/>
  <c r="F377" i="13"/>
  <c r="E377" i="13"/>
  <c r="D377" i="13"/>
  <c r="C377" i="13"/>
  <c r="B377" i="13"/>
  <c r="I376" i="13"/>
  <c r="H376" i="13"/>
  <c r="G376" i="13"/>
  <c r="F376" i="13"/>
  <c r="E376" i="13"/>
  <c r="D376" i="13"/>
  <c r="C376" i="13"/>
  <c r="B376" i="13"/>
  <c r="I375" i="13"/>
  <c r="H375" i="13"/>
  <c r="G375" i="13"/>
  <c r="F375" i="13"/>
  <c r="E375" i="13"/>
  <c r="D375" i="13"/>
  <c r="C375" i="13"/>
  <c r="B375" i="13"/>
  <c r="I374" i="13"/>
  <c r="H374" i="13"/>
  <c r="G374" i="13"/>
  <c r="F374" i="13"/>
  <c r="E374" i="13"/>
  <c r="D374" i="13"/>
  <c r="C374" i="13"/>
  <c r="B374" i="13"/>
  <c r="I373" i="13"/>
  <c r="H373" i="13"/>
  <c r="G373" i="13"/>
  <c r="F373" i="13"/>
  <c r="E373" i="13"/>
  <c r="D373" i="13"/>
  <c r="C373" i="13"/>
  <c r="B373" i="13"/>
  <c r="I372" i="13"/>
  <c r="H372" i="13"/>
  <c r="G372" i="13"/>
  <c r="F372" i="13"/>
  <c r="E372" i="13"/>
  <c r="D372" i="13"/>
  <c r="C372" i="13"/>
  <c r="B372" i="13"/>
  <c r="I371" i="13"/>
  <c r="H371" i="13"/>
  <c r="G371" i="13"/>
  <c r="F371" i="13"/>
  <c r="E371" i="13"/>
  <c r="D371" i="13"/>
  <c r="C371" i="13"/>
  <c r="B371" i="13"/>
  <c r="I370" i="13"/>
  <c r="H370" i="13"/>
  <c r="G370" i="13"/>
  <c r="F370" i="13"/>
  <c r="E370" i="13"/>
  <c r="D370" i="13"/>
  <c r="C370" i="13"/>
  <c r="B370" i="13"/>
  <c r="I369" i="13"/>
  <c r="H369" i="13"/>
  <c r="G369" i="13"/>
  <c r="F369" i="13"/>
  <c r="E369" i="13"/>
  <c r="D369" i="13"/>
  <c r="C369" i="13"/>
  <c r="B369" i="13"/>
  <c r="I368" i="13"/>
  <c r="H368" i="13"/>
  <c r="G368" i="13"/>
  <c r="F368" i="13"/>
  <c r="E368" i="13"/>
  <c r="D368" i="13"/>
  <c r="C368" i="13"/>
  <c r="B368" i="13"/>
  <c r="I367" i="13"/>
  <c r="H367" i="13"/>
  <c r="G367" i="13"/>
  <c r="F367" i="13"/>
  <c r="E367" i="13"/>
  <c r="D367" i="13"/>
  <c r="C367" i="13"/>
  <c r="B367" i="13"/>
  <c r="I366" i="13"/>
  <c r="H366" i="13"/>
  <c r="G366" i="13"/>
  <c r="F366" i="13"/>
  <c r="E366" i="13"/>
  <c r="D366" i="13"/>
  <c r="C366" i="13"/>
  <c r="B366" i="13"/>
  <c r="I365" i="13"/>
  <c r="H365" i="13"/>
  <c r="G365" i="13"/>
  <c r="F365" i="13"/>
  <c r="E365" i="13"/>
  <c r="D365" i="13"/>
  <c r="C365" i="13"/>
  <c r="B365" i="13"/>
  <c r="I364" i="13"/>
  <c r="H364" i="13"/>
  <c r="G364" i="13"/>
  <c r="F364" i="13"/>
  <c r="E364" i="13"/>
  <c r="D364" i="13"/>
  <c r="C364" i="13"/>
  <c r="B364" i="13"/>
  <c r="I363" i="13"/>
  <c r="H363" i="13"/>
  <c r="G363" i="13"/>
  <c r="F363" i="13"/>
  <c r="E363" i="13"/>
  <c r="D363" i="13"/>
  <c r="C363" i="13"/>
  <c r="B363" i="13"/>
  <c r="I362" i="13"/>
  <c r="H362" i="13"/>
  <c r="G362" i="13"/>
  <c r="F362" i="13"/>
  <c r="E362" i="13"/>
  <c r="D362" i="13"/>
  <c r="C362" i="13"/>
  <c r="B362" i="13"/>
  <c r="I361" i="13"/>
  <c r="H361" i="13"/>
  <c r="G361" i="13"/>
  <c r="F361" i="13"/>
  <c r="E361" i="13"/>
  <c r="D361" i="13"/>
  <c r="C361" i="13"/>
  <c r="B361" i="13"/>
  <c r="I360" i="13"/>
  <c r="H360" i="13"/>
  <c r="G360" i="13"/>
  <c r="F360" i="13"/>
  <c r="E360" i="13"/>
  <c r="D360" i="13"/>
  <c r="C360" i="13"/>
  <c r="B360" i="13"/>
  <c r="I359" i="13"/>
  <c r="H359" i="13"/>
  <c r="G359" i="13"/>
  <c r="F359" i="13"/>
  <c r="E359" i="13"/>
  <c r="D359" i="13"/>
  <c r="C359" i="13"/>
  <c r="B359" i="13"/>
  <c r="I358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I348" i="13"/>
  <c r="H348" i="13"/>
  <c r="G348" i="13"/>
  <c r="F348" i="13"/>
  <c r="E348" i="13"/>
  <c r="D348" i="13"/>
  <c r="C348" i="13"/>
  <c r="B348" i="13"/>
  <c r="I347" i="13"/>
  <c r="H347" i="13"/>
  <c r="G347" i="13"/>
  <c r="F347" i="13"/>
  <c r="E347" i="13"/>
  <c r="D347" i="13"/>
  <c r="C347" i="13"/>
  <c r="B347" i="13"/>
  <c r="I346" i="13"/>
  <c r="H346" i="13"/>
  <c r="G346" i="13"/>
  <c r="F346" i="13"/>
  <c r="E346" i="13"/>
  <c r="D346" i="13"/>
  <c r="C346" i="13"/>
  <c r="B346" i="13"/>
  <c r="I345" i="13"/>
  <c r="H345" i="13"/>
  <c r="G345" i="13"/>
  <c r="F345" i="13"/>
  <c r="E345" i="13"/>
  <c r="D345" i="13"/>
  <c r="C345" i="13"/>
  <c r="B345" i="13"/>
  <c r="I344" i="13"/>
  <c r="H344" i="13"/>
  <c r="G344" i="13"/>
  <c r="F344" i="13"/>
  <c r="E344" i="13"/>
  <c r="D344" i="13"/>
  <c r="C344" i="13"/>
  <c r="B344" i="13"/>
  <c r="I343" i="13"/>
  <c r="H343" i="13"/>
  <c r="G343" i="13"/>
  <c r="F343" i="13"/>
  <c r="E343" i="13"/>
  <c r="D343" i="13"/>
  <c r="C343" i="13"/>
  <c r="B343" i="13"/>
  <c r="I342" i="13"/>
  <c r="H342" i="13"/>
  <c r="G342" i="13"/>
  <c r="F342" i="13"/>
  <c r="E342" i="13"/>
  <c r="D342" i="13"/>
  <c r="C342" i="13"/>
  <c r="B342" i="13"/>
  <c r="I341" i="13"/>
  <c r="H341" i="13"/>
  <c r="G341" i="13"/>
  <c r="F341" i="13"/>
  <c r="E341" i="13"/>
  <c r="D341" i="13"/>
  <c r="C341" i="13"/>
  <c r="B341" i="13"/>
  <c r="I340" i="13"/>
  <c r="H340" i="13"/>
  <c r="G340" i="13"/>
  <c r="F340" i="13"/>
  <c r="E340" i="13"/>
  <c r="D340" i="13"/>
  <c r="C340" i="13"/>
  <c r="B340" i="13"/>
  <c r="I339" i="13"/>
  <c r="H339" i="13"/>
  <c r="G339" i="13"/>
  <c r="F339" i="13"/>
  <c r="E339" i="13"/>
  <c r="D339" i="13"/>
  <c r="C339" i="13"/>
  <c r="B339" i="13"/>
  <c r="I338" i="13"/>
  <c r="H338" i="13"/>
  <c r="G338" i="13"/>
  <c r="F338" i="13"/>
  <c r="E338" i="13"/>
  <c r="D338" i="13"/>
  <c r="C338" i="13"/>
  <c r="B338" i="13"/>
  <c r="I337" i="13"/>
  <c r="H337" i="13"/>
  <c r="G337" i="13"/>
  <c r="F337" i="13"/>
  <c r="E337" i="13"/>
  <c r="D337" i="13"/>
  <c r="C337" i="13"/>
  <c r="B337" i="13"/>
  <c r="I336" i="13"/>
  <c r="H336" i="13"/>
  <c r="G336" i="13"/>
  <c r="F336" i="13"/>
  <c r="E336" i="13"/>
  <c r="D336" i="13"/>
  <c r="C336" i="13"/>
  <c r="B336" i="13"/>
  <c r="I335" i="13"/>
  <c r="H335" i="13"/>
  <c r="G335" i="13"/>
  <c r="F335" i="13"/>
  <c r="E335" i="13"/>
  <c r="D335" i="13"/>
  <c r="C335" i="13"/>
  <c r="B335" i="13"/>
  <c r="I334" i="13"/>
  <c r="H334" i="13"/>
  <c r="G334" i="13"/>
  <c r="F334" i="13"/>
  <c r="E334" i="13"/>
  <c r="D334" i="13"/>
  <c r="C334" i="13"/>
  <c r="B334" i="13"/>
  <c r="I333" i="13"/>
  <c r="H333" i="13"/>
  <c r="G333" i="13"/>
  <c r="F333" i="13"/>
  <c r="E333" i="13"/>
  <c r="D333" i="13"/>
  <c r="C333" i="13"/>
  <c r="B333" i="13"/>
  <c r="I332" i="13"/>
  <c r="H332" i="13"/>
  <c r="G332" i="13"/>
  <c r="F332" i="13"/>
  <c r="E332" i="13"/>
  <c r="D332" i="13"/>
  <c r="C332" i="13"/>
  <c r="B332" i="13"/>
  <c r="I331" i="13"/>
  <c r="H331" i="13"/>
  <c r="G331" i="13"/>
  <c r="F331" i="13"/>
  <c r="E331" i="13"/>
  <c r="D331" i="13"/>
  <c r="C331" i="13"/>
  <c r="B331" i="13"/>
  <c r="I330" i="13"/>
  <c r="H330" i="13"/>
  <c r="G330" i="13"/>
  <c r="F330" i="13"/>
  <c r="E330" i="13"/>
  <c r="D330" i="13"/>
  <c r="C330" i="13"/>
  <c r="B330" i="13"/>
  <c r="I329" i="13"/>
  <c r="H329" i="13"/>
  <c r="G329" i="13"/>
  <c r="F329" i="13"/>
  <c r="E329" i="13"/>
  <c r="D329" i="13"/>
  <c r="C329" i="13"/>
  <c r="B329" i="13"/>
  <c r="I328" i="13"/>
  <c r="H328" i="13"/>
  <c r="G328" i="13"/>
  <c r="F328" i="13"/>
  <c r="E328" i="13"/>
  <c r="D328" i="13"/>
  <c r="C328" i="13"/>
  <c r="B328" i="13"/>
  <c r="I327" i="13"/>
  <c r="H327" i="13"/>
  <c r="G327" i="13"/>
  <c r="F327" i="13"/>
  <c r="E327" i="13"/>
  <c r="D327" i="13"/>
  <c r="C327" i="13"/>
  <c r="B327" i="13"/>
  <c r="I326" i="13"/>
  <c r="H326" i="13"/>
  <c r="G326" i="13"/>
  <c r="F326" i="13"/>
  <c r="E326" i="13"/>
  <c r="D326" i="13"/>
  <c r="C326" i="13"/>
  <c r="B326" i="13"/>
  <c r="I325" i="13"/>
  <c r="H325" i="13"/>
  <c r="G325" i="13"/>
  <c r="F325" i="13"/>
  <c r="E325" i="13"/>
  <c r="D325" i="13"/>
  <c r="C325" i="13"/>
  <c r="B325" i="13"/>
  <c r="I324" i="13"/>
  <c r="H324" i="13"/>
  <c r="G324" i="13"/>
  <c r="F324" i="13"/>
  <c r="E324" i="13"/>
  <c r="D324" i="13"/>
  <c r="C324" i="13"/>
  <c r="B324" i="13"/>
  <c r="I323" i="13"/>
  <c r="H323" i="13"/>
  <c r="G323" i="13"/>
  <c r="F323" i="13"/>
  <c r="E323" i="13"/>
  <c r="D323" i="13"/>
  <c r="C323" i="13"/>
  <c r="B323" i="13"/>
  <c r="I322" i="13"/>
  <c r="H322" i="13"/>
  <c r="G322" i="13"/>
  <c r="F322" i="13"/>
  <c r="E322" i="13"/>
  <c r="D322" i="13"/>
  <c r="C322" i="13"/>
  <c r="B322" i="13"/>
  <c r="I321" i="13"/>
  <c r="H321" i="13"/>
  <c r="G321" i="13"/>
  <c r="F321" i="13"/>
  <c r="E321" i="13"/>
  <c r="D321" i="13"/>
  <c r="C321" i="13"/>
  <c r="B321" i="13"/>
  <c r="I320" i="13"/>
  <c r="H320" i="13"/>
  <c r="G320" i="13"/>
  <c r="F320" i="13"/>
  <c r="E320" i="13"/>
  <c r="D320" i="13"/>
  <c r="C320" i="13"/>
  <c r="B320" i="13"/>
  <c r="I319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I310" i="13"/>
  <c r="H310" i="13"/>
  <c r="G310" i="13"/>
  <c r="F310" i="13"/>
  <c r="E310" i="13"/>
  <c r="D310" i="13"/>
  <c r="C310" i="13"/>
  <c r="B310" i="13"/>
  <c r="I309" i="13"/>
  <c r="H309" i="13"/>
  <c r="G309" i="13"/>
  <c r="F309" i="13"/>
  <c r="E309" i="13"/>
  <c r="D309" i="13"/>
  <c r="C309" i="13"/>
  <c r="B309" i="13"/>
  <c r="I308" i="13"/>
  <c r="H308" i="13"/>
  <c r="G308" i="13"/>
  <c r="F308" i="13"/>
  <c r="E308" i="13"/>
  <c r="D308" i="13"/>
  <c r="C308" i="13"/>
  <c r="B308" i="13"/>
  <c r="I307" i="13"/>
  <c r="H307" i="13"/>
  <c r="G307" i="13"/>
  <c r="F307" i="13"/>
  <c r="E307" i="13"/>
  <c r="D307" i="13"/>
  <c r="C307" i="13"/>
  <c r="B307" i="13"/>
  <c r="I306" i="13"/>
  <c r="H306" i="13"/>
  <c r="G306" i="13"/>
  <c r="F306" i="13"/>
  <c r="E306" i="13"/>
  <c r="D306" i="13"/>
  <c r="C306" i="13"/>
  <c r="B306" i="13"/>
  <c r="I305" i="13"/>
  <c r="H305" i="13"/>
  <c r="G305" i="13"/>
  <c r="F305" i="13"/>
  <c r="E305" i="13"/>
  <c r="D305" i="13"/>
  <c r="C305" i="13"/>
  <c r="B305" i="13"/>
  <c r="I304" i="13"/>
  <c r="H304" i="13"/>
  <c r="G304" i="13"/>
  <c r="F304" i="13"/>
  <c r="E304" i="13"/>
  <c r="D304" i="13"/>
  <c r="C304" i="13"/>
  <c r="B304" i="13"/>
  <c r="I303" i="13"/>
  <c r="H303" i="13"/>
  <c r="G303" i="13"/>
  <c r="F303" i="13"/>
  <c r="E303" i="13"/>
  <c r="D303" i="13"/>
  <c r="C303" i="13"/>
  <c r="B303" i="13"/>
  <c r="I302" i="13"/>
  <c r="H302" i="13"/>
  <c r="G302" i="13"/>
  <c r="F302" i="13"/>
  <c r="E302" i="13"/>
  <c r="D302" i="13"/>
  <c r="C302" i="13"/>
  <c r="B302" i="13"/>
  <c r="I301" i="13"/>
  <c r="H301" i="13"/>
  <c r="G301" i="13"/>
  <c r="F301" i="13"/>
  <c r="E301" i="13"/>
  <c r="D301" i="13"/>
  <c r="C301" i="13"/>
  <c r="B301" i="13"/>
  <c r="I300" i="13"/>
  <c r="H300" i="13"/>
  <c r="G300" i="13"/>
  <c r="F300" i="13"/>
  <c r="E300" i="13"/>
  <c r="D300" i="13"/>
  <c r="C300" i="13"/>
  <c r="B300" i="13"/>
  <c r="I299" i="13"/>
  <c r="H299" i="13"/>
  <c r="G299" i="13"/>
  <c r="F299" i="13"/>
  <c r="E299" i="13"/>
  <c r="D299" i="13"/>
  <c r="C299" i="13"/>
  <c r="B299" i="13"/>
  <c r="I298" i="13"/>
  <c r="H298" i="13"/>
  <c r="G298" i="13"/>
  <c r="F298" i="13"/>
  <c r="E298" i="13"/>
  <c r="D298" i="13"/>
  <c r="C298" i="13"/>
  <c r="B298" i="13"/>
  <c r="I297" i="13"/>
  <c r="H297" i="13"/>
  <c r="G297" i="13"/>
  <c r="F297" i="13"/>
  <c r="E297" i="13"/>
  <c r="D297" i="13"/>
  <c r="C297" i="13"/>
  <c r="B297" i="13"/>
  <c r="I296" i="13"/>
  <c r="H296" i="13"/>
  <c r="G296" i="13"/>
  <c r="F296" i="13"/>
  <c r="E296" i="13"/>
  <c r="D296" i="13"/>
  <c r="C296" i="13"/>
  <c r="B296" i="13"/>
  <c r="I295" i="13"/>
  <c r="H295" i="13"/>
  <c r="G295" i="13"/>
  <c r="F295" i="13"/>
  <c r="E295" i="13"/>
  <c r="D295" i="13"/>
  <c r="C295" i="13"/>
  <c r="B295" i="13"/>
  <c r="I294" i="13"/>
  <c r="H294" i="13"/>
  <c r="G294" i="13"/>
  <c r="F294" i="13"/>
  <c r="E294" i="13"/>
  <c r="D294" i="13"/>
  <c r="C294" i="13"/>
  <c r="B294" i="13"/>
  <c r="I293" i="13"/>
  <c r="H293" i="13"/>
  <c r="G293" i="13"/>
  <c r="F293" i="13"/>
  <c r="E293" i="13"/>
  <c r="D293" i="13"/>
  <c r="C293" i="13"/>
  <c r="B293" i="13"/>
  <c r="I292" i="13"/>
  <c r="H292" i="13"/>
  <c r="G292" i="13"/>
  <c r="F292" i="13"/>
  <c r="E292" i="13"/>
  <c r="D292" i="13"/>
  <c r="C292" i="13"/>
  <c r="B292" i="13"/>
  <c r="I291" i="13"/>
  <c r="H291" i="13"/>
  <c r="G291" i="13"/>
  <c r="F291" i="13"/>
  <c r="E291" i="13"/>
  <c r="D291" i="13"/>
  <c r="C291" i="13"/>
  <c r="B291" i="13"/>
  <c r="I290" i="13"/>
  <c r="H290" i="13"/>
  <c r="G290" i="13"/>
  <c r="F290" i="13"/>
  <c r="E290" i="13"/>
  <c r="D290" i="13"/>
  <c r="C290" i="13"/>
  <c r="B290" i="13"/>
  <c r="I289" i="13"/>
  <c r="H289" i="13"/>
  <c r="G289" i="13"/>
  <c r="F289" i="13"/>
  <c r="E289" i="13"/>
  <c r="D289" i="13"/>
  <c r="C289" i="13"/>
  <c r="B289" i="13"/>
  <c r="I288" i="13"/>
  <c r="H288" i="13"/>
  <c r="G288" i="13"/>
  <c r="F288" i="13"/>
  <c r="E288" i="13"/>
  <c r="D288" i="13"/>
  <c r="C288" i="13"/>
  <c r="B288" i="13"/>
  <c r="I287" i="13"/>
  <c r="H287" i="13"/>
  <c r="G287" i="13"/>
  <c r="F287" i="13"/>
  <c r="E287" i="13"/>
  <c r="D287" i="13"/>
  <c r="C287" i="13"/>
  <c r="B287" i="13"/>
  <c r="I286" i="13"/>
  <c r="H286" i="13"/>
  <c r="G286" i="13"/>
  <c r="F286" i="13"/>
  <c r="E286" i="13"/>
  <c r="D286" i="13"/>
  <c r="C286" i="13"/>
  <c r="B286" i="13"/>
  <c r="I285" i="13"/>
  <c r="H285" i="13"/>
  <c r="G285" i="13"/>
  <c r="F285" i="13"/>
  <c r="E285" i="13"/>
  <c r="D285" i="13"/>
  <c r="C285" i="13"/>
  <c r="B285" i="13"/>
  <c r="I284" i="13"/>
  <c r="H284" i="13"/>
  <c r="G284" i="13"/>
  <c r="F284" i="13"/>
  <c r="E284" i="13"/>
  <c r="D284" i="13"/>
  <c r="C284" i="13"/>
  <c r="B284" i="13"/>
  <c r="I283" i="13"/>
  <c r="H283" i="13"/>
  <c r="G283" i="13"/>
  <c r="F283" i="13"/>
  <c r="E283" i="13"/>
  <c r="D283" i="13"/>
  <c r="C283" i="13"/>
  <c r="B283" i="13"/>
  <c r="I282" i="13"/>
  <c r="H282" i="13"/>
  <c r="G282" i="13"/>
  <c r="F282" i="13"/>
  <c r="E282" i="13"/>
  <c r="D282" i="13"/>
  <c r="C282" i="13"/>
  <c r="B282" i="13"/>
  <c r="I281" i="13"/>
  <c r="H281" i="13"/>
  <c r="G281" i="13"/>
  <c r="F281" i="13"/>
  <c r="E281" i="13"/>
  <c r="D281" i="13"/>
  <c r="C281" i="13"/>
  <c r="B281" i="13"/>
  <c r="I280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I271" i="13"/>
  <c r="H271" i="13"/>
  <c r="G271" i="13"/>
  <c r="F271" i="13"/>
  <c r="E271" i="13"/>
  <c r="D271" i="13"/>
  <c r="C271" i="13"/>
  <c r="B271" i="13"/>
  <c r="I270" i="13"/>
  <c r="H270" i="13"/>
  <c r="G270" i="13"/>
  <c r="F270" i="13"/>
  <c r="E270" i="13"/>
  <c r="D270" i="13"/>
  <c r="C270" i="13"/>
  <c r="B270" i="13"/>
  <c r="I269" i="13"/>
  <c r="H269" i="13"/>
  <c r="G269" i="13"/>
  <c r="F269" i="13"/>
  <c r="E269" i="13"/>
  <c r="D269" i="13"/>
  <c r="C269" i="13"/>
  <c r="B269" i="13"/>
  <c r="I268" i="13"/>
  <c r="H268" i="13"/>
  <c r="G268" i="13"/>
  <c r="F268" i="13"/>
  <c r="E268" i="13"/>
  <c r="D268" i="13"/>
  <c r="C268" i="13"/>
  <c r="B268" i="13"/>
  <c r="I267" i="13"/>
  <c r="H267" i="13"/>
  <c r="G267" i="13"/>
  <c r="F267" i="13"/>
  <c r="E267" i="13"/>
  <c r="D267" i="13"/>
  <c r="C267" i="13"/>
  <c r="B267" i="13"/>
  <c r="I266" i="13"/>
  <c r="H266" i="13"/>
  <c r="G266" i="13"/>
  <c r="F266" i="13"/>
  <c r="E266" i="13"/>
  <c r="D266" i="13"/>
  <c r="C266" i="13"/>
  <c r="B266" i="13"/>
  <c r="I265" i="13"/>
  <c r="H265" i="13"/>
  <c r="G265" i="13"/>
  <c r="F265" i="13"/>
  <c r="E265" i="13"/>
  <c r="D265" i="13"/>
  <c r="C265" i="13"/>
  <c r="B265" i="13"/>
  <c r="I264" i="13"/>
  <c r="H264" i="13"/>
  <c r="G264" i="13"/>
  <c r="F264" i="13"/>
  <c r="E264" i="13"/>
  <c r="D264" i="13"/>
  <c r="C264" i="13"/>
  <c r="B264" i="13"/>
  <c r="I263" i="13"/>
  <c r="H263" i="13"/>
  <c r="G263" i="13"/>
  <c r="F263" i="13"/>
  <c r="E263" i="13"/>
  <c r="D263" i="13"/>
  <c r="C263" i="13"/>
  <c r="B263" i="13"/>
  <c r="I262" i="13"/>
  <c r="H262" i="13"/>
  <c r="G262" i="13"/>
  <c r="F262" i="13"/>
  <c r="E262" i="13"/>
  <c r="D262" i="13"/>
  <c r="C262" i="13"/>
  <c r="B262" i="13"/>
  <c r="I261" i="13"/>
  <c r="H261" i="13"/>
  <c r="G261" i="13"/>
  <c r="F261" i="13"/>
  <c r="E261" i="13"/>
  <c r="D261" i="13"/>
  <c r="C261" i="13"/>
  <c r="B261" i="13"/>
  <c r="I260" i="13"/>
  <c r="H260" i="13"/>
  <c r="G260" i="13"/>
  <c r="F260" i="13"/>
  <c r="E260" i="13"/>
  <c r="D260" i="13"/>
  <c r="C260" i="13"/>
  <c r="B260" i="13"/>
  <c r="I259" i="13"/>
  <c r="H259" i="13"/>
  <c r="G259" i="13"/>
  <c r="F259" i="13"/>
  <c r="E259" i="13"/>
  <c r="D259" i="13"/>
  <c r="C259" i="13"/>
  <c r="B259" i="13"/>
  <c r="I258" i="13"/>
  <c r="H258" i="13"/>
  <c r="G258" i="13"/>
  <c r="F258" i="13"/>
  <c r="E258" i="13"/>
  <c r="D258" i="13"/>
  <c r="C258" i="13"/>
  <c r="B258" i="13"/>
  <c r="I257" i="13"/>
  <c r="H257" i="13"/>
  <c r="G257" i="13"/>
  <c r="F257" i="13"/>
  <c r="E257" i="13"/>
  <c r="D257" i="13"/>
  <c r="C257" i="13"/>
  <c r="B257" i="13"/>
  <c r="I256" i="13"/>
  <c r="H256" i="13"/>
  <c r="G256" i="13"/>
  <c r="F256" i="13"/>
  <c r="E256" i="13"/>
  <c r="D256" i="13"/>
  <c r="C256" i="13"/>
  <c r="B256" i="13"/>
  <c r="I255" i="13"/>
  <c r="H255" i="13"/>
  <c r="G255" i="13"/>
  <c r="F255" i="13"/>
  <c r="E255" i="13"/>
  <c r="D255" i="13"/>
  <c r="C255" i="13"/>
  <c r="B255" i="13"/>
  <c r="I254" i="13"/>
  <c r="H254" i="13"/>
  <c r="G254" i="13"/>
  <c r="F254" i="13"/>
  <c r="E254" i="13"/>
  <c r="D254" i="13"/>
  <c r="C254" i="13"/>
  <c r="B254" i="13"/>
  <c r="I253" i="13"/>
  <c r="H253" i="13"/>
  <c r="G253" i="13"/>
  <c r="F253" i="13"/>
  <c r="E253" i="13"/>
  <c r="D253" i="13"/>
  <c r="C253" i="13"/>
  <c r="B253" i="13"/>
  <c r="I252" i="13"/>
  <c r="H252" i="13"/>
  <c r="G252" i="13"/>
  <c r="F252" i="13"/>
  <c r="E252" i="13"/>
  <c r="D252" i="13"/>
  <c r="C252" i="13"/>
  <c r="B252" i="13"/>
  <c r="I251" i="13"/>
  <c r="H251" i="13"/>
  <c r="G251" i="13"/>
  <c r="F251" i="13"/>
  <c r="E251" i="13"/>
  <c r="D251" i="13"/>
  <c r="C251" i="13"/>
  <c r="B251" i="13"/>
  <c r="I250" i="13"/>
  <c r="H250" i="13"/>
  <c r="G250" i="13"/>
  <c r="F250" i="13"/>
  <c r="E250" i="13"/>
  <c r="D250" i="13"/>
  <c r="C250" i="13"/>
  <c r="B250" i="13"/>
  <c r="I249" i="13"/>
  <c r="H249" i="13"/>
  <c r="G249" i="13"/>
  <c r="F249" i="13"/>
  <c r="E249" i="13"/>
  <c r="D249" i="13"/>
  <c r="C249" i="13"/>
  <c r="B249" i="13"/>
  <c r="I248" i="13"/>
  <c r="H248" i="13"/>
  <c r="G248" i="13"/>
  <c r="F248" i="13"/>
  <c r="E248" i="13"/>
  <c r="D248" i="13"/>
  <c r="C248" i="13"/>
  <c r="B248" i="13"/>
  <c r="I247" i="13"/>
  <c r="H247" i="13"/>
  <c r="G247" i="13"/>
  <c r="F247" i="13"/>
  <c r="E247" i="13"/>
  <c r="D247" i="13"/>
  <c r="C247" i="13"/>
  <c r="B247" i="13"/>
  <c r="I246" i="13"/>
  <c r="H246" i="13"/>
  <c r="G246" i="13"/>
  <c r="F246" i="13"/>
  <c r="E246" i="13"/>
  <c r="D246" i="13"/>
  <c r="C246" i="13"/>
  <c r="B246" i="13"/>
  <c r="I245" i="13"/>
  <c r="H245" i="13"/>
  <c r="G245" i="13"/>
  <c r="F245" i="13"/>
  <c r="E245" i="13"/>
  <c r="D245" i="13"/>
  <c r="C245" i="13"/>
  <c r="B245" i="13"/>
  <c r="I244" i="13"/>
  <c r="H244" i="13"/>
  <c r="G244" i="13"/>
  <c r="F244" i="13"/>
  <c r="E244" i="13"/>
  <c r="D244" i="13"/>
  <c r="C244" i="13"/>
  <c r="B244" i="13"/>
  <c r="I243" i="13"/>
  <c r="H243" i="13"/>
  <c r="G243" i="13"/>
  <c r="F243" i="13"/>
  <c r="E243" i="13"/>
  <c r="D243" i="13"/>
  <c r="C243" i="13"/>
  <c r="B243" i="13"/>
  <c r="I242" i="13"/>
  <c r="H242" i="13"/>
  <c r="G242" i="13"/>
  <c r="F242" i="13"/>
  <c r="E242" i="13"/>
  <c r="D242" i="13"/>
  <c r="C242" i="13"/>
  <c r="B242" i="13"/>
  <c r="I241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I231" i="13"/>
  <c r="H231" i="13"/>
  <c r="G231" i="13"/>
  <c r="F231" i="13"/>
  <c r="E231" i="13"/>
  <c r="D231" i="13"/>
  <c r="C231" i="13"/>
  <c r="B231" i="13"/>
  <c r="I230" i="13"/>
  <c r="H230" i="13"/>
  <c r="G230" i="13"/>
  <c r="F230" i="13"/>
  <c r="E230" i="13"/>
  <c r="D230" i="13"/>
  <c r="C230" i="13"/>
  <c r="B230" i="13"/>
  <c r="I229" i="13"/>
  <c r="H229" i="13"/>
  <c r="G229" i="13"/>
  <c r="F229" i="13"/>
  <c r="E229" i="13"/>
  <c r="D229" i="13"/>
  <c r="C229" i="13"/>
  <c r="B229" i="13"/>
  <c r="I228" i="13"/>
  <c r="H228" i="13"/>
  <c r="G228" i="13"/>
  <c r="F228" i="13"/>
  <c r="E228" i="13"/>
  <c r="D228" i="13"/>
  <c r="C228" i="13"/>
  <c r="B228" i="13"/>
  <c r="I227" i="13"/>
  <c r="H227" i="13"/>
  <c r="G227" i="13"/>
  <c r="F227" i="13"/>
  <c r="E227" i="13"/>
  <c r="D227" i="13"/>
  <c r="C227" i="13"/>
  <c r="B227" i="13"/>
  <c r="I226" i="13"/>
  <c r="H226" i="13"/>
  <c r="G226" i="13"/>
  <c r="F226" i="13"/>
  <c r="E226" i="13"/>
  <c r="D226" i="13"/>
  <c r="C226" i="13"/>
  <c r="B226" i="13"/>
  <c r="I225" i="13"/>
  <c r="H225" i="13"/>
  <c r="G225" i="13"/>
  <c r="F225" i="13"/>
  <c r="E225" i="13"/>
  <c r="D225" i="13"/>
  <c r="C225" i="13"/>
  <c r="B225" i="13"/>
  <c r="I224" i="13"/>
  <c r="H224" i="13"/>
  <c r="G224" i="13"/>
  <c r="F224" i="13"/>
  <c r="E224" i="13"/>
  <c r="D224" i="13"/>
  <c r="C224" i="13"/>
  <c r="B224" i="13"/>
  <c r="I223" i="13"/>
  <c r="H223" i="13"/>
  <c r="G223" i="13"/>
  <c r="F223" i="13"/>
  <c r="E223" i="13"/>
  <c r="D223" i="13"/>
  <c r="C223" i="13"/>
  <c r="B223" i="13"/>
  <c r="I222" i="13"/>
  <c r="H222" i="13"/>
  <c r="G222" i="13"/>
  <c r="F222" i="13"/>
  <c r="E222" i="13"/>
  <c r="D222" i="13"/>
  <c r="C222" i="13"/>
  <c r="B222" i="13"/>
  <c r="I221" i="13"/>
  <c r="H221" i="13"/>
  <c r="G221" i="13"/>
  <c r="F221" i="13"/>
  <c r="E221" i="13"/>
  <c r="D221" i="13"/>
  <c r="C221" i="13"/>
  <c r="B221" i="13"/>
  <c r="I220" i="13"/>
  <c r="H220" i="13"/>
  <c r="G220" i="13"/>
  <c r="F220" i="13"/>
  <c r="E220" i="13"/>
  <c r="D220" i="13"/>
  <c r="C220" i="13"/>
  <c r="B220" i="13"/>
  <c r="I219" i="13"/>
  <c r="H219" i="13"/>
  <c r="G219" i="13"/>
  <c r="F219" i="13"/>
  <c r="E219" i="13"/>
  <c r="D219" i="13"/>
  <c r="C219" i="13"/>
  <c r="B219" i="13"/>
  <c r="I218" i="13"/>
  <c r="H218" i="13"/>
  <c r="G218" i="13"/>
  <c r="F218" i="13"/>
  <c r="E218" i="13"/>
  <c r="D218" i="13"/>
  <c r="C218" i="13"/>
  <c r="B218" i="13"/>
  <c r="I217" i="13"/>
  <c r="H217" i="13"/>
  <c r="G217" i="13"/>
  <c r="F217" i="13"/>
  <c r="E217" i="13"/>
  <c r="D217" i="13"/>
  <c r="C217" i="13"/>
  <c r="B217" i="13"/>
  <c r="I216" i="13"/>
  <c r="H216" i="13"/>
  <c r="G216" i="13"/>
  <c r="F216" i="13"/>
  <c r="E216" i="13"/>
  <c r="D216" i="13"/>
  <c r="C216" i="13"/>
  <c r="B216" i="13"/>
  <c r="I215" i="13"/>
  <c r="H215" i="13"/>
  <c r="G215" i="13"/>
  <c r="F215" i="13"/>
  <c r="E215" i="13"/>
  <c r="D215" i="13"/>
  <c r="C215" i="13"/>
  <c r="B215" i="13"/>
  <c r="I214" i="13"/>
  <c r="H214" i="13"/>
  <c r="G214" i="13"/>
  <c r="F214" i="13"/>
  <c r="E214" i="13"/>
  <c r="D214" i="13"/>
  <c r="C214" i="13"/>
  <c r="B214" i="13"/>
  <c r="I213" i="13"/>
  <c r="H213" i="13"/>
  <c r="G213" i="13"/>
  <c r="F213" i="13"/>
  <c r="E213" i="13"/>
  <c r="D213" i="13"/>
  <c r="C213" i="13"/>
  <c r="B213" i="13"/>
  <c r="I212" i="13"/>
  <c r="H212" i="13"/>
  <c r="G212" i="13"/>
  <c r="F212" i="13"/>
  <c r="E212" i="13"/>
  <c r="D212" i="13"/>
  <c r="C212" i="13"/>
  <c r="B212" i="13"/>
  <c r="I211" i="13"/>
  <c r="H211" i="13"/>
  <c r="G211" i="13"/>
  <c r="F211" i="13"/>
  <c r="E211" i="13"/>
  <c r="D211" i="13"/>
  <c r="C211" i="13"/>
  <c r="B211" i="13"/>
  <c r="I210" i="13"/>
  <c r="H210" i="13"/>
  <c r="G210" i="13"/>
  <c r="F210" i="13"/>
  <c r="E210" i="13"/>
  <c r="D210" i="13"/>
  <c r="C210" i="13"/>
  <c r="B210" i="13"/>
  <c r="I209" i="13"/>
  <c r="H209" i="13"/>
  <c r="G209" i="13"/>
  <c r="F209" i="13"/>
  <c r="E209" i="13"/>
  <c r="D209" i="13"/>
  <c r="C209" i="13"/>
  <c r="B209" i="13"/>
  <c r="I208" i="13"/>
  <c r="H208" i="13"/>
  <c r="G208" i="13"/>
  <c r="F208" i="13"/>
  <c r="E208" i="13"/>
  <c r="D208" i="13"/>
  <c r="C208" i="13"/>
  <c r="B208" i="13"/>
  <c r="I207" i="13"/>
  <c r="H207" i="13"/>
  <c r="G207" i="13"/>
  <c r="F207" i="13"/>
  <c r="E207" i="13"/>
  <c r="D207" i="13"/>
  <c r="C207" i="13"/>
  <c r="B207" i="13"/>
  <c r="I206" i="13"/>
  <c r="H206" i="13"/>
  <c r="G206" i="13"/>
  <c r="F206" i="13"/>
  <c r="E206" i="13"/>
  <c r="D206" i="13"/>
  <c r="C206" i="13"/>
  <c r="B206" i="13"/>
  <c r="I205" i="13"/>
  <c r="H205" i="13"/>
  <c r="G205" i="13"/>
  <c r="F205" i="13"/>
  <c r="E205" i="13"/>
  <c r="D205" i="13"/>
  <c r="C205" i="13"/>
  <c r="B205" i="13"/>
  <c r="I204" i="13"/>
  <c r="H204" i="13"/>
  <c r="G204" i="13"/>
  <c r="F204" i="13"/>
  <c r="E204" i="13"/>
  <c r="D204" i="13"/>
  <c r="C204" i="13"/>
  <c r="B204" i="13"/>
  <c r="I203" i="13"/>
  <c r="H203" i="13"/>
  <c r="G203" i="13"/>
  <c r="F203" i="13"/>
  <c r="E203" i="13"/>
  <c r="D203" i="13"/>
  <c r="C203" i="13"/>
  <c r="B203" i="13"/>
  <c r="I202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I193" i="13"/>
  <c r="H193" i="13"/>
  <c r="G193" i="13"/>
  <c r="F193" i="13"/>
  <c r="E193" i="13"/>
  <c r="D193" i="13"/>
  <c r="C193" i="13"/>
  <c r="B193" i="13"/>
  <c r="I192" i="13"/>
  <c r="H192" i="13"/>
  <c r="G192" i="13"/>
  <c r="F192" i="13"/>
  <c r="E192" i="13"/>
  <c r="D192" i="13"/>
  <c r="C192" i="13"/>
  <c r="B192" i="13"/>
  <c r="I191" i="13"/>
  <c r="H191" i="13"/>
  <c r="G191" i="13"/>
  <c r="F191" i="13"/>
  <c r="E191" i="13"/>
  <c r="D191" i="13"/>
  <c r="C191" i="13"/>
  <c r="B191" i="13"/>
  <c r="I190" i="13"/>
  <c r="H190" i="13"/>
  <c r="G190" i="13"/>
  <c r="F190" i="13"/>
  <c r="E190" i="13"/>
  <c r="D190" i="13"/>
  <c r="C190" i="13"/>
  <c r="B190" i="13"/>
  <c r="I189" i="13"/>
  <c r="H189" i="13"/>
  <c r="G189" i="13"/>
  <c r="F189" i="13"/>
  <c r="E189" i="13"/>
  <c r="D189" i="13"/>
  <c r="C189" i="13"/>
  <c r="B189" i="13"/>
  <c r="I188" i="13"/>
  <c r="H188" i="13"/>
  <c r="G188" i="13"/>
  <c r="F188" i="13"/>
  <c r="E188" i="13"/>
  <c r="D188" i="13"/>
  <c r="C188" i="13"/>
  <c r="B188" i="13"/>
  <c r="I187" i="13"/>
  <c r="H187" i="13"/>
  <c r="G187" i="13"/>
  <c r="F187" i="13"/>
  <c r="E187" i="13"/>
  <c r="D187" i="13"/>
  <c r="C187" i="13"/>
  <c r="B187" i="13"/>
  <c r="I186" i="13"/>
  <c r="H186" i="13"/>
  <c r="G186" i="13"/>
  <c r="F186" i="13"/>
  <c r="E186" i="13"/>
  <c r="D186" i="13"/>
  <c r="C186" i="13"/>
  <c r="B186" i="13"/>
  <c r="I185" i="13"/>
  <c r="H185" i="13"/>
  <c r="G185" i="13"/>
  <c r="F185" i="13"/>
  <c r="E185" i="13"/>
  <c r="D185" i="13"/>
  <c r="C185" i="13"/>
  <c r="B185" i="13"/>
  <c r="I184" i="13"/>
  <c r="H184" i="13"/>
  <c r="G184" i="13"/>
  <c r="F184" i="13"/>
  <c r="E184" i="13"/>
  <c r="D184" i="13"/>
  <c r="C184" i="13"/>
  <c r="B184" i="13"/>
  <c r="I183" i="13"/>
  <c r="H183" i="13"/>
  <c r="G183" i="13"/>
  <c r="F183" i="13"/>
  <c r="E183" i="13"/>
  <c r="D183" i="13"/>
  <c r="C183" i="13"/>
  <c r="B183" i="13"/>
  <c r="I182" i="13"/>
  <c r="H182" i="13"/>
  <c r="G182" i="13"/>
  <c r="F182" i="13"/>
  <c r="E182" i="13"/>
  <c r="D182" i="13"/>
  <c r="C182" i="13"/>
  <c r="B182" i="13"/>
  <c r="I181" i="13"/>
  <c r="H181" i="13"/>
  <c r="G181" i="13"/>
  <c r="F181" i="13"/>
  <c r="E181" i="13"/>
  <c r="D181" i="13"/>
  <c r="C181" i="13"/>
  <c r="B181" i="13"/>
  <c r="I180" i="13"/>
  <c r="H180" i="13"/>
  <c r="G180" i="13"/>
  <c r="F180" i="13"/>
  <c r="E180" i="13"/>
  <c r="D180" i="13"/>
  <c r="C180" i="13"/>
  <c r="B180" i="13"/>
  <c r="I179" i="13"/>
  <c r="H179" i="13"/>
  <c r="G179" i="13"/>
  <c r="F179" i="13"/>
  <c r="E179" i="13"/>
  <c r="D179" i="13"/>
  <c r="C179" i="13"/>
  <c r="B179" i="13"/>
  <c r="I178" i="13"/>
  <c r="H178" i="13"/>
  <c r="G178" i="13"/>
  <c r="F178" i="13"/>
  <c r="E178" i="13"/>
  <c r="D178" i="13"/>
  <c r="C178" i="13"/>
  <c r="B178" i="13"/>
  <c r="I177" i="13"/>
  <c r="H177" i="13"/>
  <c r="G177" i="13"/>
  <c r="F177" i="13"/>
  <c r="E177" i="13"/>
  <c r="D177" i="13"/>
  <c r="C177" i="13"/>
  <c r="B177" i="13"/>
  <c r="I176" i="13"/>
  <c r="H176" i="13"/>
  <c r="G176" i="13"/>
  <c r="F176" i="13"/>
  <c r="E176" i="13"/>
  <c r="D176" i="13"/>
  <c r="C176" i="13"/>
  <c r="B176" i="13"/>
  <c r="I175" i="13"/>
  <c r="H175" i="13"/>
  <c r="G175" i="13"/>
  <c r="F175" i="13"/>
  <c r="E175" i="13"/>
  <c r="D175" i="13"/>
  <c r="C175" i="13"/>
  <c r="B175" i="13"/>
  <c r="I174" i="13"/>
  <c r="H174" i="13"/>
  <c r="G174" i="13"/>
  <c r="F174" i="13"/>
  <c r="E174" i="13"/>
  <c r="D174" i="13"/>
  <c r="C174" i="13"/>
  <c r="B174" i="13"/>
  <c r="I173" i="13"/>
  <c r="H173" i="13"/>
  <c r="G173" i="13"/>
  <c r="F173" i="13"/>
  <c r="E173" i="13"/>
  <c r="D173" i="13"/>
  <c r="C173" i="13"/>
  <c r="B173" i="13"/>
  <c r="I172" i="13"/>
  <c r="H172" i="13"/>
  <c r="G172" i="13"/>
  <c r="F172" i="13"/>
  <c r="E172" i="13"/>
  <c r="D172" i="13"/>
  <c r="C172" i="13"/>
  <c r="B172" i="13"/>
  <c r="I171" i="13"/>
  <c r="H171" i="13"/>
  <c r="G171" i="13"/>
  <c r="F171" i="13"/>
  <c r="E171" i="13"/>
  <c r="D171" i="13"/>
  <c r="C171" i="13"/>
  <c r="B171" i="13"/>
  <c r="I170" i="13"/>
  <c r="H170" i="13"/>
  <c r="G170" i="13"/>
  <c r="F170" i="13"/>
  <c r="E170" i="13"/>
  <c r="D170" i="13"/>
  <c r="C170" i="13"/>
  <c r="B170" i="13"/>
  <c r="I169" i="13"/>
  <c r="H169" i="13"/>
  <c r="G169" i="13"/>
  <c r="F169" i="13"/>
  <c r="E169" i="13"/>
  <c r="D169" i="13"/>
  <c r="C169" i="13"/>
  <c r="B169" i="13"/>
  <c r="I168" i="13"/>
  <c r="H168" i="13"/>
  <c r="G168" i="13"/>
  <c r="F168" i="13"/>
  <c r="E168" i="13"/>
  <c r="D168" i="13"/>
  <c r="C168" i="13"/>
  <c r="B168" i="13"/>
  <c r="I167" i="13"/>
  <c r="H167" i="13"/>
  <c r="G167" i="13"/>
  <c r="F167" i="13"/>
  <c r="E167" i="13"/>
  <c r="D167" i="13"/>
  <c r="C167" i="13"/>
  <c r="B167" i="13"/>
  <c r="I166" i="13"/>
  <c r="H166" i="13"/>
  <c r="G166" i="13"/>
  <c r="F166" i="13"/>
  <c r="E166" i="13"/>
  <c r="D166" i="13"/>
  <c r="C166" i="13"/>
  <c r="B166" i="13"/>
  <c r="I165" i="13"/>
  <c r="H165" i="13"/>
  <c r="G165" i="13"/>
  <c r="F165" i="13"/>
  <c r="E165" i="13"/>
  <c r="D165" i="13"/>
  <c r="C165" i="13"/>
  <c r="B165" i="13"/>
  <c r="I164" i="13"/>
  <c r="H164" i="13"/>
  <c r="G164" i="13"/>
  <c r="F164" i="13"/>
  <c r="E164" i="13"/>
  <c r="D164" i="13"/>
  <c r="C164" i="13"/>
  <c r="B164" i="13"/>
  <c r="I163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I153" i="13"/>
  <c r="H153" i="13"/>
  <c r="G153" i="13"/>
  <c r="F153" i="13"/>
  <c r="E153" i="13"/>
  <c r="D153" i="13"/>
  <c r="C153" i="13"/>
  <c r="B153" i="13"/>
  <c r="I152" i="13"/>
  <c r="H152" i="13"/>
  <c r="G152" i="13"/>
  <c r="F152" i="13"/>
  <c r="E152" i="13"/>
  <c r="D152" i="13"/>
  <c r="C152" i="13"/>
  <c r="B152" i="13"/>
  <c r="I151" i="13"/>
  <c r="H151" i="13"/>
  <c r="G151" i="13"/>
  <c r="F151" i="13"/>
  <c r="E151" i="13"/>
  <c r="D151" i="13"/>
  <c r="C151" i="13"/>
  <c r="B151" i="13"/>
  <c r="I150" i="13"/>
  <c r="H150" i="13"/>
  <c r="G150" i="13"/>
  <c r="F150" i="13"/>
  <c r="E150" i="13"/>
  <c r="D150" i="13"/>
  <c r="C150" i="13"/>
  <c r="B150" i="13"/>
  <c r="I149" i="13"/>
  <c r="H149" i="13"/>
  <c r="G149" i="13"/>
  <c r="F149" i="13"/>
  <c r="E149" i="13"/>
  <c r="D149" i="13"/>
  <c r="C149" i="13"/>
  <c r="B149" i="13"/>
  <c r="I148" i="13"/>
  <c r="H148" i="13"/>
  <c r="G148" i="13"/>
  <c r="F148" i="13"/>
  <c r="E148" i="13"/>
  <c r="D148" i="13"/>
  <c r="C148" i="13"/>
  <c r="B148" i="13"/>
  <c r="I147" i="13"/>
  <c r="H147" i="13"/>
  <c r="G147" i="13"/>
  <c r="F147" i="13"/>
  <c r="E147" i="13"/>
  <c r="D147" i="13"/>
  <c r="C147" i="13"/>
  <c r="B147" i="13"/>
  <c r="I146" i="13"/>
  <c r="H146" i="13"/>
  <c r="G146" i="13"/>
  <c r="F146" i="13"/>
  <c r="E146" i="13"/>
  <c r="D146" i="13"/>
  <c r="C146" i="13"/>
  <c r="B146" i="13"/>
  <c r="I145" i="13"/>
  <c r="H145" i="13"/>
  <c r="G145" i="13"/>
  <c r="F145" i="13"/>
  <c r="E145" i="13"/>
  <c r="D145" i="13"/>
  <c r="C145" i="13"/>
  <c r="B145" i="13"/>
  <c r="I144" i="13"/>
  <c r="H144" i="13"/>
  <c r="G144" i="13"/>
  <c r="F144" i="13"/>
  <c r="E144" i="13"/>
  <c r="D144" i="13"/>
  <c r="C144" i="13"/>
  <c r="B144" i="13"/>
  <c r="I143" i="13"/>
  <c r="H143" i="13"/>
  <c r="G143" i="13"/>
  <c r="F143" i="13"/>
  <c r="E143" i="13"/>
  <c r="D143" i="13"/>
  <c r="C143" i="13"/>
  <c r="B143" i="13"/>
  <c r="I142" i="13"/>
  <c r="H142" i="13"/>
  <c r="G142" i="13"/>
  <c r="F142" i="13"/>
  <c r="E142" i="13"/>
  <c r="D142" i="13"/>
  <c r="C142" i="13"/>
  <c r="B142" i="13"/>
  <c r="I141" i="13"/>
  <c r="H141" i="13"/>
  <c r="G141" i="13"/>
  <c r="F141" i="13"/>
  <c r="E141" i="13"/>
  <c r="D141" i="13"/>
  <c r="C141" i="13"/>
  <c r="B141" i="13"/>
  <c r="I140" i="13"/>
  <c r="H140" i="13"/>
  <c r="G140" i="13"/>
  <c r="F140" i="13"/>
  <c r="E140" i="13"/>
  <c r="D140" i="13"/>
  <c r="C140" i="13"/>
  <c r="B140" i="13"/>
  <c r="I139" i="13"/>
  <c r="H139" i="13"/>
  <c r="G139" i="13"/>
  <c r="F139" i="13"/>
  <c r="E139" i="13"/>
  <c r="D139" i="13"/>
  <c r="C139" i="13"/>
  <c r="B139" i="13"/>
  <c r="I138" i="13"/>
  <c r="H138" i="13"/>
  <c r="G138" i="13"/>
  <c r="F138" i="13"/>
  <c r="E138" i="13"/>
  <c r="D138" i="13"/>
  <c r="C138" i="13"/>
  <c r="B138" i="13"/>
  <c r="I137" i="13"/>
  <c r="H137" i="13"/>
  <c r="G137" i="13"/>
  <c r="F137" i="13"/>
  <c r="E137" i="13"/>
  <c r="D137" i="13"/>
  <c r="C137" i="13"/>
  <c r="B137" i="13"/>
  <c r="I136" i="13"/>
  <c r="H136" i="13"/>
  <c r="G136" i="13"/>
  <c r="F136" i="13"/>
  <c r="E136" i="13"/>
  <c r="D136" i="13"/>
  <c r="C136" i="13"/>
  <c r="B136" i="13"/>
  <c r="I135" i="13"/>
  <c r="H135" i="13"/>
  <c r="G135" i="13"/>
  <c r="F135" i="13"/>
  <c r="E135" i="13"/>
  <c r="D135" i="13"/>
  <c r="C135" i="13"/>
  <c r="B135" i="13"/>
  <c r="I134" i="13"/>
  <c r="H134" i="13"/>
  <c r="G134" i="13"/>
  <c r="F134" i="13"/>
  <c r="E134" i="13"/>
  <c r="D134" i="13"/>
  <c r="C134" i="13"/>
  <c r="B134" i="13"/>
  <c r="I133" i="13"/>
  <c r="H133" i="13"/>
  <c r="G133" i="13"/>
  <c r="F133" i="13"/>
  <c r="E133" i="13"/>
  <c r="D133" i="13"/>
  <c r="C133" i="13"/>
  <c r="B133" i="13"/>
  <c r="I132" i="13"/>
  <c r="H132" i="13"/>
  <c r="G132" i="13"/>
  <c r="F132" i="13"/>
  <c r="E132" i="13"/>
  <c r="D132" i="13"/>
  <c r="C132" i="13"/>
  <c r="B132" i="13"/>
  <c r="I131" i="13"/>
  <c r="H131" i="13"/>
  <c r="G131" i="13"/>
  <c r="F131" i="13"/>
  <c r="E131" i="13"/>
  <c r="D131" i="13"/>
  <c r="C131" i="13"/>
  <c r="B131" i="13"/>
  <c r="I130" i="13"/>
  <c r="H130" i="13"/>
  <c r="G130" i="13"/>
  <c r="F130" i="13"/>
  <c r="E130" i="13"/>
  <c r="D130" i="13"/>
  <c r="C130" i="13"/>
  <c r="B130" i="13"/>
  <c r="I129" i="13"/>
  <c r="H129" i="13"/>
  <c r="G129" i="13"/>
  <c r="F129" i="13"/>
  <c r="E129" i="13"/>
  <c r="D129" i="13"/>
  <c r="C129" i="13"/>
  <c r="B129" i="13"/>
  <c r="I128" i="13"/>
  <c r="H128" i="13"/>
  <c r="G128" i="13"/>
  <c r="F128" i="13"/>
  <c r="E128" i="13"/>
  <c r="D128" i="13"/>
  <c r="C128" i="13"/>
  <c r="B128" i="13"/>
  <c r="I127" i="13"/>
  <c r="H127" i="13"/>
  <c r="G127" i="13"/>
  <c r="F127" i="13"/>
  <c r="E127" i="13"/>
  <c r="D127" i="13"/>
  <c r="C127" i="13"/>
  <c r="B127" i="13"/>
  <c r="I126" i="13"/>
  <c r="H126" i="13"/>
  <c r="G126" i="13"/>
  <c r="F126" i="13"/>
  <c r="E126" i="13"/>
  <c r="D126" i="13"/>
  <c r="C126" i="13"/>
  <c r="B126" i="13"/>
  <c r="I125" i="13"/>
  <c r="H125" i="13"/>
  <c r="G125" i="13"/>
  <c r="F125" i="13"/>
  <c r="E125" i="13"/>
  <c r="D125" i="13"/>
  <c r="C125" i="13"/>
  <c r="B125" i="13"/>
  <c r="I124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I115" i="13"/>
  <c r="H115" i="13"/>
  <c r="G115" i="13"/>
  <c r="F115" i="13"/>
  <c r="E115" i="13"/>
  <c r="D115" i="13"/>
  <c r="C115" i="13"/>
  <c r="B115" i="13"/>
  <c r="I114" i="13"/>
  <c r="H114" i="13"/>
  <c r="G114" i="13"/>
  <c r="F114" i="13"/>
  <c r="E114" i="13"/>
  <c r="D114" i="13"/>
  <c r="C114" i="13"/>
  <c r="B114" i="13"/>
  <c r="I113" i="13"/>
  <c r="H113" i="13"/>
  <c r="G113" i="13"/>
  <c r="F113" i="13"/>
  <c r="E113" i="13"/>
  <c r="D113" i="13"/>
  <c r="C113" i="13"/>
  <c r="B113" i="13"/>
  <c r="I112" i="13"/>
  <c r="H112" i="13"/>
  <c r="G112" i="13"/>
  <c r="F112" i="13"/>
  <c r="E112" i="13"/>
  <c r="D112" i="13"/>
  <c r="C112" i="13"/>
  <c r="B112" i="13"/>
  <c r="I111" i="13"/>
  <c r="H111" i="13"/>
  <c r="G111" i="13"/>
  <c r="F111" i="13"/>
  <c r="E111" i="13"/>
  <c r="D111" i="13"/>
  <c r="C111" i="13"/>
  <c r="B111" i="13"/>
  <c r="I110" i="13"/>
  <c r="H110" i="13"/>
  <c r="G110" i="13"/>
  <c r="F110" i="13"/>
  <c r="E110" i="13"/>
  <c r="D110" i="13"/>
  <c r="C110" i="13"/>
  <c r="B110" i="13"/>
  <c r="I109" i="13"/>
  <c r="H109" i="13"/>
  <c r="G109" i="13"/>
  <c r="F109" i="13"/>
  <c r="E109" i="13"/>
  <c r="D109" i="13"/>
  <c r="C109" i="13"/>
  <c r="B109" i="13"/>
  <c r="I108" i="13"/>
  <c r="H108" i="13"/>
  <c r="G108" i="13"/>
  <c r="F108" i="13"/>
  <c r="E108" i="13"/>
  <c r="D108" i="13"/>
  <c r="C108" i="13"/>
  <c r="B108" i="13"/>
  <c r="I107" i="13"/>
  <c r="H107" i="13"/>
  <c r="G107" i="13"/>
  <c r="F107" i="13"/>
  <c r="E107" i="13"/>
  <c r="D107" i="13"/>
  <c r="C107" i="13"/>
  <c r="B107" i="13"/>
  <c r="I106" i="13"/>
  <c r="H106" i="13"/>
  <c r="G106" i="13"/>
  <c r="F106" i="13"/>
  <c r="E106" i="13"/>
  <c r="D106" i="13"/>
  <c r="C106" i="13"/>
  <c r="B106" i="13"/>
  <c r="I105" i="13"/>
  <c r="H105" i="13"/>
  <c r="G105" i="13"/>
  <c r="F105" i="13"/>
  <c r="E105" i="13"/>
  <c r="D105" i="13"/>
  <c r="C105" i="13"/>
  <c r="B105" i="13"/>
  <c r="I104" i="13"/>
  <c r="H104" i="13"/>
  <c r="G104" i="13"/>
  <c r="F104" i="13"/>
  <c r="E104" i="13"/>
  <c r="D104" i="13"/>
  <c r="C104" i="13"/>
  <c r="B104" i="13"/>
  <c r="I103" i="13"/>
  <c r="H103" i="13"/>
  <c r="G103" i="13"/>
  <c r="F103" i="13"/>
  <c r="E103" i="13"/>
  <c r="D103" i="13"/>
  <c r="C103" i="13"/>
  <c r="B103" i="13"/>
  <c r="I102" i="13"/>
  <c r="H102" i="13"/>
  <c r="G102" i="13"/>
  <c r="F102" i="13"/>
  <c r="E102" i="13"/>
  <c r="D102" i="13"/>
  <c r="C102" i="13"/>
  <c r="B102" i="13"/>
  <c r="I101" i="13"/>
  <c r="H101" i="13"/>
  <c r="G101" i="13"/>
  <c r="F101" i="13"/>
  <c r="E101" i="13"/>
  <c r="D101" i="13"/>
  <c r="C101" i="13"/>
  <c r="B101" i="13"/>
  <c r="I100" i="13"/>
  <c r="H100" i="13"/>
  <c r="G100" i="13"/>
  <c r="F100" i="13"/>
  <c r="E100" i="13"/>
  <c r="D100" i="13"/>
  <c r="C100" i="13"/>
  <c r="B100" i="13"/>
  <c r="I99" i="13"/>
  <c r="H99" i="13"/>
  <c r="G99" i="13"/>
  <c r="F99" i="13"/>
  <c r="E99" i="13"/>
  <c r="D99" i="13"/>
  <c r="C99" i="13"/>
  <c r="B99" i="13"/>
  <c r="I98" i="13"/>
  <c r="H98" i="13"/>
  <c r="G98" i="13"/>
  <c r="F98" i="13"/>
  <c r="E98" i="13"/>
  <c r="D98" i="13"/>
  <c r="C98" i="13"/>
  <c r="B98" i="13"/>
  <c r="I97" i="13"/>
  <c r="H97" i="13"/>
  <c r="G97" i="13"/>
  <c r="F97" i="13"/>
  <c r="E97" i="13"/>
  <c r="D97" i="13"/>
  <c r="C97" i="13"/>
  <c r="B97" i="13"/>
  <c r="I96" i="13"/>
  <c r="H96" i="13"/>
  <c r="G96" i="13"/>
  <c r="F96" i="13"/>
  <c r="E96" i="13"/>
  <c r="D96" i="13"/>
  <c r="C96" i="13"/>
  <c r="B96" i="13"/>
  <c r="I95" i="13"/>
  <c r="H95" i="13"/>
  <c r="G95" i="13"/>
  <c r="F95" i="13"/>
  <c r="E95" i="13"/>
  <c r="D95" i="13"/>
  <c r="C95" i="13"/>
  <c r="B95" i="13"/>
  <c r="I94" i="13"/>
  <c r="H94" i="13"/>
  <c r="G94" i="13"/>
  <c r="F94" i="13"/>
  <c r="E94" i="13"/>
  <c r="D94" i="13"/>
  <c r="C94" i="13"/>
  <c r="B94" i="13"/>
  <c r="I93" i="13"/>
  <c r="H93" i="13"/>
  <c r="G93" i="13"/>
  <c r="F93" i="13"/>
  <c r="E93" i="13"/>
  <c r="D93" i="13"/>
  <c r="C93" i="13"/>
  <c r="B93" i="13"/>
  <c r="I92" i="13"/>
  <c r="H92" i="13"/>
  <c r="G92" i="13"/>
  <c r="F92" i="13"/>
  <c r="E92" i="13"/>
  <c r="D92" i="13"/>
  <c r="C92" i="13"/>
  <c r="B92" i="13"/>
  <c r="I91" i="13"/>
  <c r="H91" i="13"/>
  <c r="G91" i="13"/>
  <c r="F91" i="13"/>
  <c r="E91" i="13"/>
  <c r="D91" i="13"/>
  <c r="C91" i="13"/>
  <c r="B91" i="13"/>
  <c r="I90" i="13"/>
  <c r="H90" i="13"/>
  <c r="G90" i="13"/>
  <c r="F90" i="13"/>
  <c r="E90" i="13"/>
  <c r="D90" i="13"/>
  <c r="C90" i="13"/>
  <c r="B90" i="13"/>
  <c r="I89" i="13"/>
  <c r="H89" i="13"/>
  <c r="G89" i="13"/>
  <c r="F89" i="13"/>
  <c r="E89" i="13"/>
  <c r="D89" i="13"/>
  <c r="C89" i="13"/>
  <c r="B89" i="13"/>
  <c r="I88" i="13"/>
  <c r="H88" i="13"/>
  <c r="G88" i="13"/>
  <c r="F88" i="13"/>
  <c r="E88" i="13"/>
  <c r="D88" i="13"/>
  <c r="C88" i="13"/>
  <c r="B88" i="13"/>
  <c r="I87" i="13"/>
  <c r="H87" i="13"/>
  <c r="G87" i="13"/>
  <c r="F87" i="13"/>
  <c r="E87" i="13"/>
  <c r="D87" i="13"/>
  <c r="C87" i="13"/>
  <c r="B87" i="13"/>
  <c r="I86" i="13"/>
  <c r="H86" i="13"/>
  <c r="G86" i="13"/>
  <c r="F86" i="13"/>
  <c r="E86" i="13"/>
  <c r="D86" i="13"/>
  <c r="C86" i="13"/>
  <c r="B86" i="13"/>
  <c r="I85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I73" i="13"/>
  <c r="H73" i="13"/>
  <c r="G73" i="13"/>
  <c r="F73" i="13"/>
  <c r="E73" i="13"/>
  <c r="D73" i="13"/>
  <c r="C73" i="13"/>
  <c r="B73" i="13"/>
  <c r="I72" i="13"/>
  <c r="H72" i="13"/>
  <c r="G72" i="13"/>
  <c r="F72" i="13"/>
  <c r="E72" i="13"/>
  <c r="D72" i="13"/>
  <c r="C72" i="13"/>
  <c r="B72" i="13"/>
  <c r="I71" i="13"/>
  <c r="H71" i="13"/>
  <c r="G71" i="13"/>
  <c r="F71" i="13"/>
  <c r="E71" i="13"/>
  <c r="D71" i="13"/>
  <c r="C71" i="13"/>
  <c r="B71" i="13"/>
  <c r="I70" i="13"/>
  <c r="H70" i="13"/>
  <c r="G70" i="13"/>
  <c r="F70" i="13"/>
  <c r="E70" i="13"/>
  <c r="D70" i="13"/>
  <c r="C70" i="13"/>
  <c r="B70" i="13"/>
  <c r="I69" i="13"/>
  <c r="H69" i="13"/>
  <c r="G69" i="13"/>
  <c r="F69" i="13"/>
  <c r="E69" i="13"/>
  <c r="D69" i="13"/>
  <c r="C69" i="13"/>
  <c r="B69" i="13"/>
  <c r="I68" i="13"/>
  <c r="H68" i="13"/>
  <c r="G68" i="13"/>
  <c r="F68" i="13"/>
  <c r="E68" i="13"/>
  <c r="D68" i="13"/>
  <c r="C68" i="13"/>
  <c r="B68" i="13"/>
  <c r="I67" i="13"/>
  <c r="H67" i="13"/>
  <c r="G67" i="13"/>
  <c r="F67" i="13"/>
  <c r="E67" i="13"/>
  <c r="D67" i="13"/>
  <c r="C67" i="13"/>
  <c r="B67" i="13"/>
  <c r="I66" i="13"/>
  <c r="H66" i="13"/>
  <c r="G66" i="13"/>
  <c r="F66" i="13"/>
  <c r="E66" i="13"/>
  <c r="D66" i="13"/>
  <c r="C66" i="13"/>
  <c r="B66" i="13"/>
  <c r="I65" i="13"/>
  <c r="H65" i="13"/>
  <c r="G65" i="13"/>
  <c r="F65" i="13"/>
  <c r="E65" i="13"/>
  <c r="D65" i="13"/>
  <c r="C65" i="13"/>
  <c r="B65" i="13"/>
  <c r="I64" i="13"/>
  <c r="H64" i="13"/>
  <c r="G64" i="13"/>
  <c r="F64" i="13"/>
  <c r="E64" i="13"/>
  <c r="D64" i="13"/>
  <c r="C64" i="13"/>
  <c r="B64" i="13"/>
  <c r="I63" i="13"/>
  <c r="H63" i="13"/>
  <c r="G63" i="13"/>
  <c r="F63" i="13"/>
  <c r="E63" i="13"/>
  <c r="D63" i="13"/>
  <c r="C63" i="13"/>
  <c r="B63" i="13"/>
  <c r="I62" i="13"/>
  <c r="H62" i="13"/>
  <c r="G62" i="13"/>
  <c r="F62" i="13"/>
  <c r="E62" i="13"/>
  <c r="D62" i="13"/>
  <c r="C62" i="13"/>
  <c r="B62" i="13"/>
  <c r="I61" i="13"/>
  <c r="H61" i="13"/>
  <c r="G61" i="13"/>
  <c r="F61" i="13"/>
  <c r="E61" i="13"/>
  <c r="D61" i="13"/>
  <c r="C61" i="13"/>
  <c r="B61" i="13"/>
  <c r="I60" i="13"/>
  <c r="H60" i="13"/>
  <c r="G60" i="13"/>
  <c r="F60" i="13"/>
  <c r="E60" i="13"/>
  <c r="D60" i="13"/>
  <c r="C60" i="13"/>
  <c r="B60" i="13"/>
  <c r="I59" i="13"/>
  <c r="H59" i="13"/>
  <c r="G59" i="13"/>
  <c r="F59" i="13"/>
  <c r="E59" i="13"/>
  <c r="D59" i="13"/>
  <c r="C59" i="13"/>
  <c r="B59" i="13"/>
  <c r="I58" i="13"/>
  <c r="H58" i="13"/>
  <c r="G58" i="13"/>
  <c r="F58" i="13"/>
  <c r="E58" i="13"/>
  <c r="D58" i="13"/>
  <c r="C58" i="13"/>
  <c r="B58" i="13"/>
  <c r="I57" i="13"/>
  <c r="H57" i="13"/>
  <c r="G57" i="13"/>
  <c r="F57" i="13"/>
  <c r="E57" i="13"/>
  <c r="D57" i="13"/>
  <c r="C57" i="13"/>
  <c r="B57" i="13"/>
  <c r="I56" i="13"/>
  <c r="H56" i="13"/>
  <c r="G56" i="13"/>
  <c r="F56" i="13"/>
  <c r="E56" i="13"/>
  <c r="D56" i="13"/>
  <c r="C56" i="13"/>
  <c r="B56" i="13"/>
  <c r="I55" i="13"/>
  <c r="H55" i="13"/>
  <c r="G55" i="13"/>
  <c r="F55" i="13"/>
  <c r="E55" i="13"/>
  <c r="D55" i="13"/>
  <c r="C55" i="13"/>
  <c r="B55" i="13"/>
  <c r="I54" i="13"/>
  <c r="H54" i="13"/>
  <c r="G54" i="13"/>
  <c r="F54" i="13"/>
  <c r="E54" i="13"/>
  <c r="D54" i="13"/>
  <c r="C54" i="13"/>
  <c r="B54" i="13"/>
  <c r="I53" i="13"/>
  <c r="H53" i="13"/>
  <c r="G53" i="13"/>
  <c r="F53" i="13"/>
  <c r="E53" i="13"/>
  <c r="D53" i="13"/>
  <c r="C53" i="13"/>
  <c r="B53" i="13"/>
  <c r="I52" i="13"/>
  <c r="H52" i="13"/>
  <c r="G52" i="13"/>
  <c r="F52" i="13"/>
  <c r="E52" i="13"/>
  <c r="D52" i="13"/>
  <c r="C52" i="13"/>
  <c r="B52" i="13"/>
  <c r="I51" i="13"/>
  <c r="H51" i="13"/>
  <c r="G51" i="13"/>
  <c r="F51" i="13"/>
  <c r="E51" i="13"/>
  <c r="D51" i="13"/>
  <c r="C51" i="13"/>
  <c r="B51" i="13"/>
  <c r="I50" i="13"/>
  <c r="H50" i="13"/>
  <c r="G50" i="13"/>
  <c r="F50" i="13"/>
  <c r="E50" i="13"/>
  <c r="D50" i="13"/>
  <c r="C50" i="13"/>
  <c r="B50" i="13"/>
  <c r="I49" i="13"/>
  <c r="H49" i="13"/>
  <c r="G49" i="13"/>
  <c r="F49" i="13"/>
  <c r="E49" i="13"/>
  <c r="D49" i="13"/>
  <c r="C49" i="13"/>
  <c r="B49" i="13"/>
  <c r="I48" i="13"/>
  <c r="H48" i="13"/>
  <c r="G48" i="13"/>
  <c r="F48" i="13"/>
  <c r="E48" i="13"/>
  <c r="D48" i="13"/>
  <c r="C48" i="13"/>
  <c r="B48" i="13"/>
  <c r="I47" i="13"/>
  <c r="H47" i="13"/>
  <c r="G47" i="13"/>
  <c r="F47" i="13"/>
  <c r="E47" i="13"/>
  <c r="D47" i="13"/>
  <c r="C47" i="13"/>
  <c r="B47" i="13"/>
  <c r="I46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I37" i="13"/>
  <c r="H37" i="13"/>
  <c r="G37" i="13"/>
  <c r="F37" i="13"/>
  <c r="E37" i="13"/>
  <c r="D37" i="13"/>
  <c r="C37" i="13"/>
  <c r="B37" i="13"/>
  <c r="I36" i="13"/>
  <c r="H36" i="13"/>
  <c r="G36" i="13"/>
  <c r="F36" i="13"/>
  <c r="E36" i="13"/>
  <c r="D36" i="13"/>
  <c r="C36" i="13"/>
  <c r="B36" i="13"/>
  <c r="I35" i="13"/>
  <c r="H35" i="13"/>
  <c r="G35" i="13"/>
  <c r="F35" i="13"/>
  <c r="E35" i="13"/>
  <c r="D35" i="13"/>
  <c r="C35" i="13"/>
  <c r="B35" i="13"/>
  <c r="I34" i="13"/>
  <c r="H34" i="13"/>
  <c r="G34" i="13"/>
  <c r="F34" i="13"/>
  <c r="E34" i="13"/>
  <c r="D34" i="13"/>
  <c r="C34" i="13"/>
  <c r="B34" i="13"/>
  <c r="I33" i="13"/>
  <c r="H33" i="13"/>
  <c r="G33" i="13"/>
  <c r="F33" i="13"/>
  <c r="E33" i="13"/>
  <c r="D33" i="13"/>
  <c r="C33" i="13"/>
  <c r="B33" i="13"/>
  <c r="I32" i="13"/>
  <c r="H32" i="13"/>
  <c r="G32" i="13"/>
  <c r="F32" i="13"/>
  <c r="E32" i="13"/>
  <c r="D32" i="13"/>
  <c r="C32" i="13"/>
  <c r="B32" i="13"/>
  <c r="I31" i="13"/>
  <c r="H31" i="13"/>
  <c r="G31" i="13"/>
  <c r="F31" i="13"/>
  <c r="E31" i="13"/>
  <c r="D31" i="13"/>
  <c r="C31" i="13"/>
  <c r="B31" i="13"/>
  <c r="I30" i="13"/>
  <c r="H30" i="13"/>
  <c r="G30" i="13"/>
  <c r="F30" i="13"/>
  <c r="E30" i="13"/>
  <c r="D30" i="13"/>
  <c r="C30" i="13"/>
  <c r="B30" i="13"/>
  <c r="I29" i="13"/>
  <c r="H29" i="13"/>
  <c r="G29" i="13"/>
  <c r="F29" i="13"/>
  <c r="E29" i="13"/>
  <c r="D29" i="13"/>
  <c r="C29" i="13"/>
  <c r="B29" i="13"/>
  <c r="I28" i="13"/>
  <c r="H28" i="13"/>
  <c r="G28" i="13"/>
  <c r="F28" i="13"/>
  <c r="E28" i="13"/>
  <c r="D28" i="13"/>
  <c r="C28" i="13"/>
  <c r="B28" i="13"/>
  <c r="I27" i="13"/>
  <c r="H27" i="13"/>
  <c r="G27" i="13"/>
  <c r="F27" i="13"/>
  <c r="E27" i="13"/>
  <c r="D27" i="13"/>
  <c r="C27" i="13"/>
  <c r="B27" i="13"/>
  <c r="I26" i="13"/>
  <c r="H26" i="13"/>
  <c r="G26" i="13"/>
  <c r="F26" i="13"/>
  <c r="E26" i="13"/>
  <c r="D26" i="13"/>
  <c r="C26" i="13"/>
  <c r="B26" i="13"/>
  <c r="I25" i="13"/>
  <c r="H25" i="13"/>
  <c r="G25" i="13"/>
  <c r="F25" i="13"/>
  <c r="E25" i="13"/>
  <c r="D25" i="13"/>
  <c r="C25" i="13"/>
  <c r="B25" i="13"/>
  <c r="I24" i="13"/>
  <c r="H24" i="13"/>
  <c r="G24" i="13"/>
  <c r="F24" i="13"/>
  <c r="E24" i="13"/>
  <c r="D24" i="13"/>
  <c r="C24" i="13"/>
  <c r="B24" i="13"/>
  <c r="I23" i="13"/>
  <c r="H23" i="13"/>
  <c r="G23" i="13"/>
  <c r="F23" i="13"/>
  <c r="E23" i="13"/>
  <c r="D23" i="13"/>
  <c r="C23" i="13"/>
  <c r="B23" i="13"/>
  <c r="I22" i="13"/>
  <c r="H22" i="13"/>
  <c r="G22" i="13"/>
  <c r="F22" i="13"/>
  <c r="E22" i="13"/>
  <c r="D22" i="13"/>
  <c r="C22" i="13"/>
  <c r="B22" i="13"/>
  <c r="I21" i="13"/>
  <c r="H21" i="13"/>
  <c r="G21" i="13"/>
  <c r="F21" i="13"/>
  <c r="E21" i="13"/>
  <c r="D21" i="13"/>
  <c r="C21" i="13"/>
  <c r="B21" i="13"/>
  <c r="I20" i="13"/>
  <c r="H20" i="13"/>
  <c r="G20" i="13"/>
  <c r="F20" i="13"/>
  <c r="E20" i="13"/>
  <c r="D20" i="13"/>
  <c r="C20" i="13"/>
  <c r="B20" i="13"/>
  <c r="I19" i="13"/>
  <c r="H19" i="13"/>
  <c r="G19" i="13"/>
  <c r="F19" i="13"/>
  <c r="E19" i="13"/>
  <c r="D19" i="13"/>
  <c r="C19" i="13"/>
  <c r="B19" i="13"/>
  <c r="I18" i="13"/>
  <c r="H18" i="13"/>
  <c r="G18" i="13"/>
  <c r="F18" i="13"/>
  <c r="E18" i="13"/>
  <c r="D18" i="13"/>
  <c r="C18" i="13"/>
  <c r="B18" i="13"/>
  <c r="I17" i="13"/>
  <c r="H17" i="13"/>
  <c r="G17" i="13"/>
  <c r="F17" i="13"/>
  <c r="E17" i="13"/>
  <c r="D17" i="13"/>
  <c r="C17" i="13"/>
  <c r="B17" i="13"/>
  <c r="I16" i="13"/>
  <c r="H16" i="13"/>
  <c r="G16" i="13"/>
  <c r="F16" i="13"/>
  <c r="E16" i="13"/>
  <c r="D16" i="13"/>
  <c r="C16" i="13"/>
  <c r="B16" i="13"/>
  <c r="I15" i="13"/>
  <c r="H15" i="13"/>
  <c r="G15" i="13"/>
  <c r="F15" i="13"/>
  <c r="E15" i="13"/>
  <c r="D15" i="13"/>
  <c r="C15" i="13"/>
  <c r="B15" i="13"/>
  <c r="I14" i="13"/>
  <c r="H14" i="13"/>
  <c r="G14" i="13"/>
  <c r="F14" i="13"/>
  <c r="E14" i="13"/>
  <c r="D14" i="13"/>
  <c r="C14" i="13"/>
  <c r="B14" i="13"/>
  <c r="I13" i="13"/>
  <c r="H13" i="13"/>
  <c r="G13" i="13"/>
  <c r="F13" i="13"/>
  <c r="E13" i="13"/>
  <c r="D13" i="13"/>
  <c r="C13" i="13"/>
  <c r="B13" i="13"/>
  <c r="I12" i="13"/>
  <c r="H12" i="13"/>
  <c r="G12" i="13"/>
  <c r="F12" i="13"/>
  <c r="E12" i="13"/>
  <c r="D12" i="13"/>
  <c r="C12" i="13"/>
  <c r="B12" i="13"/>
  <c r="I11" i="13"/>
  <c r="H11" i="13"/>
  <c r="G11" i="13"/>
  <c r="F11" i="13"/>
  <c r="E11" i="13"/>
  <c r="D11" i="13"/>
  <c r="C11" i="13"/>
  <c r="B11" i="13"/>
  <c r="I10" i="13"/>
  <c r="H10" i="13"/>
  <c r="G10" i="13"/>
  <c r="F10" i="13"/>
  <c r="E10" i="13"/>
  <c r="D10" i="13"/>
  <c r="C10" i="13"/>
  <c r="B10" i="13"/>
  <c r="I9" i="13"/>
  <c r="H9" i="13"/>
  <c r="G9" i="13"/>
  <c r="F9" i="13"/>
  <c r="E9" i="13"/>
  <c r="D9" i="13"/>
  <c r="C9" i="13"/>
  <c r="B9" i="13"/>
  <c r="I8" i="13"/>
  <c r="H8" i="13"/>
  <c r="G8" i="13"/>
  <c r="F8" i="13"/>
  <c r="E8" i="13"/>
  <c r="D8" i="13"/>
  <c r="C8" i="13"/>
  <c r="B8" i="13"/>
  <c r="I7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I466" i="12"/>
  <c r="H466" i="12"/>
  <c r="G466" i="12"/>
  <c r="F466" i="12"/>
  <c r="E466" i="12"/>
  <c r="D466" i="12"/>
  <c r="C466" i="12"/>
  <c r="B466" i="12"/>
  <c r="I465" i="12"/>
  <c r="H465" i="12"/>
  <c r="G465" i="12"/>
  <c r="F465" i="12"/>
  <c r="E465" i="12"/>
  <c r="D465" i="12"/>
  <c r="C465" i="12"/>
  <c r="B465" i="12"/>
  <c r="I464" i="12"/>
  <c r="H464" i="12"/>
  <c r="G464" i="12"/>
  <c r="F464" i="12"/>
  <c r="E464" i="12"/>
  <c r="D464" i="12"/>
  <c r="C464" i="12"/>
  <c r="B464" i="12"/>
  <c r="I463" i="12"/>
  <c r="H463" i="12"/>
  <c r="G463" i="12"/>
  <c r="F463" i="12"/>
  <c r="E463" i="12"/>
  <c r="D463" i="12"/>
  <c r="C463" i="12"/>
  <c r="B463" i="12"/>
  <c r="I462" i="12"/>
  <c r="H462" i="12"/>
  <c r="G462" i="12"/>
  <c r="F462" i="12"/>
  <c r="E462" i="12"/>
  <c r="D462" i="12"/>
  <c r="C462" i="12"/>
  <c r="B462" i="12"/>
  <c r="I461" i="12"/>
  <c r="H461" i="12"/>
  <c r="G461" i="12"/>
  <c r="F461" i="12"/>
  <c r="E461" i="12"/>
  <c r="D461" i="12"/>
  <c r="C461" i="12"/>
  <c r="B461" i="12"/>
  <c r="I460" i="12"/>
  <c r="H460" i="12"/>
  <c r="G460" i="12"/>
  <c r="F460" i="12"/>
  <c r="E460" i="12"/>
  <c r="D460" i="12"/>
  <c r="C460" i="12"/>
  <c r="B460" i="12"/>
  <c r="I459" i="12"/>
  <c r="H459" i="12"/>
  <c r="G459" i="12"/>
  <c r="F459" i="12"/>
  <c r="E459" i="12"/>
  <c r="D459" i="12"/>
  <c r="C459" i="12"/>
  <c r="B459" i="12"/>
  <c r="I458" i="12"/>
  <c r="H458" i="12"/>
  <c r="G458" i="12"/>
  <c r="F458" i="12"/>
  <c r="E458" i="12"/>
  <c r="D458" i="12"/>
  <c r="C458" i="12"/>
  <c r="B458" i="12"/>
  <c r="I457" i="12"/>
  <c r="H457" i="12"/>
  <c r="G457" i="12"/>
  <c r="F457" i="12"/>
  <c r="E457" i="12"/>
  <c r="D457" i="12"/>
  <c r="C457" i="12"/>
  <c r="B457" i="12"/>
  <c r="I456" i="12"/>
  <c r="H456" i="12"/>
  <c r="G456" i="12"/>
  <c r="F456" i="12"/>
  <c r="E456" i="12"/>
  <c r="D456" i="12"/>
  <c r="C456" i="12"/>
  <c r="B456" i="12"/>
  <c r="I455" i="12"/>
  <c r="H455" i="12"/>
  <c r="G455" i="12"/>
  <c r="F455" i="12"/>
  <c r="E455" i="12"/>
  <c r="D455" i="12"/>
  <c r="C455" i="12"/>
  <c r="B455" i="12"/>
  <c r="I454" i="12"/>
  <c r="H454" i="12"/>
  <c r="G454" i="12"/>
  <c r="F454" i="12"/>
  <c r="E454" i="12"/>
  <c r="D454" i="12"/>
  <c r="C454" i="12"/>
  <c r="B454" i="12"/>
  <c r="I453" i="12"/>
  <c r="H453" i="12"/>
  <c r="G453" i="12"/>
  <c r="F453" i="12"/>
  <c r="E453" i="12"/>
  <c r="D453" i="12"/>
  <c r="C453" i="12"/>
  <c r="B453" i="12"/>
  <c r="I452" i="12"/>
  <c r="H452" i="12"/>
  <c r="G452" i="12"/>
  <c r="F452" i="12"/>
  <c r="E452" i="12"/>
  <c r="D452" i="12"/>
  <c r="C452" i="12"/>
  <c r="B452" i="12"/>
  <c r="I451" i="12"/>
  <c r="H451" i="12"/>
  <c r="G451" i="12"/>
  <c r="F451" i="12"/>
  <c r="E451" i="12"/>
  <c r="D451" i="12"/>
  <c r="C451" i="12"/>
  <c r="B451" i="12"/>
  <c r="I450" i="12"/>
  <c r="H450" i="12"/>
  <c r="G450" i="12"/>
  <c r="F450" i="12"/>
  <c r="E450" i="12"/>
  <c r="D450" i="12"/>
  <c r="C450" i="12"/>
  <c r="B450" i="12"/>
  <c r="I449" i="12"/>
  <c r="H449" i="12"/>
  <c r="G449" i="12"/>
  <c r="F449" i="12"/>
  <c r="E449" i="12"/>
  <c r="D449" i="12"/>
  <c r="C449" i="12"/>
  <c r="B449" i="12"/>
  <c r="I448" i="12"/>
  <c r="H448" i="12"/>
  <c r="G448" i="12"/>
  <c r="F448" i="12"/>
  <c r="E448" i="12"/>
  <c r="D448" i="12"/>
  <c r="C448" i="12"/>
  <c r="B448" i="12"/>
  <c r="I447" i="12"/>
  <c r="H447" i="12"/>
  <c r="G447" i="12"/>
  <c r="F447" i="12"/>
  <c r="E447" i="12"/>
  <c r="D447" i="12"/>
  <c r="C447" i="12"/>
  <c r="B447" i="12"/>
  <c r="I446" i="12"/>
  <c r="H446" i="12"/>
  <c r="G446" i="12"/>
  <c r="F446" i="12"/>
  <c r="E446" i="12"/>
  <c r="D446" i="12"/>
  <c r="C446" i="12"/>
  <c r="B446" i="12"/>
  <c r="I445" i="12"/>
  <c r="H445" i="12"/>
  <c r="G445" i="12"/>
  <c r="F445" i="12"/>
  <c r="E445" i="12"/>
  <c r="D445" i="12"/>
  <c r="C445" i="12"/>
  <c r="B445" i="12"/>
  <c r="I444" i="12"/>
  <c r="H444" i="12"/>
  <c r="G444" i="12"/>
  <c r="F444" i="12"/>
  <c r="E444" i="12"/>
  <c r="D444" i="12"/>
  <c r="C444" i="12"/>
  <c r="B444" i="12"/>
  <c r="I443" i="12"/>
  <c r="H443" i="12"/>
  <c r="G443" i="12"/>
  <c r="F443" i="12"/>
  <c r="E443" i="12"/>
  <c r="D443" i="12"/>
  <c r="C443" i="12"/>
  <c r="B443" i="12"/>
  <c r="I442" i="12"/>
  <c r="H442" i="12"/>
  <c r="G442" i="12"/>
  <c r="F442" i="12"/>
  <c r="E442" i="12"/>
  <c r="D442" i="12"/>
  <c r="C442" i="12"/>
  <c r="B442" i="12"/>
  <c r="I441" i="12"/>
  <c r="H441" i="12"/>
  <c r="G441" i="12"/>
  <c r="F441" i="12"/>
  <c r="E441" i="12"/>
  <c r="D441" i="12"/>
  <c r="C441" i="12"/>
  <c r="B441" i="12"/>
  <c r="I440" i="12"/>
  <c r="H440" i="12"/>
  <c r="G440" i="12"/>
  <c r="F440" i="12"/>
  <c r="E440" i="12"/>
  <c r="D440" i="12"/>
  <c r="C440" i="12"/>
  <c r="B440" i="12"/>
  <c r="I439" i="12"/>
  <c r="H439" i="12"/>
  <c r="G439" i="12"/>
  <c r="F439" i="12"/>
  <c r="E439" i="12"/>
  <c r="D439" i="12"/>
  <c r="C439" i="12"/>
  <c r="B439" i="12"/>
  <c r="I438" i="12"/>
  <c r="H438" i="12"/>
  <c r="G438" i="12"/>
  <c r="F438" i="12"/>
  <c r="E438" i="12"/>
  <c r="D438" i="12"/>
  <c r="C438" i="12"/>
  <c r="B438" i="12"/>
  <c r="I437" i="12"/>
  <c r="H437" i="12"/>
  <c r="G437" i="12"/>
  <c r="F437" i="12"/>
  <c r="E437" i="12"/>
  <c r="D437" i="12"/>
  <c r="C437" i="12"/>
  <c r="B437" i="12"/>
  <c r="I436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I426" i="12"/>
  <c r="H426" i="12"/>
  <c r="G426" i="12"/>
  <c r="F426" i="12"/>
  <c r="E426" i="12"/>
  <c r="D426" i="12"/>
  <c r="C426" i="12"/>
  <c r="B426" i="12"/>
  <c r="I425" i="12"/>
  <c r="H425" i="12"/>
  <c r="G425" i="12"/>
  <c r="F425" i="12"/>
  <c r="E425" i="12"/>
  <c r="D425" i="12"/>
  <c r="C425" i="12"/>
  <c r="B425" i="12"/>
  <c r="I424" i="12"/>
  <c r="H424" i="12"/>
  <c r="G424" i="12"/>
  <c r="F424" i="12"/>
  <c r="E424" i="12"/>
  <c r="D424" i="12"/>
  <c r="C424" i="12"/>
  <c r="B424" i="12"/>
  <c r="I423" i="12"/>
  <c r="H423" i="12"/>
  <c r="G423" i="12"/>
  <c r="F423" i="12"/>
  <c r="E423" i="12"/>
  <c r="D423" i="12"/>
  <c r="C423" i="12"/>
  <c r="B423" i="12"/>
  <c r="I422" i="12"/>
  <c r="H422" i="12"/>
  <c r="G422" i="12"/>
  <c r="F422" i="12"/>
  <c r="E422" i="12"/>
  <c r="D422" i="12"/>
  <c r="C422" i="12"/>
  <c r="B422" i="12"/>
  <c r="I421" i="12"/>
  <c r="H421" i="12"/>
  <c r="G421" i="12"/>
  <c r="F421" i="12"/>
  <c r="E421" i="12"/>
  <c r="D421" i="12"/>
  <c r="C421" i="12"/>
  <c r="B421" i="12"/>
  <c r="I420" i="12"/>
  <c r="H420" i="12"/>
  <c r="G420" i="12"/>
  <c r="F420" i="12"/>
  <c r="E420" i="12"/>
  <c r="D420" i="12"/>
  <c r="C420" i="12"/>
  <c r="B420" i="12"/>
  <c r="I419" i="12"/>
  <c r="H419" i="12"/>
  <c r="G419" i="12"/>
  <c r="F419" i="12"/>
  <c r="E419" i="12"/>
  <c r="D419" i="12"/>
  <c r="C419" i="12"/>
  <c r="B419" i="12"/>
  <c r="I418" i="12"/>
  <c r="H418" i="12"/>
  <c r="G418" i="12"/>
  <c r="F418" i="12"/>
  <c r="E418" i="12"/>
  <c r="D418" i="12"/>
  <c r="C418" i="12"/>
  <c r="B418" i="12"/>
  <c r="I417" i="12"/>
  <c r="H417" i="12"/>
  <c r="G417" i="12"/>
  <c r="F417" i="12"/>
  <c r="E417" i="12"/>
  <c r="D417" i="12"/>
  <c r="C417" i="12"/>
  <c r="B417" i="12"/>
  <c r="I416" i="12"/>
  <c r="H416" i="12"/>
  <c r="G416" i="12"/>
  <c r="F416" i="12"/>
  <c r="E416" i="12"/>
  <c r="D416" i="12"/>
  <c r="C416" i="12"/>
  <c r="B416" i="12"/>
  <c r="I415" i="12"/>
  <c r="H415" i="12"/>
  <c r="G415" i="12"/>
  <c r="F415" i="12"/>
  <c r="E415" i="12"/>
  <c r="D415" i="12"/>
  <c r="C415" i="12"/>
  <c r="B415" i="12"/>
  <c r="I414" i="12"/>
  <c r="H414" i="12"/>
  <c r="G414" i="12"/>
  <c r="F414" i="12"/>
  <c r="E414" i="12"/>
  <c r="D414" i="12"/>
  <c r="C414" i="12"/>
  <c r="B414" i="12"/>
  <c r="I413" i="12"/>
  <c r="H413" i="12"/>
  <c r="G413" i="12"/>
  <c r="F413" i="12"/>
  <c r="E413" i="12"/>
  <c r="D413" i="12"/>
  <c r="C413" i="12"/>
  <c r="B413" i="12"/>
  <c r="I412" i="12"/>
  <c r="H412" i="12"/>
  <c r="G412" i="12"/>
  <c r="F412" i="12"/>
  <c r="E412" i="12"/>
  <c r="D412" i="12"/>
  <c r="C412" i="12"/>
  <c r="B412" i="12"/>
  <c r="I411" i="12"/>
  <c r="H411" i="12"/>
  <c r="G411" i="12"/>
  <c r="F411" i="12"/>
  <c r="E411" i="12"/>
  <c r="D411" i="12"/>
  <c r="C411" i="12"/>
  <c r="B411" i="12"/>
  <c r="I410" i="12"/>
  <c r="H410" i="12"/>
  <c r="G410" i="12"/>
  <c r="F410" i="12"/>
  <c r="E410" i="12"/>
  <c r="D410" i="12"/>
  <c r="C410" i="12"/>
  <c r="B410" i="12"/>
  <c r="I409" i="12"/>
  <c r="H409" i="12"/>
  <c r="G409" i="12"/>
  <c r="F409" i="12"/>
  <c r="E409" i="12"/>
  <c r="D409" i="12"/>
  <c r="C409" i="12"/>
  <c r="B409" i="12"/>
  <c r="I408" i="12"/>
  <c r="H408" i="12"/>
  <c r="G408" i="12"/>
  <c r="F408" i="12"/>
  <c r="E408" i="12"/>
  <c r="D408" i="12"/>
  <c r="C408" i="12"/>
  <c r="B408" i="12"/>
  <c r="I407" i="12"/>
  <c r="H407" i="12"/>
  <c r="G407" i="12"/>
  <c r="F407" i="12"/>
  <c r="E407" i="12"/>
  <c r="D407" i="12"/>
  <c r="C407" i="12"/>
  <c r="B407" i="12"/>
  <c r="I406" i="12"/>
  <c r="H406" i="12"/>
  <c r="G406" i="12"/>
  <c r="F406" i="12"/>
  <c r="E406" i="12"/>
  <c r="D406" i="12"/>
  <c r="C406" i="12"/>
  <c r="B406" i="12"/>
  <c r="I405" i="12"/>
  <c r="H405" i="12"/>
  <c r="G405" i="12"/>
  <c r="F405" i="12"/>
  <c r="E405" i="12"/>
  <c r="D405" i="12"/>
  <c r="C405" i="12"/>
  <c r="B405" i="12"/>
  <c r="I404" i="12"/>
  <c r="H404" i="12"/>
  <c r="G404" i="12"/>
  <c r="F404" i="12"/>
  <c r="E404" i="12"/>
  <c r="D404" i="12"/>
  <c r="C404" i="12"/>
  <c r="B404" i="12"/>
  <c r="I403" i="12"/>
  <c r="H403" i="12"/>
  <c r="G403" i="12"/>
  <c r="F403" i="12"/>
  <c r="E403" i="12"/>
  <c r="D403" i="12"/>
  <c r="C403" i="12"/>
  <c r="B403" i="12"/>
  <c r="I402" i="12"/>
  <c r="H402" i="12"/>
  <c r="G402" i="12"/>
  <c r="F402" i="12"/>
  <c r="E402" i="12"/>
  <c r="D402" i="12"/>
  <c r="C402" i="12"/>
  <c r="B402" i="12"/>
  <c r="I401" i="12"/>
  <c r="H401" i="12"/>
  <c r="G401" i="12"/>
  <c r="F401" i="12"/>
  <c r="E401" i="12"/>
  <c r="D401" i="12"/>
  <c r="C401" i="12"/>
  <c r="B401" i="12"/>
  <c r="I400" i="12"/>
  <c r="H400" i="12"/>
  <c r="G400" i="12"/>
  <c r="F400" i="12"/>
  <c r="E400" i="12"/>
  <c r="D400" i="12"/>
  <c r="C400" i="12"/>
  <c r="B400" i="12"/>
  <c r="I399" i="12"/>
  <c r="H399" i="12"/>
  <c r="G399" i="12"/>
  <c r="F399" i="12"/>
  <c r="E399" i="12"/>
  <c r="D399" i="12"/>
  <c r="C399" i="12"/>
  <c r="B399" i="12"/>
  <c r="I398" i="12"/>
  <c r="H398" i="12"/>
  <c r="G398" i="12"/>
  <c r="F398" i="12"/>
  <c r="E398" i="12"/>
  <c r="D398" i="12"/>
  <c r="C398" i="12"/>
  <c r="B398" i="12"/>
  <c r="I397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I388" i="12"/>
  <c r="H388" i="12"/>
  <c r="G388" i="12"/>
  <c r="F388" i="12"/>
  <c r="E388" i="12"/>
  <c r="D388" i="12"/>
  <c r="C388" i="12"/>
  <c r="B388" i="12"/>
  <c r="I387" i="12"/>
  <c r="H387" i="12"/>
  <c r="G387" i="12"/>
  <c r="F387" i="12"/>
  <c r="E387" i="12"/>
  <c r="D387" i="12"/>
  <c r="C387" i="12"/>
  <c r="B387" i="12"/>
  <c r="I386" i="12"/>
  <c r="H386" i="12"/>
  <c r="G386" i="12"/>
  <c r="F386" i="12"/>
  <c r="E386" i="12"/>
  <c r="D386" i="12"/>
  <c r="C386" i="12"/>
  <c r="B386" i="12"/>
  <c r="I385" i="12"/>
  <c r="H385" i="12"/>
  <c r="G385" i="12"/>
  <c r="F385" i="12"/>
  <c r="E385" i="12"/>
  <c r="D385" i="12"/>
  <c r="C385" i="12"/>
  <c r="B385" i="12"/>
  <c r="I384" i="12"/>
  <c r="H384" i="12"/>
  <c r="G384" i="12"/>
  <c r="F384" i="12"/>
  <c r="E384" i="12"/>
  <c r="D384" i="12"/>
  <c r="C384" i="12"/>
  <c r="B384" i="12"/>
  <c r="I383" i="12"/>
  <c r="H383" i="12"/>
  <c r="G383" i="12"/>
  <c r="F383" i="12"/>
  <c r="E383" i="12"/>
  <c r="D383" i="12"/>
  <c r="C383" i="12"/>
  <c r="B383" i="12"/>
  <c r="I382" i="12"/>
  <c r="H382" i="12"/>
  <c r="G382" i="12"/>
  <c r="F382" i="12"/>
  <c r="E382" i="12"/>
  <c r="D382" i="12"/>
  <c r="C382" i="12"/>
  <c r="B382" i="12"/>
  <c r="I381" i="12"/>
  <c r="H381" i="12"/>
  <c r="G381" i="12"/>
  <c r="F381" i="12"/>
  <c r="E381" i="12"/>
  <c r="D381" i="12"/>
  <c r="C381" i="12"/>
  <c r="B381" i="12"/>
  <c r="I380" i="12"/>
  <c r="H380" i="12"/>
  <c r="G380" i="12"/>
  <c r="F380" i="12"/>
  <c r="E380" i="12"/>
  <c r="D380" i="12"/>
  <c r="C380" i="12"/>
  <c r="B380" i="12"/>
  <c r="I379" i="12"/>
  <c r="H379" i="12"/>
  <c r="G379" i="12"/>
  <c r="F379" i="12"/>
  <c r="E379" i="12"/>
  <c r="D379" i="12"/>
  <c r="C379" i="12"/>
  <c r="B379" i="12"/>
  <c r="I378" i="12"/>
  <c r="H378" i="12"/>
  <c r="G378" i="12"/>
  <c r="F378" i="12"/>
  <c r="E378" i="12"/>
  <c r="D378" i="12"/>
  <c r="C378" i="12"/>
  <c r="B378" i="12"/>
  <c r="I377" i="12"/>
  <c r="H377" i="12"/>
  <c r="G377" i="12"/>
  <c r="F377" i="12"/>
  <c r="E377" i="12"/>
  <c r="D377" i="12"/>
  <c r="C377" i="12"/>
  <c r="B377" i="12"/>
  <c r="I376" i="12"/>
  <c r="H376" i="12"/>
  <c r="G376" i="12"/>
  <c r="F376" i="12"/>
  <c r="E376" i="12"/>
  <c r="D376" i="12"/>
  <c r="C376" i="12"/>
  <c r="B376" i="12"/>
  <c r="I375" i="12"/>
  <c r="H375" i="12"/>
  <c r="G375" i="12"/>
  <c r="F375" i="12"/>
  <c r="E375" i="12"/>
  <c r="D375" i="12"/>
  <c r="C375" i="12"/>
  <c r="B375" i="12"/>
  <c r="I374" i="12"/>
  <c r="H374" i="12"/>
  <c r="G374" i="12"/>
  <c r="F374" i="12"/>
  <c r="E374" i="12"/>
  <c r="D374" i="12"/>
  <c r="C374" i="12"/>
  <c r="B374" i="12"/>
  <c r="I373" i="12"/>
  <c r="H373" i="12"/>
  <c r="G373" i="12"/>
  <c r="F373" i="12"/>
  <c r="E373" i="12"/>
  <c r="D373" i="12"/>
  <c r="C373" i="12"/>
  <c r="B373" i="12"/>
  <c r="I372" i="12"/>
  <c r="H372" i="12"/>
  <c r="G372" i="12"/>
  <c r="F372" i="12"/>
  <c r="E372" i="12"/>
  <c r="D372" i="12"/>
  <c r="C372" i="12"/>
  <c r="B372" i="12"/>
  <c r="I371" i="12"/>
  <c r="H371" i="12"/>
  <c r="G371" i="12"/>
  <c r="F371" i="12"/>
  <c r="E371" i="12"/>
  <c r="D371" i="12"/>
  <c r="C371" i="12"/>
  <c r="B371" i="12"/>
  <c r="I370" i="12"/>
  <c r="H370" i="12"/>
  <c r="G370" i="12"/>
  <c r="F370" i="12"/>
  <c r="E370" i="12"/>
  <c r="D370" i="12"/>
  <c r="C370" i="12"/>
  <c r="B370" i="12"/>
  <c r="I369" i="12"/>
  <c r="H369" i="12"/>
  <c r="G369" i="12"/>
  <c r="F369" i="12"/>
  <c r="E369" i="12"/>
  <c r="D369" i="12"/>
  <c r="C369" i="12"/>
  <c r="B369" i="12"/>
  <c r="I368" i="12"/>
  <c r="H368" i="12"/>
  <c r="G368" i="12"/>
  <c r="F368" i="12"/>
  <c r="E368" i="12"/>
  <c r="D368" i="12"/>
  <c r="C368" i="12"/>
  <c r="B368" i="12"/>
  <c r="I367" i="12"/>
  <c r="H367" i="12"/>
  <c r="G367" i="12"/>
  <c r="F367" i="12"/>
  <c r="E367" i="12"/>
  <c r="D367" i="12"/>
  <c r="C367" i="12"/>
  <c r="B367" i="12"/>
  <c r="I366" i="12"/>
  <c r="H366" i="12"/>
  <c r="G366" i="12"/>
  <c r="F366" i="12"/>
  <c r="E366" i="12"/>
  <c r="D366" i="12"/>
  <c r="C366" i="12"/>
  <c r="B366" i="12"/>
  <c r="I365" i="12"/>
  <c r="H365" i="12"/>
  <c r="G365" i="12"/>
  <c r="F365" i="12"/>
  <c r="E365" i="12"/>
  <c r="D365" i="12"/>
  <c r="C365" i="12"/>
  <c r="B365" i="12"/>
  <c r="I364" i="12"/>
  <c r="H364" i="12"/>
  <c r="G364" i="12"/>
  <c r="F364" i="12"/>
  <c r="E364" i="12"/>
  <c r="D364" i="12"/>
  <c r="C364" i="12"/>
  <c r="B364" i="12"/>
  <c r="I363" i="12"/>
  <c r="H363" i="12"/>
  <c r="G363" i="12"/>
  <c r="F363" i="12"/>
  <c r="E363" i="12"/>
  <c r="D363" i="12"/>
  <c r="C363" i="12"/>
  <c r="B363" i="12"/>
  <c r="I362" i="12"/>
  <c r="H362" i="12"/>
  <c r="G362" i="12"/>
  <c r="F362" i="12"/>
  <c r="E362" i="12"/>
  <c r="D362" i="12"/>
  <c r="C362" i="12"/>
  <c r="B362" i="12"/>
  <c r="I361" i="12"/>
  <c r="H361" i="12"/>
  <c r="G361" i="12"/>
  <c r="F361" i="12"/>
  <c r="E361" i="12"/>
  <c r="D361" i="12"/>
  <c r="C361" i="12"/>
  <c r="B361" i="12"/>
  <c r="I360" i="12"/>
  <c r="H360" i="12"/>
  <c r="G360" i="12"/>
  <c r="F360" i="12"/>
  <c r="E360" i="12"/>
  <c r="D360" i="12"/>
  <c r="C360" i="12"/>
  <c r="B360" i="12"/>
  <c r="I359" i="12"/>
  <c r="H359" i="12"/>
  <c r="G359" i="12"/>
  <c r="F359" i="12"/>
  <c r="E359" i="12"/>
  <c r="D359" i="12"/>
  <c r="C359" i="12"/>
  <c r="B359" i="12"/>
  <c r="I358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I348" i="12"/>
  <c r="H348" i="12"/>
  <c r="G348" i="12"/>
  <c r="F348" i="12"/>
  <c r="E348" i="12"/>
  <c r="D348" i="12"/>
  <c r="C348" i="12"/>
  <c r="B348" i="12"/>
  <c r="I347" i="12"/>
  <c r="H347" i="12"/>
  <c r="G347" i="12"/>
  <c r="F347" i="12"/>
  <c r="E347" i="12"/>
  <c r="D347" i="12"/>
  <c r="C347" i="12"/>
  <c r="B347" i="12"/>
  <c r="I346" i="12"/>
  <c r="H346" i="12"/>
  <c r="G346" i="12"/>
  <c r="F346" i="12"/>
  <c r="E346" i="12"/>
  <c r="D346" i="12"/>
  <c r="C346" i="12"/>
  <c r="B346" i="12"/>
  <c r="I345" i="12"/>
  <c r="H345" i="12"/>
  <c r="G345" i="12"/>
  <c r="F345" i="12"/>
  <c r="E345" i="12"/>
  <c r="D345" i="12"/>
  <c r="C345" i="12"/>
  <c r="B345" i="12"/>
  <c r="I344" i="12"/>
  <c r="H344" i="12"/>
  <c r="G344" i="12"/>
  <c r="F344" i="12"/>
  <c r="E344" i="12"/>
  <c r="D344" i="12"/>
  <c r="C344" i="12"/>
  <c r="B344" i="12"/>
  <c r="I343" i="12"/>
  <c r="H343" i="12"/>
  <c r="G343" i="12"/>
  <c r="F343" i="12"/>
  <c r="E343" i="12"/>
  <c r="D343" i="12"/>
  <c r="C343" i="12"/>
  <c r="B343" i="12"/>
  <c r="I342" i="12"/>
  <c r="H342" i="12"/>
  <c r="G342" i="12"/>
  <c r="F342" i="12"/>
  <c r="E342" i="12"/>
  <c r="D342" i="12"/>
  <c r="C342" i="12"/>
  <c r="B342" i="12"/>
  <c r="I341" i="12"/>
  <c r="H341" i="12"/>
  <c r="G341" i="12"/>
  <c r="F341" i="12"/>
  <c r="E341" i="12"/>
  <c r="D341" i="12"/>
  <c r="C341" i="12"/>
  <c r="B341" i="12"/>
  <c r="I340" i="12"/>
  <c r="H340" i="12"/>
  <c r="G340" i="12"/>
  <c r="F340" i="12"/>
  <c r="E340" i="12"/>
  <c r="D340" i="12"/>
  <c r="C340" i="12"/>
  <c r="B340" i="12"/>
  <c r="I339" i="12"/>
  <c r="H339" i="12"/>
  <c r="G339" i="12"/>
  <c r="F339" i="12"/>
  <c r="E339" i="12"/>
  <c r="D339" i="12"/>
  <c r="C339" i="12"/>
  <c r="B339" i="12"/>
  <c r="I338" i="12"/>
  <c r="H338" i="12"/>
  <c r="G338" i="12"/>
  <c r="F338" i="12"/>
  <c r="E338" i="12"/>
  <c r="D338" i="12"/>
  <c r="C338" i="12"/>
  <c r="B338" i="12"/>
  <c r="I337" i="12"/>
  <c r="H337" i="12"/>
  <c r="G337" i="12"/>
  <c r="F337" i="12"/>
  <c r="E337" i="12"/>
  <c r="D337" i="12"/>
  <c r="C337" i="12"/>
  <c r="B337" i="12"/>
  <c r="I336" i="12"/>
  <c r="H336" i="12"/>
  <c r="G336" i="12"/>
  <c r="F336" i="12"/>
  <c r="E336" i="12"/>
  <c r="D336" i="12"/>
  <c r="C336" i="12"/>
  <c r="B336" i="12"/>
  <c r="I335" i="12"/>
  <c r="H335" i="12"/>
  <c r="G335" i="12"/>
  <c r="F335" i="12"/>
  <c r="E335" i="12"/>
  <c r="D335" i="12"/>
  <c r="C335" i="12"/>
  <c r="B335" i="12"/>
  <c r="I334" i="12"/>
  <c r="H334" i="12"/>
  <c r="G334" i="12"/>
  <c r="F334" i="12"/>
  <c r="E334" i="12"/>
  <c r="D334" i="12"/>
  <c r="C334" i="12"/>
  <c r="B334" i="12"/>
  <c r="I333" i="12"/>
  <c r="H333" i="12"/>
  <c r="G333" i="12"/>
  <c r="F333" i="12"/>
  <c r="E333" i="12"/>
  <c r="D333" i="12"/>
  <c r="C333" i="12"/>
  <c r="B333" i="12"/>
  <c r="I332" i="12"/>
  <c r="H332" i="12"/>
  <c r="G332" i="12"/>
  <c r="F332" i="12"/>
  <c r="E332" i="12"/>
  <c r="D332" i="12"/>
  <c r="C332" i="12"/>
  <c r="B332" i="12"/>
  <c r="I331" i="12"/>
  <c r="H331" i="12"/>
  <c r="G331" i="12"/>
  <c r="F331" i="12"/>
  <c r="E331" i="12"/>
  <c r="D331" i="12"/>
  <c r="C331" i="12"/>
  <c r="B331" i="12"/>
  <c r="I330" i="12"/>
  <c r="H330" i="12"/>
  <c r="G330" i="12"/>
  <c r="F330" i="12"/>
  <c r="E330" i="12"/>
  <c r="D330" i="12"/>
  <c r="C330" i="12"/>
  <c r="B330" i="12"/>
  <c r="I329" i="12"/>
  <c r="H329" i="12"/>
  <c r="G329" i="12"/>
  <c r="F329" i="12"/>
  <c r="E329" i="12"/>
  <c r="D329" i="12"/>
  <c r="C329" i="12"/>
  <c r="B329" i="12"/>
  <c r="I328" i="12"/>
  <c r="H328" i="12"/>
  <c r="G328" i="12"/>
  <c r="F328" i="12"/>
  <c r="E328" i="12"/>
  <c r="D328" i="12"/>
  <c r="C328" i="12"/>
  <c r="B328" i="12"/>
  <c r="I327" i="12"/>
  <c r="H327" i="12"/>
  <c r="G327" i="12"/>
  <c r="F327" i="12"/>
  <c r="E327" i="12"/>
  <c r="D327" i="12"/>
  <c r="C327" i="12"/>
  <c r="B327" i="12"/>
  <c r="I326" i="12"/>
  <c r="H326" i="12"/>
  <c r="G326" i="12"/>
  <c r="F326" i="12"/>
  <c r="E326" i="12"/>
  <c r="D326" i="12"/>
  <c r="C326" i="12"/>
  <c r="B326" i="12"/>
  <c r="I325" i="12"/>
  <c r="H325" i="12"/>
  <c r="G325" i="12"/>
  <c r="F325" i="12"/>
  <c r="E325" i="12"/>
  <c r="D325" i="12"/>
  <c r="C325" i="12"/>
  <c r="B325" i="12"/>
  <c r="I324" i="12"/>
  <c r="H324" i="12"/>
  <c r="G324" i="12"/>
  <c r="F324" i="12"/>
  <c r="E324" i="12"/>
  <c r="D324" i="12"/>
  <c r="C324" i="12"/>
  <c r="B324" i="12"/>
  <c r="I323" i="12"/>
  <c r="H323" i="12"/>
  <c r="G323" i="12"/>
  <c r="F323" i="12"/>
  <c r="E323" i="12"/>
  <c r="D323" i="12"/>
  <c r="C323" i="12"/>
  <c r="B323" i="12"/>
  <c r="I322" i="12"/>
  <c r="H322" i="12"/>
  <c r="G322" i="12"/>
  <c r="F322" i="12"/>
  <c r="E322" i="12"/>
  <c r="D322" i="12"/>
  <c r="C322" i="12"/>
  <c r="B322" i="12"/>
  <c r="I321" i="12"/>
  <c r="H321" i="12"/>
  <c r="G321" i="12"/>
  <c r="F321" i="12"/>
  <c r="E321" i="12"/>
  <c r="D321" i="12"/>
  <c r="C321" i="12"/>
  <c r="B321" i="12"/>
  <c r="I320" i="12"/>
  <c r="H320" i="12"/>
  <c r="G320" i="12"/>
  <c r="F320" i="12"/>
  <c r="E320" i="12"/>
  <c r="D320" i="12"/>
  <c r="C320" i="12"/>
  <c r="B320" i="12"/>
  <c r="I319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I310" i="12"/>
  <c r="H310" i="12"/>
  <c r="G310" i="12"/>
  <c r="F310" i="12"/>
  <c r="E310" i="12"/>
  <c r="D310" i="12"/>
  <c r="C310" i="12"/>
  <c r="B310" i="12"/>
  <c r="I309" i="12"/>
  <c r="H309" i="12"/>
  <c r="G309" i="12"/>
  <c r="F309" i="12"/>
  <c r="E309" i="12"/>
  <c r="D309" i="12"/>
  <c r="C309" i="12"/>
  <c r="B309" i="12"/>
  <c r="I308" i="12"/>
  <c r="H308" i="12"/>
  <c r="G308" i="12"/>
  <c r="F308" i="12"/>
  <c r="E308" i="12"/>
  <c r="D308" i="12"/>
  <c r="C308" i="12"/>
  <c r="B308" i="12"/>
  <c r="I307" i="12"/>
  <c r="H307" i="12"/>
  <c r="G307" i="12"/>
  <c r="F307" i="12"/>
  <c r="E307" i="12"/>
  <c r="D307" i="12"/>
  <c r="C307" i="12"/>
  <c r="B307" i="12"/>
  <c r="I306" i="12"/>
  <c r="H306" i="12"/>
  <c r="G306" i="12"/>
  <c r="F306" i="12"/>
  <c r="E306" i="12"/>
  <c r="D306" i="12"/>
  <c r="C306" i="12"/>
  <c r="B306" i="12"/>
  <c r="I305" i="12"/>
  <c r="H305" i="12"/>
  <c r="G305" i="12"/>
  <c r="F305" i="12"/>
  <c r="E305" i="12"/>
  <c r="D305" i="12"/>
  <c r="C305" i="12"/>
  <c r="B305" i="12"/>
  <c r="I304" i="12"/>
  <c r="H304" i="12"/>
  <c r="G304" i="12"/>
  <c r="F304" i="12"/>
  <c r="E304" i="12"/>
  <c r="D304" i="12"/>
  <c r="C304" i="12"/>
  <c r="B304" i="12"/>
  <c r="I303" i="12"/>
  <c r="H303" i="12"/>
  <c r="G303" i="12"/>
  <c r="F303" i="12"/>
  <c r="E303" i="12"/>
  <c r="D303" i="12"/>
  <c r="C303" i="12"/>
  <c r="B303" i="12"/>
  <c r="I302" i="12"/>
  <c r="H302" i="12"/>
  <c r="G302" i="12"/>
  <c r="F302" i="12"/>
  <c r="E302" i="12"/>
  <c r="D302" i="12"/>
  <c r="C302" i="12"/>
  <c r="B302" i="12"/>
  <c r="I301" i="12"/>
  <c r="H301" i="12"/>
  <c r="G301" i="12"/>
  <c r="F301" i="12"/>
  <c r="E301" i="12"/>
  <c r="D301" i="12"/>
  <c r="C301" i="12"/>
  <c r="B301" i="12"/>
  <c r="I300" i="12"/>
  <c r="H300" i="12"/>
  <c r="G300" i="12"/>
  <c r="F300" i="12"/>
  <c r="E300" i="12"/>
  <c r="D300" i="12"/>
  <c r="C300" i="12"/>
  <c r="B300" i="12"/>
  <c r="I299" i="12"/>
  <c r="H299" i="12"/>
  <c r="G299" i="12"/>
  <c r="F299" i="12"/>
  <c r="E299" i="12"/>
  <c r="D299" i="12"/>
  <c r="C299" i="12"/>
  <c r="B299" i="12"/>
  <c r="I298" i="12"/>
  <c r="H298" i="12"/>
  <c r="G298" i="12"/>
  <c r="F298" i="12"/>
  <c r="E298" i="12"/>
  <c r="D298" i="12"/>
  <c r="C298" i="12"/>
  <c r="B298" i="12"/>
  <c r="I297" i="12"/>
  <c r="H297" i="12"/>
  <c r="G297" i="12"/>
  <c r="F297" i="12"/>
  <c r="E297" i="12"/>
  <c r="D297" i="12"/>
  <c r="C297" i="12"/>
  <c r="B297" i="12"/>
  <c r="I296" i="12"/>
  <c r="H296" i="12"/>
  <c r="G296" i="12"/>
  <c r="F296" i="12"/>
  <c r="E296" i="12"/>
  <c r="D296" i="12"/>
  <c r="C296" i="12"/>
  <c r="B296" i="12"/>
  <c r="I295" i="12"/>
  <c r="H295" i="12"/>
  <c r="G295" i="12"/>
  <c r="F295" i="12"/>
  <c r="E295" i="12"/>
  <c r="D295" i="12"/>
  <c r="C295" i="12"/>
  <c r="B295" i="12"/>
  <c r="I294" i="12"/>
  <c r="H294" i="12"/>
  <c r="G294" i="12"/>
  <c r="F294" i="12"/>
  <c r="E294" i="12"/>
  <c r="D294" i="12"/>
  <c r="C294" i="12"/>
  <c r="B294" i="12"/>
  <c r="I293" i="12"/>
  <c r="H293" i="12"/>
  <c r="G293" i="12"/>
  <c r="F293" i="12"/>
  <c r="E293" i="12"/>
  <c r="D293" i="12"/>
  <c r="C293" i="12"/>
  <c r="B293" i="12"/>
  <c r="I292" i="12"/>
  <c r="H292" i="12"/>
  <c r="G292" i="12"/>
  <c r="F292" i="12"/>
  <c r="E292" i="12"/>
  <c r="D292" i="12"/>
  <c r="C292" i="12"/>
  <c r="B292" i="12"/>
  <c r="I291" i="12"/>
  <c r="H291" i="12"/>
  <c r="G291" i="12"/>
  <c r="F291" i="12"/>
  <c r="E291" i="12"/>
  <c r="D291" i="12"/>
  <c r="C291" i="12"/>
  <c r="B291" i="12"/>
  <c r="I290" i="12"/>
  <c r="H290" i="12"/>
  <c r="G290" i="12"/>
  <c r="F290" i="12"/>
  <c r="E290" i="12"/>
  <c r="D290" i="12"/>
  <c r="C290" i="12"/>
  <c r="B290" i="12"/>
  <c r="I289" i="12"/>
  <c r="H289" i="12"/>
  <c r="G289" i="12"/>
  <c r="F289" i="12"/>
  <c r="E289" i="12"/>
  <c r="D289" i="12"/>
  <c r="C289" i="12"/>
  <c r="B289" i="12"/>
  <c r="I288" i="12"/>
  <c r="H288" i="12"/>
  <c r="G288" i="12"/>
  <c r="F288" i="12"/>
  <c r="E288" i="12"/>
  <c r="D288" i="12"/>
  <c r="C288" i="12"/>
  <c r="B288" i="12"/>
  <c r="I287" i="12"/>
  <c r="H287" i="12"/>
  <c r="G287" i="12"/>
  <c r="F287" i="12"/>
  <c r="E287" i="12"/>
  <c r="D287" i="12"/>
  <c r="C287" i="12"/>
  <c r="B287" i="12"/>
  <c r="I286" i="12"/>
  <c r="H286" i="12"/>
  <c r="G286" i="12"/>
  <c r="F286" i="12"/>
  <c r="E286" i="12"/>
  <c r="D286" i="12"/>
  <c r="C286" i="12"/>
  <c r="B286" i="12"/>
  <c r="I285" i="12"/>
  <c r="H285" i="12"/>
  <c r="G285" i="12"/>
  <c r="F285" i="12"/>
  <c r="E285" i="12"/>
  <c r="D285" i="12"/>
  <c r="C285" i="12"/>
  <c r="B285" i="12"/>
  <c r="I284" i="12"/>
  <c r="H284" i="12"/>
  <c r="G284" i="12"/>
  <c r="F284" i="12"/>
  <c r="E284" i="12"/>
  <c r="D284" i="12"/>
  <c r="C284" i="12"/>
  <c r="B284" i="12"/>
  <c r="I283" i="12"/>
  <c r="H283" i="12"/>
  <c r="G283" i="12"/>
  <c r="F283" i="12"/>
  <c r="E283" i="12"/>
  <c r="D283" i="12"/>
  <c r="C283" i="12"/>
  <c r="B283" i="12"/>
  <c r="I282" i="12"/>
  <c r="H282" i="12"/>
  <c r="G282" i="12"/>
  <c r="F282" i="12"/>
  <c r="E282" i="12"/>
  <c r="D282" i="12"/>
  <c r="C282" i="12"/>
  <c r="B282" i="12"/>
  <c r="I281" i="12"/>
  <c r="H281" i="12"/>
  <c r="G281" i="12"/>
  <c r="F281" i="12"/>
  <c r="E281" i="12"/>
  <c r="D281" i="12"/>
  <c r="C281" i="12"/>
  <c r="B281" i="12"/>
  <c r="I280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I271" i="12"/>
  <c r="H271" i="12"/>
  <c r="G271" i="12"/>
  <c r="F271" i="12"/>
  <c r="E271" i="12"/>
  <c r="D271" i="12"/>
  <c r="C271" i="12"/>
  <c r="B271" i="12"/>
  <c r="I270" i="12"/>
  <c r="H270" i="12"/>
  <c r="G270" i="12"/>
  <c r="F270" i="12"/>
  <c r="E270" i="12"/>
  <c r="D270" i="12"/>
  <c r="C270" i="12"/>
  <c r="B270" i="12"/>
  <c r="I269" i="12"/>
  <c r="H269" i="12"/>
  <c r="G269" i="12"/>
  <c r="F269" i="12"/>
  <c r="E269" i="12"/>
  <c r="D269" i="12"/>
  <c r="C269" i="12"/>
  <c r="B269" i="12"/>
  <c r="I268" i="12"/>
  <c r="H268" i="12"/>
  <c r="G268" i="12"/>
  <c r="F268" i="12"/>
  <c r="E268" i="12"/>
  <c r="D268" i="12"/>
  <c r="C268" i="12"/>
  <c r="B268" i="12"/>
  <c r="I267" i="12"/>
  <c r="H267" i="12"/>
  <c r="G267" i="12"/>
  <c r="F267" i="12"/>
  <c r="E267" i="12"/>
  <c r="D267" i="12"/>
  <c r="C267" i="12"/>
  <c r="B267" i="12"/>
  <c r="I266" i="12"/>
  <c r="H266" i="12"/>
  <c r="G266" i="12"/>
  <c r="F266" i="12"/>
  <c r="E266" i="12"/>
  <c r="D266" i="12"/>
  <c r="C266" i="12"/>
  <c r="B266" i="12"/>
  <c r="I265" i="12"/>
  <c r="H265" i="12"/>
  <c r="G265" i="12"/>
  <c r="F265" i="12"/>
  <c r="E265" i="12"/>
  <c r="D265" i="12"/>
  <c r="C265" i="12"/>
  <c r="B265" i="12"/>
  <c r="I264" i="12"/>
  <c r="H264" i="12"/>
  <c r="G264" i="12"/>
  <c r="F264" i="12"/>
  <c r="E264" i="12"/>
  <c r="D264" i="12"/>
  <c r="C264" i="12"/>
  <c r="B264" i="12"/>
  <c r="I263" i="12"/>
  <c r="H263" i="12"/>
  <c r="G263" i="12"/>
  <c r="F263" i="12"/>
  <c r="E263" i="12"/>
  <c r="D263" i="12"/>
  <c r="C263" i="12"/>
  <c r="B263" i="12"/>
  <c r="I262" i="12"/>
  <c r="H262" i="12"/>
  <c r="G262" i="12"/>
  <c r="F262" i="12"/>
  <c r="E262" i="12"/>
  <c r="D262" i="12"/>
  <c r="C262" i="12"/>
  <c r="B262" i="12"/>
  <c r="I261" i="12"/>
  <c r="H261" i="12"/>
  <c r="G261" i="12"/>
  <c r="F261" i="12"/>
  <c r="E261" i="12"/>
  <c r="D261" i="12"/>
  <c r="C261" i="12"/>
  <c r="B261" i="12"/>
  <c r="I260" i="12"/>
  <c r="H260" i="12"/>
  <c r="G260" i="12"/>
  <c r="F260" i="12"/>
  <c r="E260" i="12"/>
  <c r="D260" i="12"/>
  <c r="C260" i="12"/>
  <c r="B260" i="12"/>
  <c r="I259" i="12"/>
  <c r="H259" i="12"/>
  <c r="G259" i="12"/>
  <c r="F259" i="12"/>
  <c r="E259" i="12"/>
  <c r="D259" i="12"/>
  <c r="C259" i="12"/>
  <c r="B259" i="12"/>
  <c r="I258" i="12"/>
  <c r="H258" i="12"/>
  <c r="G258" i="12"/>
  <c r="F258" i="12"/>
  <c r="E258" i="12"/>
  <c r="D258" i="12"/>
  <c r="C258" i="12"/>
  <c r="B258" i="12"/>
  <c r="I257" i="12"/>
  <c r="H257" i="12"/>
  <c r="G257" i="12"/>
  <c r="F257" i="12"/>
  <c r="E257" i="12"/>
  <c r="D257" i="12"/>
  <c r="C257" i="12"/>
  <c r="B257" i="12"/>
  <c r="I256" i="12"/>
  <c r="H256" i="12"/>
  <c r="G256" i="12"/>
  <c r="F256" i="12"/>
  <c r="E256" i="12"/>
  <c r="D256" i="12"/>
  <c r="C256" i="12"/>
  <c r="B256" i="12"/>
  <c r="I255" i="12"/>
  <c r="H255" i="12"/>
  <c r="G255" i="12"/>
  <c r="F255" i="12"/>
  <c r="E255" i="12"/>
  <c r="D255" i="12"/>
  <c r="C255" i="12"/>
  <c r="B255" i="12"/>
  <c r="I254" i="12"/>
  <c r="H254" i="12"/>
  <c r="G254" i="12"/>
  <c r="F254" i="12"/>
  <c r="E254" i="12"/>
  <c r="D254" i="12"/>
  <c r="C254" i="12"/>
  <c r="B254" i="12"/>
  <c r="I253" i="12"/>
  <c r="H253" i="12"/>
  <c r="G253" i="12"/>
  <c r="F253" i="12"/>
  <c r="E253" i="12"/>
  <c r="D253" i="12"/>
  <c r="C253" i="12"/>
  <c r="B253" i="12"/>
  <c r="I252" i="12"/>
  <c r="H252" i="12"/>
  <c r="G252" i="12"/>
  <c r="F252" i="12"/>
  <c r="E252" i="12"/>
  <c r="D252" i="12"/>
  <c r="C252" i="12"/>
  <c r="B252" i="12"/>
  <c r="I251" i="12"/>
  <c r="H251" i="12"/>
  <c r="G251" i="12"/>
  <c r="F251" i="12"/>
  <c r="E251" i="12"/>
  <c r="D251" i="12"/>
  <c r="C251" i="12"/>
  <c r="B251" i="12"/>
  <c r="I250" i="12"/>
  <c r="H250" i="12"/>
  <c r="G250" i="12"/>
  <c r="F250" i="12"/>
  <c r="E250" i="12"/>
  <c r="D250" i="12"/>
  <c r="C250" i="12"/>
  <c r="B250" i="12"/>
  <c r="I249" i="12"/>
  <c r="H249" i="12"/>
  <c r="G249" i="12"/>
  <c r="F249" i="12"/>
  <c r="E249" i="12"/>
  <c r="D249" i="12"/>
  <c r="C249" i="12"/>
  <c r="B249" i="12"/>
  <c r="I248" i="12"/>
  <c r="H248" i="12"/>
  <c r="G248" i="12"/>
  <c r="F248" i="12"/>
  <c r="E248" i="12"/>
  <c r="D248" i="12"/>
  <c r="C248" i="12"/>
  <c r="B248" i="12"/>
  <c r="I247" i="12"/>
  <c r="H247" i="12"/>
  <c r="G247" i="12"/>
  <c r="F247" i="12"/>
  <c r="E247" i="12"/>
  <c r="D247" i="12"/>
  <c r="C247" i="12"/>
  <c r="B247" i="12"/>
  <c r="I246" i="12"/>
  <c r="H246" i="12"/>
  <c r="G246" i="12"/>
  <c r="F246" i="12"/>
  <c r="E246" i="12"/>
  <c r="D246" i="12"/>
  <c r="C246" i="12"/>
  <c r="B246" i="12"/>
  <c r="I245" i="12"/>
  <c r="H245" i="12"/>
  <c r="G245" i="12"/>
  <c r="F245" i="12"/>
  <c r="E245" i="12"/>
  <c r="D245" i="12"/>
  <c r="C245" i="12"/>
  <c r="B245" i="12"/>
  <c r="I244" i="12"/>
  <c r="H244" i="12"/>
  <c r="G244" i="12"/>
  <c r="F244" i="12"/>
  <c r="E244" i="12"/>
  <c r="D244" i="12"/>
  <c r="C244" i="12"/>
  <c r="B244" i="12"/>
  <c r="I243" i="12"/>
  <c r="H243" i="12"/>
  <c r="G243" i="12"/>
  <c r="F243" i="12"/>
  <c r="E243" i="12"/>
  <c r="D243" i="12"/>
  <c r="C243" i="12"/>
  <c r="B243" i="12"/>
  <c r="I242" i="12"/>
  <c r="H242" i="12"/>
  <c r="G242" i="12"/>
  <c r="F242" i="12"/>
  <c r="E242" i="12"/>
  <c r="D242" i="12"/>
  <c r="C242" i="12"/>
  <c r="B242" i="12"/>
  <c r="I241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I231" i="12"/>
  <c r="H231" i="12"/>
  <c r="G231" i="12"/>
  <c r="F231" i="12"/>
  <c r="E231" i="12"/>
  <c r="D231" i="12"/>
  <c r="C231" i="12"/>
  <c r="B231" i="12"/>
  <c r="I230" i="12"/>
  <c r="H230" i="12"/>
  <c r="G230" i="12"/>
  <c r="F230" i="12"/>
  <c r="E230" i="12"/>
  <c r="D230" i="12"/>
  <c r="C230" i="12"/>
  <c r="B230" i="12"/>
  <c r="I229" i="12"/>
  <c r="H229" i="12"/>
  <c r="G229" i="12"/>
  <c r="F229" i="12"/>
  <c r="E229" i="12"/>
  <c r="D229" i="12"/>
  <c r="C229" i="12"/>
  <c r="B229" i="12"/>
  <c r="I228" i="12"/>
  <c r="H228" i="12"/>
  <c r="G228" i="12"/>
  <c r="F228" i="12"/>
  <c r="E228" i="12"/>
  <c r="D228" i="12"/>
  <c r="C228" i="12"/>
  <c r="B228" i="12"/>
  <c r="I227" i="12"/>
  <c r="H227" i="12"/>
  <c r="G227" i="12"/>
  <c r="F227" i="12"/>
  <c r="E227" i="12"/>
  <c r="D227" i="12"/>
  <c r="C227" i="12"/>
  <c r="B227" i="12"/>
  <c r="I226" i="12"/>
  <c r="H226" i="12"/>
  <c r="G226" i="12"/>
  <c r="F226" i="12"/>
  <c r="E226" i="12"/>
  <c r="D226" i="12"/>
  <c r="C226" i="12"/>
  <c r="B226" i="12"/>
  <c r="I225" i="12"/>
  <c r="H225" i="12"/>
  <c r="G225" i="12"/>
  <c r="F225" i="12"/>
  <c r="E225" i="12"/>
  <c r="D225" i="12"/>
  <c r="C225" i="12"/>
  <c r="B225" i="12"/>
  <c r="I224" i="12"/>
  <c r="H224" i="12"/>
  <c r="G224" i="12"/>
  <c r="F224" i="12"/>
  <c r="E224" i="12"/>
  <c r="D224" i="12"/>
  <c r="C224" i="12"/>
  <c r="B224" i="12"/>
  <c r="I223" i="12"/>
  <c r="H223" i="12"/>
  <c r="G223" i="12"/>
  <c r="F223" i="12"/>
  <c r="E223" i="12"/>
  <c r="D223" i="12"/>
  <c r="C223" i="12"/>
  <c r="B223" i="12"/>
  <c r="I222" i="12"/>
  <c r="H222" i="12"/>
  <c r="G222" i="12"/>
  <c r="F222" i="12"/>
  <c r="E222" i="12"/>
  <c r="D222" i="12"/>
  <c r="C222" i="12"/>
  <c r="B222" i="12"/>
  <c r="I221" i="12"/>
  <c r="H221" i="12"/>
  <c r="G221" i="12"/>
  <c r="F221" i="12"/>
  <c r="E221" i="12"/>
  <c r="D221" i="12"/>
  <c r="C221" i="12"/>
  <c r="B221" i="12"/>
  <c r="I220" i="12"/>
  <c r="H220" i="12"/>
  <c r="G220" i="12"/>
  <c r="F220" i="12"/>
  <c r="E220" i="12"/>
  <c r="D220" i="12"/>
  <c r="C220" i="12"/>
  <c r="B220" i="12"/>
  <c r="I219" i="12"/>
  <c r="H219" i="12"/>
  <c r="G219" i="12"/>
  <c r="F219" i="12"/>
  <c r="E219" i="12"/>
  <c r="D219" i="12"/>
  <c r="C219" i="12"/>
  <c r="B219" i="12"/>
  <c r="I218" i="12"/>
  <c r="H218" i="12"/>
  <c r="G218" i="12"/>
  <c r="F218" i="12"/>
  <c r="E218" i="12"/>
  <c r="D218" i="12"/>
  <c r="C218" i="12"/>
  <c r="B218" i="12"/>
  <c r="I217" i="12"/>
  <c r="H217" i="12"/>
  <c r="G217" i="12"/>
  <c r="F217" i="12"/>
  <c r="E217" i="12"/>
  <c r="D217" i="12"/>
  <c r="C217" i="12"/>
  <c r="B217" i="12"/>
  <c r="I216" i="12"/>
  <c r="H216" i="12"/>
  <c r="G216" i="12"/>
  <c r="F216" i="12"/>
  <c r="E216" i="12"/>
  <c r="D216" i="12"/>
  <c r="C216" i="12"/>
  <c r="B216" i="12"/>
  <c r="I215" i="12"/>
  <c r="H215" i="12"/>
  <c r="G215" i="12"/>
  <c r="F215" i="12"/>
  <c r="E215" i="12"/>
  <c r="D215" i="12"/>
  <c r="C215" i="12"/>
  <c r="B215" i="12"/>
  <c r="I214" i="12"/>
  <c r="H214" i="12"/>
  <c r="G214" i="12"/>
  <c r="F214" i="12"/>
  <c r="E214" i="12"/>
  <c r="D214" i="12"/>
  <c r="C214" i="12"/>
  <c r="B214" i="12"/>
  <c r="I213" i="12"/>
  <c r="H213" i="12"/>
  <c r="G213" i="12"/>
  <c r="F213" i="12"/>
  <c r="E213" i="12"/>
  <c r="D213" i="12"/>
  <c r="C213" i="12"/>
  <c r="B213" i="12"/>
  <c r="I212" i="12"/>
  <c r="H212" i="12"/>
  <c r="G212" i="12"/>
  <c r="F212" i="12"/>
  <c r="E212" i="12"/>
  <c r="D212" i="12"/>
  <c r="C212" i="12"/>
  <c r="B212" i="12"/>
  <c r="I211" i="12"/>
  <c r="H211" i="12"/>
  <c r="G211" i="12"/>
  <c r="F211" i="12"/>
  <c r="E211" i="12"/>
  <c r="D211" i="12"/>
  <c r="C211" i="12"/>
  <c r="B211" i="12"/>
  <c r="I210" i="12"/>
  <c r="H210" i="12"/>
  <c r="G210" i="12"/>
  <c r="F210" i="12"/>
  <c r="E210" i="12"/>
  <c r="D210" i="12"/>
  <c r="C210" i="12"/>
  <c r="B210" i="12"/>
  <c r="I209" i="12"/>
  <c r="H209" i="12"/>
  <c r="G209" i="12"/>
  <c r="F209" i="12"/>
  <c r="E209" i="12"/>
  <c r="D209" i="12"/>
  <c r="C209" i="12"/>
  <c r="B209" i="12"/>
  <c r="I208" i="12"/>
  <c r="H208" i="12"/>
  <c r="G208" i="12"/>
  <c r="F208" i="12"/>
  <c r="E208" i="12"/>
  <c r="D208" i="12"/>
  <c r="C208" i="12"/>
  <c r="B208" i="12"/>
  <c r="I207" i="12"/>
  <c r="H207" i="12"/>
  <c r="G207" i="12"/>
  <c r="F207" i="12"/>
  <c r="E207" i="12"/>
  <c r="D207" i="12"/>
  <c r="C207" i="12"/>
  <c r="B207" i="12"/>
  <c r="I206" i="12"/>
  <c r="H206" i="12"/>
  <c r="G206" i="12"/>
  <c r="F206" i="12"/>
  <c r="E206" i="12"/>
  <c r="D206" i="12"/>
  <c r="C206" i="12"/>
  <c r="B206" i="12"/>
  <c r="I205" i="12"/>
  <c r="H205" i="12"/>
  <c r="G205" i="12"/>
  <c r="F205" i="12"/>
  <c r="E205" i="12"/>
  <c r="D205" i="12"/>
  <c r="C205" i="12"/>
  <c r="B205" i="12"/>
  <c r="I204" i="12"/>
  <c r="H204" i="12"/>
  <c r="G204" i="12"/>
  <c r="F204" i="12"/>
  <c r="E204" i="12"/>
  <c r="D204" i="12"/>
  <c r="C204" i="12"/>
  <c r="B204" i="12"/>
  <c r="I203" i="12"/>
  <c r="H203" i="12"/>
  <c r="G203" i="12"/>
  <c r="F203" i="12"/>
  <c r="E203" i="12"/>
  <c r="D203" i="12"/>
  <c r="C203" i="12"/>
  <c r="B203" i="12"/>
  <c r="I202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I193" i="12"/>
  <c r="H193" i="12"/>
  <c r="G193" i="12"/>
  <c r="F193" i="12"/>
  <c r="E193" i="12"/>
  <c r="D193" i="12"/>
  <c r="C193" i="12"/>
  <c r="B193" i="12"/>
  <c r="I192" i="12"/>
  <c r="H192" i="12"/>
  <c r="G192" i="12"/>
  <c r="F192" i="12"/>
  <c r="E192" i="12"/>
  <c r="D192" i="12"/>
  <c r="C192" i="12"/>
  <c r="B192" i="12"/>
  <c r="I191" i="12"/>
  <c r="H191" i="12"/>
  <c r="G191" i="12"/>
  <c r="F191" i="12"/>
  <c r="E191" i="12"/>
  <c r="D191" i="12"/>
  <c r="C191" i="12"/>
  <c r="B191" i="12"/>
  <c r="I190" i="12"/>
  <c r="H190" i="12"/>
  <c r="G190" i="12"/>
  <c r="F190" i="12"/>
  <c r="E190" i="12"/>
  <c r="D190" i="12"/>
  <c r="C190" i="12"/>
  <c r="B190" i="12"/>
  <c r="I189" i="12"/>
  <c r="H189" i="12"/>
  <c r="G189" i="12"/>
  <c r="F189" i="12"/>
  <c r="E189" i="12"/>
  <c r="D189" i="12"/>
  <c r="C189" i="12"/>
  <c r="B189" i="12"/>
  <c r="I188" i="12"/>
  <c r="H188" i="12"/>
  <c r="G188" i="12"/>
  <c r="F188" i="12"/>
  <c r="E188" i="12"/>
  <c r="D188" i="12"/>
  <c r="C188" i="12"/>
  <c r="B188" i="12"/>
  <c r="I187" i="12"/>
  <c r="H187" i="12"/>
  <c r="G187" i="12"/>
  <c r="F187" i="12"/>
  <c r="E187" i="12"/>
  <c r="D187" i="12"/>
  <c r="C187" i="12"/>
  <c r="B187" i="12"/>
  <c r="I186" i="12"/>
  <c r="H186" i="12"/>
  <c r="G186" i="12"/>
  <c r="F186" i="12"/>
  <c r="E186" i="12"/>
  <c r="D186" i="12"/>
  <c r="C186" i="12"/>
  <c r="B186" i="12"/>
  <c r="I185" i="12"/>
  <c r="H185" i="12"/>
  <c r="G185" i="12"/>
  <c r="F185" i="12"/>
  <c r="E185" i="12"/>
  <c r="D185" i="12"/>
  <c r="C185" i="12"/>
  <c r="B185" i="12"/>
  <c r="I184" i="12"/>
  <c r="H184" i="12"/>
  <c r="G184" i="12"/>
  <c r="F184" i="12"/>
  <c r="E184" i="12"/>
  <c r="D184" i="12"/>
  <c r="C184" i="12"/>
  <c r="B184" i="12"/>
  <c r="I183" i="12"/>
  <c r="H183" i="12"/>
  <c r="G183" i="12"/>
  <c r="F183" i="12"/>
  <c r="E183" i="12"/>
  <c r="D183" i="12"/>
  <c r="C183" i="12"/>
  <c r="B183" i="12"/>
  <c r="I182" i="12"/>
  <c r="H182" i="12"/>
  <c r="G182" i="12"/>
  <c r="F182" i="12"/>
  <c r="E182" i="12"/>
  <c r="D182" i="12"/>
  <c r="C182" i="12"/>
  <c r="B182" i="12"/>
  <c r="I181" i="12"/>
  <c r="H181" i="12"/>
  <c r="G181" i="12"/>
  <c r="F181" i="12"/>
  <c r="E181" i="12"/>
  <c r="D181" i="12"/>
  <c r="C181" i="12"/>
  <c r="B181" i="12"/>
  <c r="I180" i="12"/>
  <c r="H180" i="12"/>
  <c r="G180" i="12"/>
  <c r="F180" i="12"/>
  <c r="E180" i="12"/>
  <c r="D180" i="12"/>
  <c r="C180" i="12"/>
  <c r="B180" i="12"/>
  <c r="I179" i="12"/>
  <c r="H179" i="12"/>
  <c r="G179" i="12"/>
  <c r="F179" i="12"/>
  <c r="E179" i="12"/>
  <c r="D179" i="12"/>
  <c r="C179" i="12"/>
  <c r="B179" i="12"/>
  <c r="I178" i="12"/>
  <c r="H178" i="12"/>
  <c r="G178" i="12"/>
  <c r="F178" i="12"/>
  <c r="E178" i="12"/>
  <c r="D178" i="12"/>
  <c r="C178" i="12"/>
  <c r="B178" i="12"/>
  <c r="I177" i="12"/>
  <c r="H177" i="12"/>
  <c r="G177" i="12"/>
  <c r="F177" i="12"/>
  <c r="E177" i="12"/>
  <c r="D177" i="12"/>
  <c r="C177" i="12"/>
  <c r="B177" i="12"/>
  <c r="I176" i="12"/>
  <c r="H176" i="12"/>
  <c r="G176" i="12"/>
  <c r="F176" i="12"/>
  <c r="E176" i="12"/>
  <c r="D176" i="12"/>
  <c r="C176" i="12"/>
  <c r="B176" i="12"/>
  <c r="I175" i="12"/>
  <c r="H175" i="12"/>
  <c r="G175" i="12"/>
  <c r="F175" i="12"/>
  <c r="E175" i="12"/>
  <c r="D175" i="12"/>
  <c r="C175" i="12"/>
  <c r="B175" i="12"/>
  <c r="I174" i="12"/>
  <c r="H174" i="12"/>
  <c r="G174" i="12"/>
  <c r="F174" i="12"/>
  <c r="E174" i="12"/>
  <c r="D174" i="12"/>
  <c r="C174" i="12"/>
  <c r="B174" i="12"/>
  <c r="I173" i="12"/>
  <c r="H173" i="12"/>
  <c r="G173" i="12"/>
  <c r="F173" i="12"/>
  <c r="E173" i="12"/>
  <c r="D173" i="12"/>
  <c r="C173" i="12"/>
  <c r="B173" i="12"/>
  <c r="I172" i="12"/>
  <c r="H172" i="12"/>
  <c r="G172" i="12"/>
  <c r="F172" i="12"/>
  <c r="E172" i="12"/>
  <c r="D172" i="12"/>
  <c r="C172" i="12"/>
  <c r="B172" i="12"/>
  <c r="I171" i="12"/>
  <c r="H171" i="12"/>
  <c r="G171" i="12"/>
  <c r="F171" i="12"/>
  <c r="E171" i="12"/>
  <c r="D171" i="12"/>
  <c r="C171" i="12"/>
  <c r="B171" i="12"/>
  <c r="I170" i="12"/>
  <c r="H170" i="12"/>
  <c r="G170" i="12"/>
  <c r="F170" i="12"/>
  <c r="E170" i="12"/>
  <c r="D170" i="12"/>
  <c r="C170" i="12"/>
  <c r="B170" i="12"/>
  <c r="I169" i="12"/>
  <c r="H169" i="12"/>
  <c r="G169" i="12"/>
  <c r="F169" i="12"/>
  <c r="E169" i="12"/>
  <c r="D169" i="12"/>
  <c r="C169" i="12"/>
  <c r="B169" i="12"/>
  <c r="I168" i="12"/>
  <c r="H168" i="12"/>
  <c r="G168" i="12"/>
  <c r="F168" i="12"/>
  <c r="E168" i="12"/>
  <c r="D168" i="12"/>
  <c r="C168" i="12"/>
  <c r="B168" i="12"/>
  <c r="I167" i="12"/>
  <c r="H167" i="12"/>
  <c r="G167" i="12"/>
  <c r="F167" i="12"/>
  <c r="E167" i="12"/>
  <c r="D167" i="12"/>
  <c r="C167" i="12"/>
  <c r="B167" i="12"/>
  <c r="I166" i="12"/>
  <c r="H166" i="12"/>
  <c r="G166" i="12"/>
  <c r="F166" i="12"/>
  <c r="E166" i="12"/>
  <c r="D166" i="12"/>
  <c r="C166" i="12"/>
  <c r="B166" i="12"/>
  <c r="I165" i="12"/>
  <c r="H165" i="12"/>
  <c r="G165" i="12"/>
  <c r="F165" i="12"/>
  <c r="E165" i="12"/>
  <c r="D165" i="12"/>
  <c r="C165" i="12"/>
  <c r="B165" i="12"/>
  <c r="I164" i="12"/>
  <c r="H164" i="12"/>
  <c r="G164" i="12"/>
  <c r="F164" i="12"/>
  <c r="E164" i="12"/>
  <c r="D164" i="12"/>
  <c r="C164" i="12"/>
  <c r="B164" i="12"/>
  <c r="I163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I153" i="12"/>
  <c r="H153" i="12"/>
  <c r="G153" i="12"/>
  <c r="F153" i="12"/>
  <c r="E153" i="12"/>
  <c r="D153" i="12"/>
  <c r="C153" i="12"/>
  <c r="B153" i="12"/>
  <c r="I152" i="12"/>
  <c r="H152" i="12"/>
  <c r="G152" i="12"/>
  <c r="F152" i="12"/>
  <c r="E152" i="12"/>
  <c r="D152" i="12"/>
  <c r="C152" i="12"/>
  <c r="B152" i="12"/>
  <c r="I151" i="12"/>
  <c r="H151" i="12"/>
  <c r="G151" i="12"/>
  <c r="F151" i="12"/>
  <c r="E151" i="12"/>
  <c r="D151" i="12"/>
  <c r="C151" i="12"/>
  <c r="B151" i="12"/>
  <c r="I150" i="12"/>
  <c r="H150" i="12"/>
  <c r="G150" i="12"/>
  <c r="F150" i="12"/>
  <c r="E150" i="12"/>
  <c r="D150" i="12"/>
  <c r="C150" i="12"/>
  <c r="B150" i="12"/>
  <c r="I149" i="12"/>
  <c r="H149" i="12"/>
  <c r="G149" i="12"/>
  <c r="F149" i="12"/>
  <c r="E149" i="12"/>
  <c r="D149" i="12"/>
  <c r="C149" i="12"/>
  <c r="B149" i="12"/>
  <c r="I148" i="12"/>
  <c r="H148" i="12"/>
  <c r="G148" i="12"/>
  <c r="F148" i="12"/>
  <c r="E148" i="12"/>
  <c r="D148" i="12"/>
  <c r="C148" i="12"/>
  <c r="B148" i="12"/>
  <c r="I147" i="12"/>
  <c r="H147" i="12"/>
  <c r="G147" i="12"/>
  <c r="F147" i="12"/>
  <c r="E147" i="12"/>
  <c r="D147" i="12"/>
  <c r="C147" i="12"/>
  <c r="B147" i="12"/>
  <c r="I146" i="12"/>
  <c r="H146" i="12"/>
  <c r="G146" i="12"/>
  <c r="F146" i="12"/>
  <c r="E146" i="12"/>
  <c r="D146" i="12"/>
  <c r="C146" i="12"/>
  <c r="B146" i="12"/>
  <c r="I145" i="12"/>
  <c r="H145" i="12"/>
  <c r="G145" i="12"/>
  <c r="F145" i="12"/>
  <c r="E145" i="12"/>
  <c r="D145" i="12"/>
  <c r="C145" i="12"/>
  <c r="B145" i="12"/>
  <c r="I144" i="12"/>
  <c r="H144" i="12"/>
  <c r="G144" i="12"/>
  <c r="F144" i="12"/>
  <c r="E144" i="12"/>
  <c r="D144" i="12"/>
  <c r="C144" i="12"/>
  <c r="B144" i="12"/>
  <c r="I143" i="12"/>
  <c r="H143" i="12"/>
  <c r="G143" i="12"/>
  <c r="F143" i="12"/>
  <c r="E143" i="12"/>
  <c r="D143" i="12"/>
  <c r="C143" i="12"/>
  <c r="B143" i="12"/>
  <c r="I142" i="12"/>
  <c r="H142" i="12"/>
  <c r="G142" i="12"/>
  <c r="F142" i="12"/>
  <c r="E142" i="12"/>
  <c r="D142" i="12"/>
  <c r="C142" i="12"/>
  <c r="B142" i="12"/>
  <c r="I141" i="12"/>
  <c r="H141" i="12"/>
  <c r="G141" i="12"/>
  <c r="F141" i="12"/>
  <c r="E141" i="12"/>
  <c r="D141" i="12"/>
  <c r="C141" i="12"/>
  <c r="B141" i="12"/>
  <c r="I140" i="12"/>
  <c r="H140" i="12"/>
  <c r="G140" i="12"/>
  <c r="F140" i="12"/>
  <c r="E140" i="12"/>
  <c r="D140" i="12"/>
  <c r="C140" i="12"/>
  <c r="B140" i="12"/>
  <c r="I139" i="12"/>
  <c r="H139" i="12"/>
  <c r="G139" i="12"/>
  <c r="F139" i="12"/>
  <c r="E139" i="12"/>
  <c r="D139" i="12"/>
  <c r="C139" i="12"/>
  <c r="B139" i="12"/>
  <c r="I138" i="12"/>
  <c r="H138" i="12"/>
  <c r="G138" i="12"/>
  <c r="F138" i="12"/>
  <c r="E138" i="12"/>
  <c r="D138" i="12"/>
  <c r="C138" i="12"/>
  <c r="B138" i="12"/>
  <c r="I137" i="12"/>
  <c r="H137" i="12"/>
  <c r="G137" i="12"/>
  <c r="F137" i="12"/>
  <c r="E137" i="12"/>
  <c r="D137" i="12"/>
  <c r="C137" i="12"/>
  <c r="B137" i="12"/>
  <c r="I136" i="12"/>
  <c r="H136" i="12"/>
  <c r="G136" i="12"/>
  <c r="F136" i="12"/>
  <c r="E136" i="12"/>
  <c r="D136" i="12"/>
  <c r="C136" i="12"/>
  <c r="B136" i="12"/>
  <c r="I135" i="12"/>
  <c r="H135" i="12"/>
  <c r="G135" i="12"/>
  <c r="F135" i="12"/>
  <c r="E135" i="12"/>
  <c r="D135" i="12"/>
  <c r="C135" i="12"/>
  <c r="B135" i="12"/>
  <c r="I134" i="12"/>
  <c r="H134" i="12"/>
  <c r="G134" i="12"/>
  <c r="F134" i="12"/>
  <c r="E134" i="12"/>
  <c r="D134" i="12"/>
  <c r="C134" i="12"/>
  <c r="B134" i="12"/>
  <c r="I133" i="12"/>
  <c r="H133" i="12"/>
  <c r="G133" i="12"/>
  <c r="F133" i="12"/>
  <c r="E133" i="12"/>
  <c r="D133" i="12"/>
  <c r="C133" i="12"/>
  <c r="B133" i="12"/>
  <c r="I132" i="12"/>
  <c r="H132" i="12"/>
  <c r="G132" i="12"/>
  <c r="F132" i="12"/>
  <c r="E132" i="12"/>
  <c r="D132" i="12"/>
  <c r="C132" i="12"/>
  <c r="B132" i="12"/>
  <c r="I131" i="12"/>
  <c r="H131" i="12"/>
  <c r="G131" i="12"/>
  <c r="F131" i="12"/>
  <c r="E131" i="12"/>
  <c r="D131" i="12"/>
  <c r="C131" i="12"/>
  <c r="B131" i="12"/>
  <c r="I130" i="12"/>
  <c r="H130" i="12"/>
  <c r="G130" i="12"/>
  <c r="F130" i="12"/>
  <c r="E130" i="12"/>
  <c r="D130" i="12"/>
  <c r="C130" i="12"/>
  <c r="B130" i="12"/>
  <c r="I129" i="12"/>
  <c r="H129" i="12"/>
  <c r="G129" i="12"/>
  <c r="F129" i="12"/>
  <c r="E129" i="12"/>
  <c r="D129" i="12"/>
  <c r="C129" i="12"/>
  <c r="B129" i="12"/>
  <c r="I128" i="12"/>
  <c r="H128" i="12"/>
  <c r="G128" i="12"/>
  <c r="F128" i="12"/>
  <c r="E128" i="12"/>
  <c r="D128" i="12"/>
  <c r="C128" i="12"/>
  <c r="B128" i="12"/>
  <c r="I127" i="12"/>
  <c r="H127" i="12"/>
  <c r="G127" i="12"/>
  <c r="F127" i="12"/>
  <c r="E127" i="12"/>
  <c r="D127" i="12"/>
  <c r="C127" i="12"/>
  <c r="B127" i="12"/>
  <c r="I126" i="12"/>
  <c r="H126" i="12"/>
  <c r="G126" i="12"/>
  <c r="F126" i="12"/>
  <c r="E126" i="12"/>
  <c r="D126" i="12"/>
  <c r="C126" i="12"/>
  <c r="B126" i="12"/>
  <c r="I125" i="12"/>
  <c r="H125" i="12"/>
  <c r="G125" i="12"/>
  <c r="F125" i="12"/>
  <c r="E125" i="12"/>
  <c r="D125" i="12"/>
  <c r="C125" i="12"/>
  <c r="B125" i="12"/>
  <c r="I124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I115" i="12"/>
  <c r="H115" i="12"/>
  <c r="G115" i="12"/>
  <c r="F115" i="12"/>
  <c r="E115" i="12"/>
  <c r="D115" i="12"/>
  <c r="C115" i="12"/>
  <c r="B115" i="12"/>
  <c r="I114" i="12"/>
  <c r="H114" i="12"/>
  <c r="G114" i="12"/>
  <c r="F114" i="12"/>
  <c r="E114" i="12"/>
  <c r="D114" i="12"/>
  <c r="C114" i="12"/>
  <c r="B114" i="12"/>
  <c r="I113" i="12"/>
  <c r="H113" i="12"/>
  <c r="G113" i="12"/>
  <c r="F113" i="12"/>
  <c r="E113" i="12"/>
  <c r="D113" i="12"/>
  <c r="C113" i="12"/>
  <c r="B113" i="12"/>
  <c r="I112" i="12"/>
  <c r="H112" i="12"/>
  <c r="G112" i="12"/>
  <c r="F112" i="12"/>
  <c r="E112" i="12"/>
  <c r="D112" i="12"/>
  <c r="C112" i="12"/>
  <c r="B112" i="12"/>
  <c r="I111" i="12"/>
  <c r="H111" i="12"/>
  <c r="G111" i="12"/>
  <c r="F111" i="12"/>
  <c r="E111" i="12"/>
  <c r="D111" i="12"/>
  <c r="C111" i="12"/>
  <c r="B111" i="12"/>
  <c r="I110" i="12"/>
  <c r="H110" i="12"/>
  <c r="G110" i="12"/>
  <c r="F110" i="12"/>
  <c r="E110" i="12"/>
  <c r="D110" i="12"/>
  <c r="C110" i="12"/>
  <c r="B110" i="12"/>
  <c r="I109" i="12"/>
  <c r="H109" i="12"/>
  <c r="G109" i="12"/>
  <c r="F109" i="12"/>
  <c r="E109" i="12"/>
  <c r="D109" i="12"/>
  <c r="C109" i="12"/>
  <c r="B109" i="12"/>
  <c r="I108" i="12"/>
  <c r="H108" i="12"/>
  <c r="G108" i="12"/>
  <c r="F108" i="12"/>
  <c r="E108" i="12"/>
  <c r="D108" i="12"/>
  <c r="C108" i="12"/>
  <c r="B108" i="12"/>
  <c r="I107" i="12"/>
  <c r="H107" i="12"/>
  <c r="G107" i="12"/>
  <c r="F107" i="12"/>
  <c r="E107" i="12"/>
  <c r="D107" i="12"/>
  <c r="C107" i="12"/>
  <c r="B107" i="12"/>
  <c r="I106" i="12"/>
  <c r="H106" i="12"/>
  <c r="G106" i="12"/>
  <c r="F106" i="12"/>
  <c r="E106" i="12"/>
  <c r="D106" i="12"/>
  <c r="C106" i="12"/>
  <c r="B106" i="12"/>
  <c r="I105" i="12"/>
  <c r="H105" i="12"/>
  <c r="G105" i="12"/>
  <c r="F105" i="12"/>
  <c r="E105" i="12"/>
  <c r="D105" i="12"/>
  <c r="C105" i="12"/>
  <c r="B105" i="12"/>
  <c r="I104" i="12"/>
  <c r="H104" i="12"/>
  <c r="G104" i="12"/>
  <c r="F104" i="12"/>
  <c r="E104" i="12"/>
  <c r="D104" i="12"/>
  <c r="C104" i="12"/>
  <c r="B104" i="12"/>
  <c r="I103" i="12"/>
  <c r="H103" i="12"/>
  <c r="G103" i="12"/>
  <c r="F103" i="12"/>
  <c r="E103" i="12"/>
  <c r="D103" i="12"/>
  <c r="C103" i="12"/>
  <c r="B103" i="12"/>
  <c r="I102" i="12"/>
  <c r="H102" i="12"/>
  <c r="G102" i="12"/>
  <c r="F102" i="12"/>
  <c r="E102" i="12"/>
  <c r="D102" i="12"/>
  <c r="C102" i="12"/>
  <c r="B102" i="12"/>
  <c r="I101" i="12"/>
  <c r="H101" i="12"/>
  <c r="G101" i="12"/>
  <c r="F101" i="12"/>
  <c r="E101" i="12"/>
  <c r="D101" i="12"/>
  <c r="C101" i="12"/>
  <c r="B101" i="12"/>
  <c r="I100" i="12"/>
  <c r="H100" i="12"/>
  <c r="G100" i="12"/>
  <c r="F100" i="12"/>
  <c r="E100" i="12"/>
  <c r="D100" i="12"/>
  <c r="C100" i="12"/>
  <c r="B100" i="12"/>
  <c r="I99" i="12"/>
  <c r="H99" i="12"/>
  <c r="G99" i="12"/>
  <c r="F99" i="12"/>
  <c r="E99" i="12"/>
  <c r="D99" i="12"/>
  <c r="C99" i="12"/>
  <c r="B99" i="12"/>
  <c r="I98" i="12"/>
  <c r="H98" i="12"/>
  <c r="G98" i="12"/>
  <c r="F98" i="12"/>
  <c r="E98" i="12"/>
  <c r="D98" i="12"/>
  <c r="C98" i="12"/>
  <c r="B98" i="12"/>
  <c r="I97" i="12"/>
  <c r="H97" i="12"/>
  <c r="G97" i="12"/>
  <c r="F97" i="12"/>
  <c r="E97" i="12"/>
  <c r="D97" i="12"/>
  <c r="C97" i="12"/>
  <c r="B97" i="12"/>
  <c r="I96" i="12"/>
  <c r="H96" i="12"/>
  <c r="G96" i="12"/>
  <c r="F96" i="12"/>
  <c r="E96" i="12"/>
  <c r="D96" i="12"/>
  <c r="C96" i="12"/>
  <c r="B96" i="12"/>
  <c r="I95" i="12"/>
  <c r="H95" i="12"/>
  <c r="G95" i="12"/>
  <c r="F95" i="12"/>
  <c r="E95" i="12"/>
  <c r="D95" i="12"/>
  <c r="C95" i="12"/>
  <c r="B95" i="12"/>
  <c r="I94" i="12"/>
  <c r="H94" i="12"/>
  <c r="G94" i="12"/>
  <c r="F94" i="12"/>
  <c r="E94" i="12"/>
  <c r="D94" i="12"/>
  <c r="C94" i="12"/>
  <c r="B94" i="12"/>
  <c r="I93" i="12"/>
  <c r="H93" i="12"/>
  <c r="G93" i="12"/>
  <c r="F93" i="12"/>
  <c r="E93" i="12"/>
  <c r="D93" i="12"/>
  <c r="C93" i="12"/>
  <c r="B93" i="12"/>
  <c r="I92" i="12"/>
  <c r="H92" i="12"/>
  <c r="G92" i="12"/>
  <c r="F92" i="12"/>
  <c r="E92" i="12"/>
  <c r="D92" i="12"/>
  <c r="C92" i="12"/>
  <c r="B92" i="12"/>
  <c r="I91" i="12"/>
  <c r="H91" i="12"/>
  <c r="G91" i="12"/>
  <c r="F91" i="12"/>
  <c r="E91" i="12"/>
  <c r="D91" i="12"/>
  <c r="C91" i="12"/>
  <c r="B91" i="12"/>
  <c r="I90" i="12"/>
  <c r="H90" i="12"/>
  <c r="G90" i="12"/>
  <c r="F90" i="12"/>
  <c r="E90" i="12"/>
  <c r="D90" i="12"/>
  <c r="C90" i="12"/>
  <c r="B90" i="12"/>
  <c r="I89" i="12"/>
  <c r="H89" i="12"/>
  <c r="G89" i="12"/>
  <c r="F89" i="12"/>
  <c r="E89" i="12"/>
  <c r="D89" i="12"/>
  <c r="C89" i="12"/>
  <c r="B89" i="12"/>
  <c r="I88" i="12"/>
  <c r="H88" i="12"/>
  <c r="G88" i="12"/>
  <c r="F88" i="12"/>
  <c r="E88" i="12"/>
  <c r="D88" i="12"/>
  <c r="C88" i="12"/>
  <c r="B88" i="12"/>
  <c r="I87" i="12"/>
  <c r="H87" i="12"/>
  <c r="G87" i="12"/>
  <c r="F87" i="12"/>
  <c r="E87" i="12"/>
  <c r="D87" i="12"/>
  <c r="C87" i="12"/>
  <c r="B87" i="12"/>
  <c r="I86" i="12"/>
  <c r="H86" i="12"/>
  <c r="G86" i="12"/>
  <c r="F86" i="12"/>
  <c r="E86" i="12"/>
  <c r="D86" i="12"/>
  <c r="C86" i="12"/>
  <c r="B86" i="12"/>
  <c r="I85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I73" i="12"/>
  <c r="H73" i="12"/>
  <c r="G73" i="12"/>
  <c r="F73" i="12"/>
  <c r="E73" i="12"/>
  <c r="D73" i="12"/>
  <c r="C73" i="12"/>
  <c r="B73" i="12"/>
  <c r="I72" i="12"/>
  <c r="H72" i="12"/>
  <c r="G72" i="12"/>
  <c r="F72" i="12"/>
  <c r="E72" i="12"/>
  <c r="D72" i="12"/>
  <c r="C72" i="12"/>
  <c r="B72" i="12"/>
  <c r="I71" i="12"/>
  <c r="H71" i="12"/>
  <c r="G71" i="12"/>
  <c r="F71" i="12"/>
  <c r="E71" i="12"/>
  <c r="D71" i="12"/>
  <c r="C71" i="12"/>
  <c r="B71" i="12"/>
  <c r="I70" i="12"/>
  <c r="H70" i="12"/>
  <c r="G70" i="12"/>
  <c r="F70" i="12"/>
  <c r="E70" i="12"/>
  <c r="D70" i="12"/>
  <c r="C70" i="12"/>
  <c r="B70" i="12"/>
  <c r="I69" i="12"/>
  <c r="H69" i="12"/>
  <c r="G69" i="12"/>
  <c r="F69" i="12"/>
  <c r="E69" i="12"/>
  <c r="D69" i="12"/>
  <c r="C69" i="12"/>
  <c r="B69" i="12"/>
  <c r="I68" i="12"/>
  <c r="H68" i="12"/>
  <c r="G68" i="12"/>
  <c r="F68" i="12"/>
  <c r="E68" i="12"/>
  <c r="D68" i="12"/>
  <c r="C68" i="12"/>
  <c r="B68" i="12"/>
  <c r="I67" i="12"/>
  <c r="H67" i="12"/>
  <c r="G67" i="12"/>
  <c r="F67" i="12"/>
  <c r="E67" i="12"/>
  <c r="D67" i="12"/>
  <c r="C67" i="12"/>
  <c r="B67" i="12"/>
  <c r="I66" i="12"/>
  <c r="H66" i="12"/>
  <c r="G66" i="12"/>
  <c r="F66" i="12"/>
  <c r="E66" i="12"/>
  <c r="D66" i="12"/>
  <c r="C66" i="12"/>
  <c r="B66" i="12"/>
  <c r="I65" i="12"/>
  <c r="H65" i="12"/>
  <c r="G65" i="12"/>
  <c r="F65" i="12"/>
  <c r="E65" i="12"/>
  <c r="D65" i="12"/>
  <c r="C65" i="12"/>
  <c r="B65" i="12"/>
  <c r="I64" i="12"/>
  <c r="H64" i="12"/>
  <c r="G64" i="12"/>
  <c r="F64" i="12"/>
  <c r="E64" i="12"/>
  <c r="D64" i="12"/>
  <c r="C64" i="12"/>
  <c r="B64" i="12"/>
  <c r="I63" i="12"/>
  <c r="H63" i="12"/>
  <c r="G63" i="12"/>
  <c r="F63" i="12"/>
  <c r="E63" i="12"/>
  <c r="D63" i="12"/>
  <c r="C63" i="12"/>
  <c r="B63" i="12"/>
  <c r="I62" i="12"/>
  <c r="H62" i="12"/>
  <c r="G62" i="12"/>
  <c r="F62" i="12"/>
  <c r="E62" i="12"/>
  <c r="D62" i="12"/>
  <c r="C62" i="12"/>
  <c r="B62" i="12"/>
  <c r="I61" i="12"/>
  <c r="H61" i="12"/>
  <c r="G61" i="12"/>
  <c r="F61" i="12"/>
  <c r="E61" i="12"/>
  <c r="D61" i="12"/>
  <c r="C61" i="12"/>
  <c r="B61" i="12"/>
  <c r="I60" i="12"/>
  <c r="H60" i="12"/>
  <c r="G60" i="12"/>
  <c r="F60" i="12"/>
  <c r="E60" i="12"/>
  <c r="D60" i="12"/>
  <c r="C60" i="12"/>
  <c r="B60" i="12"/>
  <c r="I59" i="12"/>
  <c r="H59" i="12"/>
  <c r="G59" i="12"/>
  <c r="F59" i="12"/>
  <c r="E59" i="12"/>
  <c r="D59" i="12"/>
  <c r="C59" i="12"/>
  <c r="B59" i="12"/>
  <c r="I58" i="12"/>
  <c r="H58" i="12"/>
  <c r="G58" i="12"/>
  <c r="F58" i="12"/>
  <c r="E58" i="12"/>
  <c r="D58" i="12"/>
  <c r="C58" i="12"/>
  <c r="B58" i="12"/>
  <c r="I57" i="12"/>
  <c r="H57" i="12"/>
  <c r="G57" i="12"/>
  <c r="F57" i="12"/>
  <c r="E57" i="12"/>
  <c r="D57" i="12"/>
  <c r="C57" i="12"/>
  <c r="B57" i="12"/>
  <c r="I56" i="12"/>
  <c r="H56" i="12"/>
  <c r="G56" i="12"/>
  <c r="F56" i="12"/>
  <c r="E56" i="12"/>
  <c r="D56" i="12"/>
  <c r="C56" i="12"/>
  <c r="B56" i="12"/>
  <c r="I55" i="12"/>
  <c r="H55" i="12"/>
  <c r="G55" i="12"/>
  <c r="F55" i="12"/>
  <c r="E55" i="12"/>
  <c r="D55" i="12"/>
  <c r="C55" i="12"/>
  <c r="B55" i="12"/>
  <c r="I54" i="12"/>
  <c r="H54" i="12"/>
  <c r="G54" i="12"/>
  <c r="F54" i="12"/>
  <c r="E54" i="12"/>
  <c r="D54" i="12"/>
  <c r="C54" i="12"/>
  <c r="B54" i="12"/>
  <c r="I53" i="12"/>
  <c r="H53" i="12"/>
  <c r="G53" i="12"/>
  <c r="F53" i="12"/>
  <c r="E53" i="12"/>
  <c r="D53" i="12"/>
  <c r="C53" i="12"/>
  <c r="B53" i="12"/>
  <c r="I52" i="12"/>
  <c r="H52" i="12"/>
  <c r="G52" i="12"/>
  <c r="F52" i="12"/>
  <c r="E52" i="12"/>
  <c r="D52" i="12"/>
  <c r="C52" i="12"/>
  <c r="B52" i="12"/>
  <c r="I51" i="12"/>
  <c r="H51" i="12"/>
  <c r="G51" i="12"/>
  <c r="F51" i="12"/>
  <c r="E51" i="12"/>
  <c r="D51" i="12"/>
  <c r="C51" i="12"/>
  <c r="B51" i="12"/>
  <c r="I50" i="12"/>
  <c r="H50" i="12"/>
  <c r="G50" i="12"/>
  <c r="F50" i="12"/>
  <c r="E50" i="12"/>
  <c r="D50" i="12"/>
  <c r="C50" i="12"/>
  <c r="B50" i="12"/>
  <c r="I49" i="12"/>
  <c r="H49" i="12"/>
  <c r="G49" i="12"/>
  <c r="F49" i="12"/>
  <c r="E49" i="12"/>
  <c r="D49" i="12"/>
  <c r="C49" i="12"/>
  <c r="B49" i="12"/>
  <c r="I48" i="12"/>
  <c r="H48" i="12"/>
  <c r="G48" i="12"/>
  <c r="F48" i="12"/>
  <c r="E48" i="12"/>
  <c r="D48" i="12"/>
  <c r="C48" i="12"/>
  <c r="B48" i="12"/>
  <c r="I47" i="12"/>
  <c r="H47" i="12"/>
  <c r="G47" i="12"/>
  <c r="F47" i="12"/>
  <c r="E47" i="12"/>
  <c r="D47" i="12"/>
  <c r="C47" i="12"/>
  <c r="B47" i="12"/>
  <c r="I46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I37" i="12"/>
  <c r="H37" i="12"/>
  <c r="G37" i="12"/>
  <c r="F37" i="12"/>
  <c r="E37" i="12"/>
  <c r="D37" i="12"/>
  <c r="C37" i="12"/>
  <c r="B37" i="12"/>
  <c r="I36" i="12"/>
  <c r="H36" i="12"/>
  <c r="G36" i="12"/>
  <c r="F36" i="12"/>
  <c r="E36" i="12"/>
  <c r="D36" i="12"/>
  <c r="C36" i="12"/>
  <c r="B36" i="12"/>
  <c r="I35" i="12"/>
  <c r="H35" i="12"/>
  <c r="G35" i="12"/>
  <c r="F35" i="12"/>
  <c r="E35" i="12"/>
  <c r="D35" i="12"/>
  <c r="C35" i="12"/>
  <c r="B35" i="12"/>
  <c r="I34" i="12"/>
  <c r="H34" i="12"/>
  <c r="G34" i="12"/>
  <c r="F34" i="12"/>
  <c r="E34" i="12"/>
  <c r="D34" i="12"/>
  <c r="C34" i="12"/>
  <c r="B34" i="12"/>
  <c r="I33" i="12"/>
  <c r="H33" i="12"/>
  <c r="G33" i="12"/>
  <c r="F33" i="12"/>
  <c r="E33" i="12"/>
  <c r="D33" i="12"/>
  <c r="C33" i="12"/>
  <c r="B33" i="12"/>
  <c r="I32" i="12"/>
  <c r="H32" i="12"/>
  <c r="G32" i="12"/>
  <c r="F32" i="12"/>
  <c r="E32" i="12"/>
  <c r="D32" i="12"/>
  <c r="C32" i="12"/>
  <c r="B32" i="12"/>
  <c r="I31" i="12"/>
  <c r="H31" i="12"/>
  <c r="G31" i="12"/>
  <c r="F31" i="12"/>
  <c r="E31" i="12"/>
  <c r="D31" i="12"/>
  <c r="C31" i="12"/>
  <c r="B31" i="12"/>
  <c r="I30" i="12"/>
  <c r="H30" i="12"/>
  <c r="G30" i="12"/>
  <c r="F30" i="12"/>
  <c r="E30" i="12"/>
  <c r="D30" i="12"/>
  <c r="C30" i="12"/>
  <c r="B30" i="12"/>
  <c r="I29" i="12"/>
  <c r="H29" i="12"/>
  <c r="G29" i="12"/>
  <c r="F29" i="12"/>
  <c r="E29" i="12"/>
  <c r="D29" i="12"/>
  <c r="C29" i="12"/>
  <c r="B29" i="12"/>
  <c r="I28" i="12"/>
  <c r="H28" i="12"/>
  <c r="G28" i="12"/>
  <c r="F28" i="12"/>
  <c r="E28" i="12"/>
  <c r="D28" i="12"/>
  <c r="C28" i="12"/>
  <c r="B28" i="12"/>
  <c r="I27" i="12"/>
  <c r="H27" i="12"/>
  <c r="G27" i="12"/>
  <c r="F27" i="12"/>
  <c r="E27" i="12"/>
  <c r="D27" i="12"/>
  <c r="C27" i="12"/>
  <c r="B27" i="12"/>
  <c r="I26" i="12"/>
  <c r="H26" i="12"/>
  <c r="G26" i="12"/>
  <c r="F26" i="12"/>
  <c r="E26" i="12"/>
  <c r="D26" i="12"/>
  <c r="C26" i="12"/>
  <c r="B26" i="12"/>
  <c r="I25" i="12"/>
  <c r="H25" i="12"/>
  <c r="G25" i="12"/>
  <c r="F25" i="12"/>
  <c r="E25" i="12"/>
  <c r="D25" i="12"/>
  <c r="C25" i="12"/>
  <c r="B25" i="12"/>
  <c r="I24" i="12"/>
  <c r="H24" i="12"/>
  <c r="G24" i="12"/>
  <c r="F24" i="12"/>
  <c r="E24" i="12"/>
  <c r="D24" i="12"/>
  <c r="C24" i="12"/>
  <c r="B24" i="12"/>
  <c r="I23" i="12"/>
  <c r="H23" i="12"/>
  <c r="G23" i="12"/>
  <c r="F23" i="12"/>
  <c r="E23" i="12"/>
  <c r="D23" i="12"/>
  <c r="C23" i="12"/>
  <c r="B23" i="12"/>
  <c r="I22" i="12"/>
  <c r="H22" i="12"/>
  <c r="G22" i="12"/>
  <c r="F22" i="12"/>
  <c r="E22" i="12"/>
  <c r="D22" i="12"/>
  <c r="C22" i="12"/>
  <c r="B22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I14" i="12"/>
  <c r="H14" i="12"/>
  <c r="G14" i="12"/>
  <c r="F14" i="12"/>
  <c r="E14" i="12"/>
  <c r="D14" i="12"/>
  <c r="C14" i="12"/>
  <c r="B14" i="12"/>
  <c r="I13" i="12"/>
  <c r="H13" i="12"/>
  <c r="G13" i="12"/>
  <c r="F13" i="12"/>
  <c r="E13" i="12"/>
  <c r="D13" i="12"/>
  <c r="C13" i="12"/>
  <c r="B13" i="12"/>
  <c r="I12" i="12"/>
  <c r="H12" i="12"/>
  <c r="G12" i="12"/>
  <c r="F12" i="12"/>
  <c r="E12" i="12"/>
  <c r="D12" i="12"/>
  <c r="C12" i="12"/>
  <c r="B12" i="12"/>
  <c r="I11" i="12"/>
  <c r="H11" i="12"/>
  <c r="G11" i="12"/>
  <c r="F11" i="12"/>
  <c r="E11" i="12"/>
  <c r="D11" i="12"/>
  <c r="C11" i="12"/>
  <c r="B11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I466" i="11"/>
  <c r="H466" i="11"/>
  <c r="G466" i="11"/>
  <c r="F466" i="11"/>
  <c r="E466" i="11"/>
  <c r="D466" i="11"/>
  <c r="C466" i="11"/>
  <c r="B466" i="11"/>
  <c r="I465" i="11"/>
  <c r="H465" i="11"/>
  <c r="G465" i="11"/>
  <c r="F465" i="11"/>
  <c r="E465" i="11"/>
  <c r="D465" i="11"/>
  <c r="C465" i="11"/>
  <c r="B465" i="11"/>
  <c r="I464" i="11"/>
  <c r="H464" i="11"/>
  <c r="G464" i="11"/>
  <c r="F464" i="11"/>
  <c r="E464" i="11"/>
  <c r="D464" i="11"/>
  <c r="C464" i="11"/>
  <c r="B464" i="11"/>
  <c r="I463" i="11"/>
  <c r="H463" i="11"/>
  <c r="G463" i="11"/>
  <c r="F463" i="11"/>
  <c r="E463" i="11"/>
  <c r="D463" i="11"/>
  <c r="C463" i="11"/>
  <c r="B463" i="11"/>
  <c r="I462" i="11"/>
  <c r="H462" i="11"/>
  <c r="G462" i="11"/>
  <c r="F462" i="11"/>
  <c r="E462" i="11"/>
  <c r="D462" i="11"/>
  <c r="C462" i="11"/>
  <c r="B462" i="11"/>
  <c r="I461" i="11"/>
  <c r="H461" i="11"/>
  <c r="G461" i="11"/>
  <c r="F461" i="11"/>
  <c r="E461" i="11"/>
  <c r="D461" i="11"/>
  <c r="C461" i="11"/>
  <c r="B461" i="11"/>
  <c r="I460" i="11"/>
  <c r="H460" i="11"/>
  <c r="G460" i="11"/>
  <c r="F460" i="11"/>
  <c r="E460" i="11"/>
  <c r="D460" i="11"/>
  <c r="C460" i="11"/>
  <c r="B460" i="11"/>
  <c r="I459" i="11"/>
  <c r="H459" i="11"/>
  <c r="G459" i="11"/>
  <c r="F459" i="11"/>
  <c r="E459" i="11"/>
  <c r="D459" i="11"/>
  <c r="C459" i="11"/>
  <c r="B459" i="11"/>
  <c r="I458" i="11"/>
  <c r="H458" i="11"/>
  <c r="G458" i="11"/>
  <c r="F458" i="11"/>
  <c r="E458" i="11"/>
  <c r="D458" i="11"/>
  <c r="C458" i="11"/>
  <c r="B458" i="11"/>
  <c r="I457" i="11"/>
  <c r="H457" i="11"/>
  <c r="G457" i="11"/>
  <c r="F457" i="11"/>
  <c r="E457" i="11"/>
  <c r="D457" i="11"/>
  <c r="C457" i="11"/>
  <c r="B457" i="11"/>
  <c r="I456" i="11"/>
  <c r="H456" i="11"/>
  <c r="G456" i="11"/>
  <c r="F456" i="11"/>
  <c r="E456" i="11"/>
  <c r="D456" i="11"/>
  <c r="C456" i="11"/>
  <c r="B456" i="11"/>
  <c r="I455" i="11"/>
  <c r="H455" i="11"/>
  <c r="G455" i="11"/>
  <c r="F455" i="11"/>
  <c r="E455" i="11"/>
  <c r="D455" i="11"/>
  <c r="C455" i="11"/>
  <c r="B455" i="11"/>
  <c r="I454" i="11"/>
  <c r="H454" i="11"/>
  <c r="G454" i="11"/>
  <c r="F454" i="11"/>
  <c r="E454" i="11"/>
  <c r="D454" i="11"/>
  <c r="C454" i="11"/>
  <c r="B454" i="11"/>
  <c r="I453" i="11"/>
  <c r="H453" i="11"/>
  <c r="G453" i="11"/>
  <c r="F453" i="11"/>
  <c r="E453" i="11"/>
  <c r="D453" i="11"/>
  <c r="C453" i="11"/>
  <c r="B453" i="11"/>
  <c r="I452" i="11"/>
  <c r="H452" i="11"/>
  <c r="G452" i="11"/>
  <c r="F452" i="11"/>
  <c r="E452" i="11"/>
  <c r="D452" i="11"/>
  <c r="C452" i="11"/>
  <c r="B452" i="11"/>
  <c r="I451" i="11"/>
  <c r="H451" i="11"/>
  <c r="G451" i="11"/>
  <c r="F451" i="11"/>
  <c r="E451" i="11"/>
  <c r="D451" i="11"/>
  <c r="C451" i="11"/>
  <c r="B451" i="11"/>
  <c r="I450" i="11"/>
  <c r="H450" i="11"/>
  <c r="G450" i="11"/>
  <c r="F450" i="11"/>
  <c r="E450" i="11"/>
  <c r="D450" i="11"/>
  <c r="C450" i="11"/>
  <c r="B450" i="11"/>
  <c r="I449" i="11"/>
  <c r="H449" i="11"/>
  <c r="G449" i="11"/>
  <c r="F449" i="11"/>
  <c r="E449" i="11"/>
  <c r="D449" i="11"/>
  <c r="C449" i="11"/>
  <c r="B449" i="11"/>
  <c r="I448" i="11"/>
  <c r="H448" i="11"/>
  <c r="G448" i="11"/>
  <c r="F448" i="11"/>
  <c r="E448" i="11"/>
  <c r="D448" i="11"/>
  <c r="C448" i="11"/>
  <c r="B448" i="11"/>
  <c r="I447" i="11"/>
  <c r="H447" i="11"/>
  <c r="G447" i="11"/>
  <c r="F447" i="11"/>
  <c r="E447" i="11"/>
  <c r="D447" i="11"/>
  <c r="C447" i="11"/>
  <c r="B447" i="11"/>
  <c r="I446" i="11"/>
  <c r="H446" i="11"/>
  <c r="G446" i="11"/>
  <c r="F446" i="11"/>
  <c r="E446" i="11"/>
  <c r="D446" i="11"/>
  <c r="C446" i="11"/>
  <c r="B446" i="11"/>
  <c r="I445" i="11"/>
  <c r="H445" i="11"/>
  <c r="G445" i="11"/>
  <c r="F445" i="11"/>
  <c r="E445" i="11"/>
  <c r="D445" i="11"/>
  <c r="C445" i="11"/>
  <c r="B445" i="11"/>
  <c r="I444" i="11"/>
  <c r="H444" i="11"/>
  <c r="G444" i="11"/>
  <c r="F444" i="11"/>
  <c r="E444" i="11"/>
  <c r="D444" i="11"/>
  <c r="C444" i="11"/>
  <c r="B444" i="11"/>
  <c r="I443" i="11"/>
  <c r="H443" i="11"/>
  <c r="G443" i="11"/>
  <c r="F443" i="11"/>
  <c r="E443" i="11"/>
  <c r="D443" i="11"/>
  <c r="C443" i="11"/>
  <c r="B443" i="11"/>
  <c r="I442" i="11"/>
  <c r="H442" i="11"/>
  <c r="G442" i="11"/>
  <c r="F442" i="11"/>
  <c r="E442" i="11"/>
  <c r="D442" i="11"/>
  <c r="C442" i="11"/>
  <c r="B442" i="11"/>
  <c r="I441" i="11"/>
  <c r="H441" i="11"/>
  <c r="G441" i="11"/>
  <c r="F441" i="11"/>
  <c r="E441" i="11"/>
  <c r="D441" i="11"/>
  <c r="C441" i="11"/>
  <c r="B441" i="11"/>
  <c r="I440" i="11"/>
  <c r="H440" i="11"/>
  <c r="G440" i="11"/>
  <c r="F440" i="11"/>
  <c r="E440" i="11"/>
  <c r="D440" i="11"/>
  <c r="C440" i="11"/>
  <c r="B440" i="11"/>
  <c r="I439" i="11"/>
  <c r="H439" i="11"/>
  <c r="G439" i="11"/>
  <c r="F439" i="11"/>
  <c r="E439" i="11"/>
  <c r="D439" i="11"/>
  <c r="C439" i="11"/>
  <c r="B439" i="11"/>
  <c r="I438" i="11"/>
  <c r="H438" i="11"/>
  <c r="G438" i="11"/>
  <c r="F438" i="11"/>
  <c r="E438" i="11"/>
  <c r="D438" i="11"/>
  <c r="C438" i="11"/>
  <c r="B438" i="11"/>
  <c r="I437" i="11"/>
  <c r="H437" i="11"/>
  <c r="G437" i="11"/>
  <c r="F437" i="11"/>
  <c r="E437" i="11"/>
  <c r="D437" i="11"/>
  <c r="C437" i="11"/>
  <c r="B437" i="11"/>
  <c r="I436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I426" i="11"/>
  <c r="H426" i="11"/>
  <c r="G426" i="11"/>
  <c r="F426" i="11"/>
  <c r="E426" i="11"/>
  <c r="D426" i="11"/>
  <c r="C426" i="11"/>
  <c r="B426" i="11"/>
  <c r="I425" i="11"/>
  <c r="H425" i="11"/>
  <c r="G425" i="11"/>
  <c r="F425" i="11"/>
  <c r="E425" i="11"/>
  <c r="D425" i="11"/>
  <c r="C425" i="11"/>
  <c r="B425" i="11"/>
  <c r="I424" i="11"/>
  <c r="H424" i="11"/>
  <c r="G424" i="11"/>
  <c r="F424" i="11"/>
  <c r="E424" i="11"/>
  <c r="D424" i="11"/>
  <c r="C424" i="11"/>
  <c r="B424" i="11"/>
  <c r="I423" i="11"/>
  <c r="H423" i="11"/>
  <c r="G423" i="11"/>
  <c r="F423" i="11"/>
  <c r="E423" i="11"/>
  <c r="D423" i="11"/>
  <c r="C423" i="11"/>
  <c r="B423" i="11"/>
  <c r="I422" i="11"/>
  <c r="H422" i="11"/>
  <c r="G422" i="11"/>
  <c r="F422" i="11"/>
  <c r="E422" i="11"/>
  <c r="D422" i="11"/>
  <c r="C422" i="11"/>
  <c r="B422" i="11"/>
  <c r="I421" i="11"/>
  <c r="H421" i="11"/>
  <c r="G421" i="11"/>
  <c r="F421" i="11"/>
  <c r="E421" i="11"/>
  <c r="D421" i="11"/>
  <c r="C421" i="11"/>
  <c r="B421" i="11"/>
  <c r="I420" i="11"/>
  <c r="H420" i="11"/>
  <c r="G420" i="11"/>
  <c r="F420" i="11"/>
  <c r="E420" i="11"/>
  <c r="D420" i="11"/>
  <c r="C420" i="11"/>
  <c r="B420" i="11"/>
  <c r="I419" i="11"/>
  <c r="H419" i="11"/>
  <c r="G419" i="11"/>
  <c r="F419" i="11"/>
  <c r="E419" i="11"/>
  <c r="D419" i="11"/>
  <c r="C419" i="11"/>
  <c r="B419" i="11"/>
  <c r="I418" i="11"/>
  <c r="H418" i="11"/>
  <c r="G418" i="11"/>
  <c r="F418" i="11"/>
  <c r="E418" i="11"/>
  <c r="D418" i="11"/>
  <c r="C418" i="11"/>
  <c r="B418" i="11"/>
  <c r="I417" i="11"/>
  <c r="H417" i="11"/>
  <c r="G417" i="11"/>
  <c r="F417" i="11"/>
  <c r="E417" i="11"/>
  <c r="D417" i="11"/>
  <c r="C417" i="11"/>
  <c r="B417" i="11"/>
  <c r="I416" i="11"/>
  <c r="H416" i="11"/>
  <c r="G416" i="11"/>
  <c r="F416" i="11"/>
  <c r="E416" i="11"/>
  <c r="D416" i="11"/>
  <c r="C416" i="11"/>
  <c r="B416" i="11"/>
  <c r="I415" i="11"/>
  <c r="H415" i="11"/>
  <c r="G415" i="11"/>
  <c r="F415" i="11"/>
  <c r="E415" i="11"/>
  <c r="D415" i="11"/>
  <c r="C415" i="11"/>
  <c r="B415" i="11"/>
  <c r="I414" i="11"/>
  <c r="H414" i="11"/>
  <c r="G414" i="11"/>
  <c r="F414" i="11"/>
  <c r="E414" i="11"/>
  <c r="D414" i="11"/>
  <c r="C414" i="11"/>
  <c r="B414" i="11"/>
  <c r="I413" i="11"/>
  <c r="H413" i="11"/>
  <c r="G413" i="11"/>
  <c r="F413" i="11"/>
  <c r="E413" i="11"/>
  <c r="D413" i="11"/>
  <c r="C413" i="11"/>
  <c r="B413" i="11"/>
  <c r="I412" i="11"/>
  <c r="H412" i="11"/>
  <c r="G412" i="11"/>
  <c r="F412" i="11"/>
  <c r="E412" i="11"/>
  <c r="D412" i="11"/>
  <c r="C412" i="11"/>
  <c r="B412" i="11"/>
  <c r="I411" i="11"/>
  <c r="H411" i="11"/>
  <c r="G411" i="11"/>
  <c r="F411" i="11"/>
  <c r="E411" i="11"/>
  <c r="D411" i="11"/>
  <c r="C411" i="11"/>
  <c r="B411" i="11"/>
  <c r="I410" i="11"/>
  <c r="H410" i="11"/>
  <c r="G410" i="11"/>
  <c r="F410" i="11"/>
  <c r="E410" i="11"/>
  <c r="D410" i="11"/>
  <c r="C410" i="11"/>
  <c r="B410" i="11"/>
  <c r="I409" i="11"/>
  <c r="H409" i="11"/>
  <c r="G409" i="11"/>
  <c r="F409" i="11"/>
  <c r="E409" i="11"/>
  <c r="D409" i="11"/>
  <c r="C409" i="11"/>
  <c r="B409" i="11"/>
  <c r="I408" i="11"/>
  <c r="H408" i="11"/>
  <c r="G408" i="11"/>
  <c r="F408" i="11"/>
  <c r="E408" i="11"/>
  <c r="D408" i="11"/>
  <c r="C408" i="11"/>
  <c r="B408" i="11"/>
  <c r="I407" i="11"/>
  <c r="H407" i="11"/>
  <c r="G407" i="11"/>
  <c r="F407" i="11"/>
  <c r="E407" i="11"/>
  <c r="D407" i="11"/>
  <c r="C407" i="11"/>
  <c r="B407" i="11"/>
  <c r="I406" i="11"/>
  <c r="H406" i="11"/>
  <c r="G406" i="11"/>
  <c r="F406" i="11"/>
  <c r="E406" i="11"/>
  <c r="D406" i="11"/>
  <c r="C406" i="11"/>
  <c r="B406" i="11"/>
  <c r="I405" i="11"/>
  <c r="H405" i="11"/>
  <c r="G405" i="11"/>
  <c r="F405" i="11"/>
  <c r="E405" i="11"/>
  <c r="D405" i="11"/>
  <c r="C405" i="11"/>
  <c r="B405" i="11"/>
  <c r="I404" i="11"/>
  <c r="H404" i="11"/>
  <c r="G404" i="11"/>
  <c r="F404" i="11"/>
  <c r="E404" i="11"/>
  <c r="D404" i="11"/>
  <c r="C404" i="11"/>
  <c r="B404" i="11"/>
  <c r="I403" i="11"/>
  <c r="H403" i="11"/>
  <c r="G403" i="11"/>
  <c r="F403" i="11"/>
  <c r="E403" i="11"/>
  <c r="D403" i="11"/>
  <c r="C403" i="11"/>
  <c r="B403" i="11"/>
  <c r="I402" i="11"/>
  <c r="H402" i="11"/>
  <c r="G402" i="11"/>
  <c r="F402" i="11"/>
  <c r="E402" i="11"/>
  <c r="D402" i="11"/>
  <c r="C402" i="11"/>
  <c r="B402" i="11"/>
  <c r="I401" i="11"/>
  <c r="H401" i="11"/>
  <c r="G401" i="11"/>
  <c r="F401" i="11"/>
  <c r="E401" i="11"/>
  <c r="D401" i="11"/>
  <c r="C401" i="11"/>
  <c r="B401" i="11"/>
  <c r="I400" i="11"/>
  <c r="H400" i="11"/>
  <c r="G400" i="11"/>
  <c r="F400" i="11"/>
  <c r="E400" i="11"/>
  <c r="D400" i="11"/>
  <c r="C400" i="11"/>
  <c r="B400" i="11"/>
  <c r="I399" i="11"/>
  <c r="H399" i="11"/>
  <c r="G399" i="11"/>
  <c r="F399" i="11"/>
  <c r="E399" i="11"/>
  <c r="D399" i="11"/>
  <c r="C399" i="11"/>
  <c r="B399" i="11"/>
  <c r="I398" i="11"/>
  <c r="H398" i="11"/>
  <c r="G398" i="11"/>
  <c r="F398" i="11"/>
  <c r="E398" i="11"/>
  <c r="D398" i="11"/>
  <c r="C398" i="11"/>
  <c r="B398" i="11"/>
  <c r="I397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I388" i="11"/>
  <c r="H388" i="11"/>
  <c r="G388" i="11"/>
  <c r="F388" i="11"/>
  <c r="E388" i="11"/>
  <c r="D388" i="11"/>
  <c r="C388" i="11"/>
  <c r="B388" i="11"/>
  <c r="I387" i="11"/>
  <c r="H387" i="11"/>
  <c r="G387" i="11"/>
  <c r="F387" i="11"/>
  <c r="E387" i="11"/>
  <c r="D387" i="11"/>
  <c r="C387" i="11"/>
  <c r="B387" i="11"/>
  <c r="I386" i="11"/>
  <c r="H386" i="11"/>
  <c r="G386" i="11"/>
  <c r="F386" i="11"/>
  <c r="E386" i="11"/>
  <c r="D386" i="11"/>
  <c r="C386" i="11"/>
  <c r="B386" i="11"/>
  <c r="I385" i="11"/>
  <c r="H385" i="11"/>
  <c r="G385" i="11"/>
  <c r="F385" i="11"/>
  <c r="E385" i="11"/>
  <c r="D385" i="11"/>
  <c r="C385" i="11"/>
  <c r="B385" i="11"/>
  <c r="I384" i="11"/>
  <c r="H384" i="11"/>
  <c r="G384" i="11"/>
  <c r="F384" i="11"/>
  <c r="E384" i="11"/>
  <c r="D384" i="11"/>
  <c r="C384" i="11"/>
  <c r="B384" i="11"/>
  <c r="I383" i="11"/>
  <c r="H383" i="11"/>
  <c r="G383" i="11"/>
  <c r="F383" i="11"/>
  <c r="E383" i="11"/>
  <c r="D383" i="11"/>
  <c r="C383" i="11"/>
  <c r="B383" i="11"/>
  <c r="I382" i="11"/>
  <c r="H382" i="11"/>
  <c r="G382" i="11"/>
  <c r="F382" i="11"/>
  <c r="E382" i="11"/>
  <c r="D382" i="11"/>
  <c r="C382" i="11"/>
  <c r="B382" i="11"/>
  <c r="I381" i="11"/>
  <c r="H381" i="11"/>
  <c r="G381" i="11"/>
  <c r="F381" i="11"/>
  <c r="E381" i="11"/>
  <c r="D381" i="11"/>
  <c r="C381" i="11"/>
  <c r="B381" i="11"/>
  <c r="I380" i="11"/>
  <c r="H380" i="11"/>
  <c r="G380" i="11"/>
  <c r="F380" i="11"/>
  <c r="E380" i="11"/>
  <c r="D380" i="11"/>
  <c r="C380" i="11"/>
  <c r="B380" i="11"/>
  <c r="I379" i="11"/>
  <c r="H379" i="11"/>
  <c r="G379" i="11"/>
  <c r="F379" i="11"/>
  <c r="E379" i="11"/>
  <c r="D379" i="11"/>
  <c r="C379" i="11"/>
  <c r="B379" i="11"/>
  <c r="I378" i="11"/>
  <c r="H378" i="11"/>
  <c r="G378" i="11"/>
  <c r="F378" i="11"/>
  <c r="E378" i="11"/>
  <c r="D378" i="11"/>
  <c r="C378" i="11"/>
  <c r="B378" i="11"/>
  <c r="I377" i="11"/>
  <c r="H377" i="11"/>
  <c r="G377" i="11"/>
  <c r="F377" i="11"/>
  <c r="E377" i="11"/>
  <c r="D377" i="11"/>
  <c r="C377" i="11"/>
  <c r="B377" i="11"/>
  <c r="I376" i="11"/>
  <c r="H376" i="11"/>
  <c r="G376" i="11"/>
  <c r="F376" i="11"/>
  <c r="E376" i="11"/>
  <c r="D376" i="11"/>
  <c r="C376" i="11"/>
  <c r="B376" i="11"/>
  <c r="I375" i="11"/>
  <c r="H375" i="11"/>
  <c r="G375" i="11"/>
  <c r="F375" i="11"/>
  <c r="E375" i="11"/>
  <c r="D375" i="11"/>
  <c r="C375" i="11"/>
  <c r="B375" i="11"/>
  <c r="I374" i="11"/>
  <c r="H374" i="11"/>
  <c r="G374" i="11"/>
  <c r="F374" i="11"/>
  <c r="E374" i="11"/>
  <c r="D374" i="11"/>
  <c r="C374" i="11"/>
  <c r="B374" i="11"/>
  <c r="I373" i="11"/>
  <c r="H373" i="11"/>
  <c r="G373" i="11"/>
  <c r="F373" i="11"/>
  <c r="E373" i="11"/>
  <c r="D373" i="11"/>
  <c r="C373" i="11"/>
  <c r="B373" i="11"/>
  <c r="I372" i="11"/>
  <c r="H372" i="11"/>
  <c r="G372" i="11"/>
  <c r="F372" i="11"/>
  <c r="E372" i="11"/>
  <c r="D372" i="11"/>
  <c r="C372" i="11"/>
  <c r="B372" i="11"/>
  <c r="I371" i="11"/>
  <c r="H371" i="11"/>
  <c r="G371" i="11"/>
  <c r="F371" i="11"/>
  <c r="E371" i="11"/>
  <c r="D371" i="11"/>
  <c r="C371" i="11"/>
  <c r="B371" i="11"/>
  <c r="I370" i="11"/>
  <c r="H370" i="11"/>
  <c r="G370" i="11"/>
  <c r="F370" i="11"/>
  <c r="E370" i="11"/>
  <c r="D370" i="11"/>
  <c r="C370" i="11"/>
  <c r="B370" i="11"/>
  <c r="I369" i="11"/>
  <c r="H369" i="11"/>
  <c r="G369" i="11"/>
  <c r="F369" i="11"/>
  <c r="E369" i="11"/>
  <c r="D369" i="11"/>
  <c r="C369" i="11"/>
  <c r="B369" i="11"/>
  <c r="I368" i="11"/>
  <c r="H368" i="11"/>
  <c r="G368" i="11"/>
  <c r="F368" i="11"/>
  <c r="E368" i="11"/>
  <c r="D368" i="11"/>
  <c r="C368" i="11"/>
  <c r="B368" i="11"/>
  <c r="I367" i="11"/>
  <c r="H367" i="11"/>
  <c r="G367" i="11"/>
  <c r="F367" i="11"/>
  <c r="E367" i="11"/>
  <c r="D367" i="11"/>
  <c r="C367" i="11"/>
  <c r="B367" i="11"/>
  <c r="I366" i="11"/>
  <c r="H366" i="11"/>
  <c r="G366" i="11"/>
  <c r="F366" i="11"/>
  <c r="E366" i="11"/>
  <c r="D366" i="11"/>
  <c r="C366" i="11"/>
  <c r="B366" i="11"/>
  <c r="I365" i="11"/>
  <c r="H365" i="11"/>
  <c r="G365" i="11"/>
  <c r="F365" i="11"/>
  <c r="E365" i="11"/>
  <c r="D365" i="11"/>
  <c r="C365" i="11"/>
  <c r="B365" i="11"/>
  <c r="I364" i="11"/>
  <c r="H364" i="11"/>
  <c r="G364" i="11"/>
  <c r="F364" i="11"/>
  <c r="E364" i="11"/>
  <c r="D364" i="11"/>
  <c r="C364" i="11"/>
  <c r="B364" i="11"/>
  <c r="I363" i="11"/>
  <c r="H363" i="11"/>
  <c r="G363" i="11"/>
  <c r="F363" i="11"/>
  <c r="E363" i="11"/>
  <c r="D363" i="11"/>
  <c r="C363" i="11"/>
  <c r="B363" i="11"/>
  <c r="I362" i="11"/>
  <c r="H362" i="11"/>
  <c r="G362" i="11"/>
  <c r="F362" i="11"/>
  <c r="E362" i="11"/>
  <c r="D362" i="11"/>
  <c r="C362" i="11"/>
  <c r="B362" i="11"/>
  <c r="I361" i="11"/>
  <c r="H361" i="11"/>
  <c r="G361" i="11"/>
  <c r="F361" i="11"/>
  <c r="E361" i="11"/>
  <c r="D361" i="11"/>
  <c r="C361" i="11"/>
  <c r="B361" i="11"/>
  <c r="I360" i="11"/>
  <c r="H360" i="11"/>
  <c r="G360" i="11"/>
  <c r="F360" i="11"/>
  <c r="E360" i="11"/>
  <c r="D360" i="11"/>
  <c r="C360" i="11"/>
  <c r="B360" i="11"/>
  <c r="I359" i="11"/>
  <c r="H359" i="11"/>
  <c r="G359" i="11"/>
  <c r="F359" i="11"/>
  <c r="E359" i="11"/>
  <c r="D359" i="11"/>
  <c r="C359" i="11"/>
  <c r="B359" i="11"/>
  <c r="I358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I348" i="11"/>
  <c r="H348" i="11"/>
  <c r="G348" i="11"/>
  <c r="F348" i="11"/>
  <c r="E348" i="11"/>
  <c r="D348" i="11"/>
  <c r="C348" i="11"/>
  <c r="B348" i="11"/>
  <c r="I347" i="11"/>
  <c r="H347" i="11"/>
  <c r="G347" i="11"/>
  <c r="F347" i="11"/>
  <c r="E347" i="11"/>
  <c r="D347" i="11"/>
  <c r="C347" i="11"/>
  <c r="B347" i="11"/>
  <c r="I346" i="11"/>
  <c r="H346" i="11"/>
  <c r="G346" i="11"/>
  <c r="F346" i="11"/>
  <c r="E346" i="11"/>
  <c r="D346" i="11"/>
  <c r="C346" i="11"/>
  <c r="B346" i="11"/>
  <c r="I345" i="11"/>
  <c r="H345" i="11"/>
  <c r="G345" i="11"/>
  <c r="F345" i="11"/>
  <c r="E345" i="11"/>
  <c r="D345" i="11"/>
  <c r="C345" i="11"/>
  <c r="B345" i="11"/>
  <c r="I344" i="11"/>
  <c r="H344" i="11"/>
  <c r="G344" i="11"/>
  <c r="F344" i="11"/>
  <c r="E344" i="11"/>
  <c r="D344" i="11"/>
  <c r="C344" i="11"/>
  <c r="B344" i="11"/>
  <c r="I343" i="11"/>
  <c r="H343" i="11"/>
  <c r="G343" i="11"/>
  <c r="F343" i="11"/>
  <c r="E343" i="11"/>
  <c r="D343" i="11"/>
  <c r="C343" i="11"/>
  <c r="B343" i="11"/>
  <c r="I342" i="11"/>
  <c r="H342" i="11"/>
  <c r="G342" i="11"/>
  <c r="F342" i="11"/>
  <c r="E342" i="11"/>
  <c r="D342" i="11"/>
  <c r="C342" i="11"/>
  <c r="B342" i="11"/>
  <c r="I341" i="11"/>
  <c r="H341" i="11"/>
  <c r="G341" i="11"/>
  <c r="F341" i="11"/>
  <c r="E341" i="11"/>
  <c r="D341" i="11"/>
  <c r="C341" i="11"/>
  <c r="B341" i="11"/>
  <c r="I340" i="11"/>
  <c r="H340" i="11"/>
  <c r="G340" i="11"/>
  <c r="F340" i="11"/>
  <c r="E340" i="11"/>
  <c r="D340" i="11"/>
  <c r="C340" i="11"/>
  <c r="B340" i="11"/>
  <c r="I339" i="11"/>
  <c r="H339" i="11"/>
  <c r="G339" i="11"/>
  <c r="F339" i="11"/>
  <c r="E339" i="11"/>
  <c r="D339" i="11"/>
  <c r="C339" i="11"/>
  <c r="B339" i="11"/>
  <c r="I338" i="11"/>
  <c r="H338" i="11"/>
  <c r="G338" i="11"/>
  <c r="F338" i="11"/>
  <c r="E338" i="11"/>
  <c r="D338" i="11"/>
  <c r="C338" i="11"/>
  <c r="B338" i="11"/>
  <c r="I337" i="11"/>
  <c r="H337" i="11"/>
  <c r="G337" i="11"/>
  <c r="F337" i="11"/>
  <c r="E337" i="11"/>
  <c r="D337" i="11"/>
  <c r="C337" i="11"/>
  <c r="B337" i="11"/>
  <c r="I336" i="11"/>
  <c r="H336" i="11"/>
  <c r="G336" i="11"/>
  <c r="F336" i="11"/>
  <c r="E336" i="11"/>
  <c r="D336" i="11"/>
  <c r="C336" i="11"/>
  <c r="B336" i="11"/>
  <c r="I335" i="11"/>
  <c r="H335" i="11"/>
  <c r="G335" i="11"/>
  <c r="F335" i="11"/>
  <c r="E335" i="11"/>
  <c r="D335" i="11"/>
  <c r="C335" i="11"/>
  <c r="B335" i="11"/>
  <c r="I334" i="11"/>
  <c r="H334" i="11"/>
  <c r="G334" i="11"/>
  <c r="F334" i="11"/>
  <c r="E334" i="11"/>
  <c r="D334" i="11"/>
  <c r="C334" i="11"/>
  <c r="B334" i="11"/>
  <c r="I333" i="11"/>
  <c r="H333" i="11"/>
  <c r="G333" i="11"/>
  <c r="F333" i="11"/>
  <c r="E333" i="11"/>
  <c r="D333" i="11"/>
  <c r="C333" i="11"/>
  <c r="B333" i="11"/>
  <c r="I332" i="11"/>
  <c r="H332" i="11"/>
  <c r="G332" i="11"/>
  <c r="F332" i="11"/>
  <c r="E332" i="11"/>
  <c r="D332" i="11"/>
  <c r="C332" i="11"/>
  <c r="B332" i="11"/>
  <c r="I331" i="11"/>
  <c r="H331" i="11"/>
  <c r="G331" i="11"/>
  <c r="F331" i="11"/>
  <c r="E331" i="11"/>
  <c r="D331" i="11"/>
  <c r="C331" i="11"/>
  <c r="B331" i="11"/>
  <c r="I330" i="11"/>
  <c r="H330" i="11"/>
  <c r="G330" i="11"/>
  <c r="F330" i="11"/>
  <c r="E330" i="11"/>
  <c r="D330" i="11"/>
  <c r="C330" i="11"/>
  <c r="B330" i="11"/>
  <c r="I329" i="11"/>
  <c r="H329" i="11"/>
  <c r="G329" i="11"/>
  <c r="F329" i="11"/>
  <c r="E329" i="11"/>
  <c r="D329" i="11"/>
  <c r="C329" i="11"/>
  <c r="B329" i="11"/>
  <c r="I328" i="11"/>
  <c r="H328" i="11"/>
  <c r="G328" i="11"/>
  <c r="F328" i="11"/>
  <c r="E328" i="11"/>
  <c r="D328" i="11"/>
  <c r="C328" i="11"/>
  <c r="B328" i="11"/>
  <c r="I327" i="11"/>
  <c r="H327" i="11"/>
  <c r="G327" i="11"/>
  <c r="F327" i="11"/>
  <c r="E327" i="11"/>
  <c r="D327" i="11"/>
  <c r="C327" i="11"/>
  <c r="B327" i="11"/>
  <c r="I326" i="11"/>
  <c r="H326" i="11"/>
  <c r="G326" i="11"/>
  <c r="F326" i="11"/>
  <c r="E326" i="11"/>
  <c r="D326" i="11"/>
  <c r="C326" i="11"/>
  <c r="B326" i="11"/>
  <c r="I325" i="11"/>
  <c r="H325" i="11"/>
  <c r="G325" i="11"/>
  <c r="F325" i="11"/>
  <c r="E325" i="11"/>
  <c r="D325" i="11"/>
  <c r="C325" i="11"/>
  <c r="B325" i="11"/>
  <c r="I324" i="11"/>
  <c r="H324" i="11"/>
  <c r="G324" i="11"/>
  <c r="F324" i="11"/>
  <c r="E324" i="11"/>
  <c r="D324" i="11"/>
  <c r="C324" i="11"/>
  <c r="B324" i="11"/>
  <c r="I323" i="11"/>
  <c r="H323" i="11"/>
  <c r="G323" i="11"/>
  <c r="F323" i="11"/>
  <c r="E323" i="11"/>
  <c r="D323" i="11"/>
  <c r="C323" i="11"/>
  <c r="B323" i="11"/>
  <c r="I322" i="11"/>
  <c r="H322" i="11"/>
  <c r="G322" i="11"/>
  <c r="F322" i="11"/>
  <c r="E322" i="11"/>
  <c r="D322" i="11"/>
  <c r="C322" i="11"/>
  <c r="B322" i="11"/>
  <c r="I321" i="11"/>
  <c r="H321" i="11"/>
  <c r="G321" i="11"/>
  <c r="F321" i="11"/>
  <c r="E321" i="11"/>
  <c r="D321" i="11"/>
  <c r="C321" i="11"/>
  <c r="B321" i="11"/>
  <c r="I320" i="11"/>
  <c r="H320" i="11"/>
  <c r="G320" i="11"/>
  <c r="F320" i="11"/>
  <c r="E320" i="11"/>
  <c r="D320" i="11"/>
  <c r="C320" i="11"/>
  <c r="B320" i="11"/>
  <c r="I319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I310" i="11"/>
  <c r="H310" i="11"/>
  <c r="G310" i="11"/>
  <c r="F310" i="11"/>
  <c r="E310" i="11"/>
  <c r="D310" i="11"/>
  <c r="C310" i="11"/>
  <c r="B310" i="11"/>
  <c r="I309" i="11"/>
  <c r="H309" i="11"/>
  <c r="G309" i="11"/>
  <c r="F309" i="11"/>
  <c r="E309" i="11"/>
  <c r="D309" i="11"/>
  <c r="C309" i="11"/>
  <c r="B309" i="11"/>
  <c r="I308" i="11"/>
  <c r="H308" i="11"/>
  <c r="G308" i="11"/>
  <c r="F308" i="11"/>
  <c r="E308" i="11"/>
  <c r="D308" i="11"/>
  <c r="C308" i="11"/>
  <c r="B308" i="11"/>
  <c r="I307" i="11"/>
  <c r="H307" i="11"/>
  <c r="G307" i="11"/>
  <c r="F307" i="11"/>
  <c r="E307" i="11"/>
  <c r="D307" i="11"/>
  <c r="C307" i="11"/>
  <c r="B307" i="11"/>
  <c r="I306" i="11"/>
  <c r="H306" i="11"/>
  <c r="G306" i="11"/>
  <c r="F306" i="11"/>
  <c r="E306" i="11"/>
  <c r="D306" i="11"/>
  <c r="C306" i="11"/>
  <c r="B306" i="11"/>
  <c r="I305" i="11"/>
  <c r="H305" i="11"/>
  <c r="G305" i="11"/>
  <c r="F305" i="11"/>
  <c r="E305" i="11"/>
  <c r="D305" i="11"/>
  <c r="C305" i="11"/>
  <c r="B305" i="11"/>
  <c r="I304" i="11"/>
  <c r="H304" i="11"/>
  <c r="G304" i="11"/>
  <c r="F304" i="11"/>
  <c r="E304" i="11"/>
  <c r="D304" i="11"/>
  <c r="C304" i="11"/>
  <c r="B304" i="11"/>
  <c r="I303" i="11"/>
  <c r="H303" i="11"/>
  <c r="G303" i="11"/>
  <c r="F303" i="11"/>
  <c r="E303" i="11"/>
  <c r="D303" i="11"/>
  <c r="C303" i="11"/>
  <c r="B303" i="11"/>
  <c r="I302" i="11"/>
  <c r="H302" i="11"/>
  <c r="G302" i="11"/>
  <c r="F302" i="11"/>
  <c r="E302" i="11"/>
  <c r="D302" i="11"/>
  <c r="C302" i="11"/>
  <c r="B302" i="11"/>
  <c r="I301" i="11"/>
  <c r="H301" i="11"/>
  <c r="G301" i="11"/>
  <c r="F301" i="11"/>
  <c r="E301" i="11"/>
  <c r="D301" i="11"/>
  <c r="C301" i="11"/>
  <c r="B301" i="11"/>
  <c r="I300" i="11"/>
  <c r="H300" i="11"/>
  <c r="G300" i="11"/>
  <c r="F300" i="11"/>
  <c r="E300" i="11"/>
  <c r="D300" i="11"/>
  <c r="C300" i="11"/>
  <c r="B300" i="11"/>
  <c r="I299" i="11"/>
  <c r="H299" i="11"/>
  <c r="G299" i="11"/>
  <c r="F299" i="11"/>
  <c r="E299" i="11"/>
  <c r="D299" i="11"/>
  <c r="C299" i="11"/>
  <c r="B299" i="11"/>
  <c r="I298" i="11"/>
  <c r="H298" i="11"/>
  <c r="G298" i="11"/>
  <c r="F298" i="11"/>
  <c r="E298" i="11"/>
  <c r="D298" i="11"/>
  <c r="C298" i="11"/>
  <c r="B298" i="11"/>
  <c r="I297" i="11"/>
  <c r="H297" i="11"/>
  <c r="G297" i="11"/>
  <c r="F297" i="11"/>
  <c r="E297" i="11"/>
  <c r="D297" i="11"/>
  <c r="C297" i="11"/>
  <c r="B297" i="11"/>
  <c r="I296" i="11"/>
  <c r="H296" i="11"/>
  <c r="G296" i="11"/>
  <c r="F296" i="11"/>
  <c r="E296" i="11"/>
  <c r="D296" i="11"/>
  <c r="C296" i="11"/>
  <c r="B296" i="11"/>
  <c r="I295" i="11"/>
  <c r="H295" i="11"/>
  <c r="G295" i="11"/>
  <c r="F295" i="11"/>
  <c r="E295" i="11"/>
  <c r="D295" i="11"/>
  <c r="C295" i="11"/>
  <c r="B295" i="11"/>
  <c r="I294" i="11"/>
  <c r="H294" i="11"/>
  <c r="G294" i="11"/>
  <c r="F294" i="11"/>
  <c r="E294" i="11"/>
  <c r="D294" i="11"/>
  <c r="C294" i="11"/>
  <c r="B294" i="11"/>
  <c r="I293" i="11"/>
  <c r="H293" i="11"/>
  <c r="G293" i="11"/>
  <c r="F293" i="11"/>
  <c r="E293" i="11"/>
  <c r="D293" i="11"/>
  <c r="C293" i="11"/>
  <c r="B293" i="11"/>
  <c r="I292" i="11"/>
  <c r="H292" i="11"/>
  <c r="G292" i="11"/>
  <c r="F292" i="11"/>
  <c r="E292" i="11"/>
  <c r="D292" i="11"/>
  <c r="C292" i="11"/>
  <c r="B292" i="11"/>
  <c r="I291" i="11"/>
  <c r="H291" i="11"/>
  <c r="G291" i="11"/>
  <c r="F291" i="11"/>
  <c r="E291" i="11"/>
  <c r="D291" i="11"/>
  <c r="C291" i="11"/>
  <c r="B291" i="11"/>
  <c r="I290" i="11"/>
  <c r="H290" i="11"/>
  <c r="G290" i="11"/>
  <c r="F290" i="11"/>
  <c r="E290" i="11"/>
  <c r="D290" i="11"/>
  <c r="C290" i="11"/>
  <c r="B290" i="11"/>
  <c r="I289" i="11"/>
  <c r="H289" i="11"/>
  <c r="G289" i="11"/>
  <c r="F289" i="11"/>
  <c r="E289" i="11"/>
  <c r="D289" i="11"/>
  <c r="C289" i="11"/>
  <c r="B289" i="11"/>
  <c r="I288" i="11"/>
  <c r="H288" i="11"/>
  <c r="G288" i="11"/>
  <c r="F288" i="11"/>
  <c r="E288" i="11"/>
  <c r="D288" i="11"/>
  <c r="C288" i="11"/>
  <c r="B288" i="11"/>
  <c r="I287" i="11"/>
  <c r="H287" i="11"/>
  <c r="G287" i="11"/>
  <c r="F287" i="11"/>
  <c r="E287" i="11"/>
  <c r="D287" i="11"/>
  <c r="C287" i="11"/>
  <c r="B287" i="11"/>
  <c r="I286" i="11"/>
  <c r="H286" i="11"/>
  <c r="G286" i="11"/>
  <c r="F286" i="11"/>
  <c r="E286" i="11"/>
  <c r="D286" i="11"/>
  <c r="C286" i="11"/>
  <c r="B286" i="11"/>
  <c r="I285" i="11"/>
  <c r="H285" i="11"/>
  <c r="G285" i="11"/>
  <c r="F285" i="11"/>
  <c r="E285" i="11"/>
  <c r="D285" i="11"/>
  <c r="C285" i="11"/>
  <c r="B285" i="11"/>
  <c r="I284" i="11"/>
  <c r="H284" i="11"/>
  <c r="G284" i="11"/>
  <c r="F284" i="11"/>
  <c r="E284" i="11"/>
  <c r="D284" i="11"/>
  <c r="C284" i="11"/>
  <c r="B284" i="11"/>
  <c r="I283" i="11"/>
  <c r="H283" i="11"/>
  <c r="G283" i="11"/>
  <c r="F283" i="11"/>
  <c r="E283" i="11"/>
  <c r="D283" i="11"/>
  <c r="C283" i="11"/>
  <c r="B283" i="11"/>
  <c r="I282" i="11"/>
  <c r="H282" i="11"/>
  <c r="G282" i="11"/>
  <c r="F282" i="11"/>
  <c r="E282" i="11"/>
  <c r="D282" i="11"/>
  <c r="C282" i="11"/>
  <c r="B282" i="11"/>
  <c r="I281" i="11"/>
  <c r="H281" i="11"/>
  <c r="G281" i="11"/>
  <c r="F281" i="11"/>
  <c r="E281" i="11"/>
  <c r="D281" i="11"/>
  <c r="C281" i="11"/>
  <c r="B281" i="11"/>
  <c r="I280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I271" i="11"/>
  <c r="H271" i="11"/>
  <c r="G271" i="11"/>
  <c r="F271" i="11"/>
  <c r="E271" i="11"/>
  <c r="D271" i="11"/>
  <c r="C271" i="11"/>
  <c r="B271" i="11"/>
  <c r="I270" i="11"/>
  <c r="H270" i="11"/>
  <c r="G270" i="11"/>
  <c r="F270" i="11"/>
  <c r="E270" i="11"/>
  <c r="D270" i="11"/>
  <c r="C270" i="11"/>
  <c r="B270" i="11"/>
  <c r="I269" i="11"/>
  <c r="H269" i="11"/>
  <c r="G269" i="11"/>
  <c r="F269" i="11"/>
  <c r="E269" i="11"/>
  <c r="D269" i="11"/>
  <c r="C269" i="11"/>
  <c r="B269" i="11"/>
  <c r="I268" i="11"/>
  <c r="H268" i="11"/>
  <c r="G268" i="11"/>
  <c r="F268" i="11"/>
  <c r="E268" i="11"/>
  <c r="D268" i="11"/>
  <c r="C268" i="11"/>
  <c r="B268" i="11"/>
  <c r="I267" i="11"/>
  <c r="H267" i="11"/>
  <c r="G267" i="11"/>
  <c r="F267" i="11"/>
  <c r="E267" i="11"/>
  <c r="D267" i="11"/>
  <c r="C267" i="11"/>
  <c r="B267" i="11"/>
  <c r="I266" i="11"/>
  <c r="H266" i="11"/>
  <c r="G266" i="11"/>
  <c r="F266" i="11"/>
  <c r="E266" i="11"/>
  <c r="D266" i="11"/>
  <c r="C266" i="11"/>
  <c r="B266" i="11"/>
  <c r="I265" i="11"/>
  <c r="H265" i="11"/>
  <c r="G265" i="11"/>
  <c r="F265" i="11"/>
  <c r="E265" i="11"/>
  <c r="D265" i="11"/>
  <c r="C265" i="11"/>
  <c r="B265" i="11"/>
  <c r="I264" i="11"/>
  <c r="H264" i="11"/>
  <c r="G264" i="11"/>
  <c r="F264" i="11"/>
  <c r="E264" i="11"/>
  <c r="D264" i="11"/>
  <c r="C264" i="11"/>
  <c r="B264" i="11"/>
  <c r="I263" i="11"/>
  <c r="H263" i="11"/>
  <c r="G263" i="11"/>
  <c r="F263" i="11"/>
  <c r="E263" i="11"/>
  <c r="D263" i="11"/>
  <c r="C263" i="11"/>
  <c r="B263" i="11"/>
  <c r="I262" i="11"/>
  <c r="H262" i="11"/>
  <c r="G262" i="11"/>
  <c r="F262" i="11"/>
  <c r="E262" i="11"/>
  <c r="D262" i="11"/>
  <c r="C262" i="11"/>
  <c r="B262" i="11"/>
  <c r="I261" i="11"/>
  <c r="H261" i="11"/>
  <c r="G261" i="11"/>
  <c r="F261" i="11"/>
  <c r="E261" i="11"/>
  <c r="D261" i="11"/>
  <c r="C261" i="11"/>
  <c r="B261" i="11"/>
  <c r="I260" i="11"/>
  <c r="H260" i="11"/>
  <c r="G260" i="11"/>
  <c r="F260" i="11"/>
  <c r="E260" i="11"/>
  <c r="D260" i="11"/>
  <c r="C260" i="11"/>
  <c r="B260" i="11"/>
  <c r="I259" i="11"/>
  <c r="H259" i="11"/>
  <c r="G259" i="11"/>
  <c r="F259" i="11"/>
  <c r="E259" i="11"/>
  <c r="D259" i="11"/>
  <c r="C259" i="11"/>
  <c r="B259" i="11"/>
  <c r="I258" i="11"/>
  <c r="H258" i="11"/>
  <c r="G258" i="11"/>
  <c r="F258" i="11"/>
  <c r="E258" i="11"/>
  <c r="D258" i="11"/>
  <c r="C258" i="11"/>
  <c r="B258" i="11"/>
  <c r="I257" i="11"/>
  <c r="H257" i="11"/>
  <c r="G257" i="11"/>
  <c r="F257" i="11"/>
  <c r="E257" i="11"/>
  <c r="D257" i="11"/>
  <c r="C257" i="11"/>
  <c r="B257" i="11"/>
  <c r="I256" i="11"/>
  <c r="H256" i="11"/>
  <c r="G256" i="11"/>
  <c r="F256" i="11"/>
  <c r="E256" i="11"/>
  <c r="D256" i="11"/>
  <c r="C256" i="11"/>
  <c r="B256" i="11"/>
  <c r="I255" i="11"/>
  <c r="H255" i="11"/>
  <c r="G255" i="11"/>
  <c r="F255" i="11"/>
  <c r="E255" i="11"/>
  <c r="D255" i="11"/>
  <c r="C255" i="11"/>
  <c r="B255" i="11"/>
  <c r="I254" i="11"/>
  <c r="H254" i="11"/>
  <c r="G254" i="11"/>
  <c r="F254" i="11"/>
  <c r="E254" i="11"/>
  <c r="D254" i="11"/>
  <c r="C254" i="11"/>
  <c r="B254" i="11"/>
  <c r="I253" i="11"/>
  <c r="H253" i="11"/>
  <c r="G253" i="11"/>
  <c r="F253" i="11"/>
  <c r="E253" i="11"/>
  <c r="D253" i="11"/>
  <c r="C253" i="11"/>
  <c r="B253" i="11"/>
  <c r="I252" i="11"/>
  <c r="H252" i="11"/>
  <c r="G252" i="11"/>
  <c r="F252" i="11"/>
  <c r="E252" i="11"/>
  <c r="D252" i="11"/>
  <c r="C252" i="11"/>
  <c r="B252" i="11"/>
  <c r="I251" i="11"/>
  <c r="H251" i="11"/>
  <c r="G251" i="11"/>
  <c r="F251" i="11"/>
  <c r="E251" i="11"/>
  <c r="D251" i="11"/>
  <c r="C251" i="11"/>
  <c r="B251" i="11"/>
  <c r="I250" i="11"/>
  <c r="H250" i="11"/>
  <c r="G250" i="11"/>
  <c r="F250" i="11"/>
  <c r="E250" i="11"/>
  <c r="D250" i="11"/>
  <c r="C250" i="11"/>
  <c r="B250" i="11"/>
  <c r="I249" i="11"/>
  <c r="H249" i="11"/>
  <c r="G249" i="11"/>
  <c r="F249" i="11"/>
  <c r="E249" i="11"/>
  <c r="D249" i="11"/>
  <c r="C249" i="11"/>
  <c r="B249" i="11"/>
  <c r="I248" i="11"/>
  <c r="H248" i="11"/>
  <c r="G248" i="11"/>
  <c r="F248" i="11"/>
  <c r="E248" i="11"/>
  <c r="D248" i="11"/>
  <c r="C248" i="11"/>
  <c r="B248" i="11"/>
  <c r="I247" i="11"/>
  <c r="H247" i="11"/>
  <c r="G247" i="11"/>
  <c r="F247" i="11"/>
  <c r="E247" i="11"/>
  <c r="D247" i="11"/>
  <c r="C247" i="11"/>
  <c r="B247" i="11"/>
  <c r="I246" i="11"/>
  <c r="H246" i="11"/>
  <c r="G246" i="11"/>
  <c r="F246" i="11"/>
  <c r="E246" i="11"/>
  <c r="D246" i="11"/>
  <c r="C246" i="11"/>
  <c r="B246" i="11"/>
  <c r="I245" i="11"/>
  <c r="H245" i="11"/>
  <c r="G245" i="11"/>
  <c r="F245" i="11"/>
  <c r="E245" i="11"/>
  <c r="D245" i="11"/>
  <c r="C245" i="11"/>
  <c r="B245" i="11"/>
  <c r="I244" i="11"/>
  <c r="H244" i="11"/>
  <c r="G244" i="11"/>
  <c r="F244" i="11"/>
  <c r="E244" i="11"/>
  <c r="D244" i="11"/>
  <c r="C244" i="11"/>
  <c r="B244" i="11"/>
  <c r="I243" i="11"/>
  <c r="H243" i="11"/>
  <c r="G243" i="11"/>
  <c r="F243" i="11"/>
  <c r="E243" i="11"/>
  <c r="D243" i="11"/>
  <c r="C243" i="11"/>
  <c r="B243" i="11"/>
  <c r="I242" i="11"/>
  <c r="H242" i="11"/>
  <c r="G242" i="11"/>
  <c r="F242" i="11"/>
  <c r="E242" i="11"/>
  <c r="D242" i="11"/>
  <c r="C242" i="11"/>
  <c r="B242" i="11"/>
  <c r="I241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I231" i="11"/>
  <c r="H231" i="11"/>
  <c r="G231" i="11"/>
  <c r="F231" i="11"/>
  <c r="E231" i="11"/>
  <c r="D231" i="11"/>
  <c r="C231" i="11"/>
  <c r="B231" i="11"/>
  <c r="I230" i="11"/>
  <c r="H230" i="11"/>
  <c r="G230" i="11"/>
  <c r="F230" i="11"/>
  <c r="E230" i="11"/>
  <c r="D230" i="11"/>
  <c r="C230" i="11"/>
  <c r="B230" i="11"/>
  <c r="I229" i="11"/>
  <c r="H229" i="11"/>
  <c r="G229" i="11"/>
  <c r="F229" i="11"/>
  <c r="E229" i="11"/>
  <c r="D229" i="11"/>
  <c r="C229" i="11"/>
  <c r="B229" i="11"/>
  <c r="I228" i="11"/>
  <c r="H228" i="11"/>
  <c r="G228" i="11"/>
  <c r="F228" i="11"/>
  <c r="E228" i="11"/>
  <c r="D228" i="11"/>
  <c r="C228" i="11"/>
  <c r="B228" i="11"/>
  <c r="I227" i="11"/>
  <c r="H227" i="11"/>
  <c r="G227" i="11"/>
  <c r="F227" i="11"/>
  <c r="E227" i="11"/>
  <c r="D227" i="11"/>
  <c r="C227" i="11"/>
  <c r="B227" i="11"/>
  <c r="I226" i="11"/>
  <c r="H226" i="11"/>
  <c r="G226" i="11"/>
  <c r="F226" i="11"/>
  <c r="E226" i="11"/>
  <c r="D226" i="11"/>
  <c r="C226" i="11"/>
  <c r="B226" i="11"/>
  <c r="I225" i="11"/>
  <c r="H225" i="11"/>
  <c r="G225" i="11"/>
  <c r="F225" i="11"/>
  <c r="E225" i="11"/>
  <c r="D225" i="11"/>
  <c r="C225" i="11"/>
  <c r="B225" i="11"/>
  <c r="I224" i="11"/>
  <c r="H224" i="11"/>
  <c r="G224" i="11"/>
  <c r="F224" i="11"/>
  <c r="E224" i="11"/>
  <c r="D224" i="11"/>
  <c r="C224" i="11"/>
  <c r="B224" i="11"/>
  <c r="I223" i="11"/>
  <c r="H223" i="11"/>
  <c r="G223" i="11"/>
  <c r="F223" i="11"/>
  <c r="E223" i="11"/>
  <c r="D223" i="11"/>
  <c r="C223" i="11"/>
  <c r="B223" i="11"/>
  <c r="I222" i="11"/>
  <c r="H222" i="11"/>
  <c r="G222" i="11"/>
  <c r="F222" i="11"/>
  <c r="E222" i="11"/>
  <c r="D222" i="11"/>
  <c r="C222" i="11"/>
  <c r="B222" i="11"/>
  <c r="I221" i="11"/>
  <c r="H221" i="11"/>
  <c r="G221" i="11"/>
  <c r="F221" i="11"/>
  <c r="E221" i="11"/>
  <c r="D221" i="11"/>
  <c r="C221" i="11"/>
  <c r="B221" i="11"/>
  <c r="I220" i="11"/>
  <c r="H220" i="11"/>
  <c r="G220" i="11"/>
  <c r="F220" i="11"/>
  <c r="E220" i="11"/>
  <c r="D220" i="11"/>
  <c r="C220" i="11"/>
  <c r="B220" i="11"/>
  <c r="I219" i="11"/>
  <c r="H219" i="11"/>
  <c r="G219" i="11"/>
  <c r="F219" i="11"/>
  <c r="E219" i="11"/>
  <c r="D219" i="11"/>
  <c r="C219" i="11"/>
  <c r="B219" i="11"/>
  <c r="I218" i="11"/>
  <c r="H218" i="11"/>
  <c r="G218" i="11"/>
  <c r="F218" i="11"/>
  <c r="E218" i="11"/>
  <c r="D218" i="11"/>
  <c r="C218" i="11"/>
  <c r="B218" i="11"/>
  <c r="I217" i="11"/>
  <c r="H217" i="11"/>
  <c r="G217" i="11"/>
  <c r="F217" i="11"/>
  <c r="E217" i="11"/>
  <c r="D217" i="11"/>
  <c r="C217" i="11"/>
  <c r="B217" i="11"/>
  <c r="I216" i="11"/>
  <c r="H216" i="11"/>
  <c r="G216" i="11"/>
  <c r="F216" i="11"/>
  <c r="E216" i="11"/>
  <c r="D216" i="11"/>
  <c r="C216" i="11"/>
  <c r="B216" i="11"/>
  <c r="I215" i="11"/>
  <c r="H215" i="11"/>
  <c r="G215" i="11"/>
  <c r="F215" i="11"/>
  <c r="E215" i="11"/>
  <c r="D215" i="11"/>
  <c r="C215" i="11"/>
  <c r="B215" i="11"/>
  <c r="I214" i="11"/>
  <c r="H214" i="11"/>
  <c r="G214" i="11"/>
  <c r="F214" i="11"/>
  <c r="E214" i="11"/>
  <c r="D214" i="11"/>
  <c r="C214" i="11"/>
  <c r="B214" i="11"/>
  <c r="I213" i="11"/>
  <c r="H213" i="11"/>
  <c r="G213" i="11"/>
  <c r="F213" i="11"/>
  <c r="E213" i="11"/>
  <c r="D213" i="11"/>
  <c r="C213" i="11"/>
  <c r="B213" i="11"/>
  <c r="I212" i="11"/>
  <c r="H212" i="11"/>
  <c r="G212" i="11"/>
  <c r="F212" i="11"/>
  <c r="E212" i="11"/>
  <c r="D212" i="11"/>
  <c r="C212" i="11"/>
  <c r="B212" i="11"/>
  <c r="I211" i="11"/>
  <c r="H211" i="11"/>
  <c r="G211" i="11"/>
  <c r="F211" i="11"/>
  <c r="E211" i="11"/>
  <c r="D211" i="11"/>
  <c r="C211" i="11"/>
  <c r="B211" i="11"/>
  <c r="I210" i="11"/>
  <c r="H210" i="11"/>
  <c r="G210" i="11"/>
  <c r="F210" i="11"/>
  <c r="E210" i="11"/>
  <c r="D210" i="11"/>
  <c r="C210" i="11"/>
  <c r="B210" i="11"/>
  <c r="I209" i="11"/>
  <c r="H209" i="11"/>
  <c r="G209" i="11"/>
  <c r="F209" i="11"/>
  <c r="E209" i="11"/>
  <c r="D209" i="11"/>
  <c r="C209" i="11"/>
  <c r="B209" i="11"/>
  <c r="I208" i="11"/>
  <c r="H208" i="11"/>
  <c r="G208" i="11"/>
  <c r="F208" i="11"/>
  <c r="E208" i="11"/>
  <c r="D208" i="11"/>
  <c r="C208" i="11"/>
  <c r="B208" i="11"/>
  <c r="I207" i="11"/>
  <c r="H207" i="11"/>
  <c r="G207" i="11"/>
  <c r="F207" i="11"/>
  <c r="E207" i="11"/>
  <c r="D207" i="11"/>
  <c r="C207" i="11"/>
  <c r="B207" i="11"/>
  <c r="I206" i="11"/>
  <c r="H206" i="11"/>
  <c r="G206" i="11"/>
  <c r="F206" i="11"/>
  <c r="E206" i="11"/>
  <c r="D206" i="11"/>
  <c r="C206" i="11"/>
  <c r="B206" i="11"/>
  <c r="I205" i="11"/>
  <c r="H205" i="11"/>
  <c r="G205" i="11"/>
  <c r="F205" i="11"/>
  <c r="E205" i="11"/>
  <c r="D205" i="11"/>
  <c r="C205" i="11"/>
  <c r="B205" i="11"/>
  <c r="I204" i="11"/>
  <c r="H204" i="11"/>
  <c r="G204" i="11"/>
  <c r="F204" i="11"/>
  <c r="E204" i="11"/>
  <c r="D204" i="11"/>
  <c r="C204" i="11"/>
  <c r="B204" i="11"/>
  <c r="I203" i="11"/>
  <c r="H203" i="11"/>
  <c r="G203" i="11"/>
  <c r="F203" i="11"/>
  <c r="E203" i="11"/>
  <c r="D203" i="11"/>
  <c r="C203" i="11"/>
  <c r="B203" i="11"/>
  <c r="I202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I193" i="11"/>
  <c r="H193" i="11"/>
  <c r="G193" i="11"/>
  <c r="F193" i="11"/>
  <c r="E193" i="11"/>
  <c r="D193" i="11"/>
  <c r="C193" i="11"/>
  <c r="B193" i="11"/>
  <c r="I192" i="11"/>
  <c r="H192" i="11"/>
  <c r="G192" i="11"/>
  <c r="F192" i="11"/>
  <c r="E192" i="11"/>
  <c r="D192" i="11"/>
  <c r="C192" i="11"/>
  <c r="B192" i="11"/>
  <c r="I191" i="11"/>
  <c r="H191" i="11"/>
  <c r="G191" i="11"/>
  <c r="F191" i="11"/>
  <c r="E191" i="11"/>
  <c r="D191" i="11"/>
  <c r="C191" i="11"/>
  <c r="B191" i="11"/>
  <c r="I190" i="11"/>
  <c r="H190" i="11"/>
  <c r="G190" i="11"/>
  <c r="F190" i="11"/>
  <c r="E190" i="11"/>
  <c r="D190" i="11"/>
  <c r="C190" i="11"/>
  <c r="B190" i="11"/>
  <c r="I189" i="11"/>
  <c r="H189" i="11"/>
  <c r="G189" i="11"/>
  <c r="F189" i="11"/>
  <c r="E189" i="11"/>
  <c r="D189" i="11"/>
  <c r="C189" i="11"/>
  <c r="B189" i="11"/>
  <c r="I188" i="11"/>
  <c r="H188" i="11"/>
  <c r="G188" i="11"/>
  <c r="F188" i="11"/>
  <c r="E188" i="11"/>
  <c r="D188" i="11"/>
  <c r="C188" i="11"/>
  <c r="B188" i="11"/>
  <c r="I187" i="11"/>
  <c r="H187" i="11"/>
  <c r="G187" i="11"/>
  <c r="F187" i="11"/>
  <c r="E187" i="11"/>
  <c r="D187" i="11"/>
  <c r="C187" i="11"/>
  <c r="B187" i="11"/>
  <c r="I186" i="11"/>
  <c r="H186" i="11"/>
  <c r="G186" i="11"/>
  <c r="F186" i="11"/>
  <c r="E186" i="11"/>
  <c r="D186" i="11"/>
  <c r="C186" i="11"/>
  <c r="B186" i="11"/>
  <c r="I185" i="11"/>
  <c r="H185" i="11"/>
  <c r="G185" i="11"/>
  <c r="F185" i="11"/>
  <c r="E185" i="11"/>
  <c r="D185" i="11"/>
  <c r="C185" i="11"/>
  <c r="B185" i="11"/>
  <c r="I184" i="11"/>
  <c r="H184" i="11"/>
  <c r="G184" i="11"/>
  <c r="F184" i="11"/>
  <c r="E184" i="11"/>
  <c r="D184" i="11"/>
  <c r="C184" i="11"/>
  <c r="B184" i="11"/>
  <c r="I183" i="11"/>
  <c r="H183" i="11"/>
  <c r="G183" i="11"/>
  <c r="F183" i="11"/>
  <c r="E183" i="11"/>
  <c r="D183" i="11"/>
  <c r="C183" i="11"/>
  <c r="B183" i="11"/>
  <c r="I182" i="11"/>
  <c r="H182" i="11"/>
  <c r="G182" i="11"/>
  <c r="F182" i="11"/>
  <c r="E182" i="11"/>
  <c r="D182" i="11"/>
  <c r="C182" i="11"/>
  <c r="B182" i="11"/>
  <c r="I181" i="11"/>
  <c r="H181" i="11"/>
  <c r="G181" i="11"/>
  <c r="F181" i="11"/>
  <c r="E181" i="11"/>
  <c r="D181" i="11"/>
  <c r="C181" i="11"/>
  <c r="B181" i="11"/>
  <c r="I180" i="11"/>
  <c r="H180" i="11"/>
  <c r="G180" i="11"/>
  <c r="F180" i="11"/>
  <c r="E180" i="11"/>
  <c r="D180" i="11"/>
  <c r="C180" i="11"/>
  <c r="B180" i="11"/>
  <c r="I179" i="11"/>
  <c r="H179" i="11"/>
  <c r="G179" i="11"/>
  <c r="F179" i="11"/>
  <c r="E179" i="11"/>
  <c r="D179" i="11"/>
  <c r="C179" i="11"/>
  <c r="B179" i="11"/>
  <c r="I178" i="11"/>
  <c r="H178" i="11"/>
  <c r="G178" i="11"/>
  <c r="F178" i="11"/>
  <c r="E178" i="11"/>
  <c r="D178" i="11"/>
  <c r="C178" i="11"/>
  <c r="B178" i="11"/>
  <c r="I177" i="11"/>
  <c r="H177" i="11"/>
  <c r="G177" i="11"/>
  <c r="F177" i="11"/>
  <c r="E177" i="11"/>
  <c r="D177" i="11"/>
  <c r="C177" i="11"/>
  <c r="B177" i="11"/>
  <c r="I176" i="11"/>
  <c r="H176" i="11"/>
  <c r="G176" i="11"/>
  <c r="F176" i="11"/>
  <c r="E176" i="11"/>
  <c r="D176" i="11"/>
  <c r="C176" i="11"/>
  <c r="B176" i="11"/>
  <c r="I175" i="11"/>
  <c r="H175" i="11"/>
  <c r="G175" i="11"/>
  <c r="F175" i="11"/>
  <c r="E175" i="11"/>
  <c r="D175" i="11"/>
  <c r="C175" i="11"/>
  <c r="B175" i="11"/>
  <c r="I174" i="11"/>
  <c r="H174" i="11"/>
  <c r="G174" i="11"/>
  <c r="F174" i="11"/>
  <c r="E174" i="11"/>
  <c r="D174" i="11"/>
  <c r="C174" i="11"/>
  <c r="B174" i="11"/>
  <c r="I173" i="11"/>
  <c r="H173" i="11"/>
  <c r="G173" i="11"/>
  <c r="F173" i="11"/>
  <c r="E173" i="11"/>
  <c r="D173" i="11"/>
  <c r="C173" i="11"/>
  <c r="B173" i="11"/>
  <c r="I172" i="11"/>
  <c r="H172" i="11"/>
  <c r="G172" i="11"/>
  <c r="F172" i="11"/>
  <c r="E172" i="11"/>
  <c r="D172" i="11"/>
  <c r="C172" i="11"/>
  <c r="B172" i="11"/>
  <c r="I171" i="11"/>
  <c r="H171" i="11"/>
  <c r="G171" i="11"/>
  <c r="F171" i="11"/>
  <c r="E171" i="11"/>
  <c r="D171" i="11"/>
  <c r="C171" i="11"/>
  <c r="B171" i="11"/>
  <c r="I170" i="11"/>
  <c r="H170" i="11"/>
  <c r="G170" i="11"/>
  <c r="F170" i="11"/>
  <c r="E170" i="11"/>
  <c r="D170" i="11"/>
  <c r="C170" i="11"/>
  <c r="B170" i="11"/>
  <c r="I169" i="11"/>
  <c r="H169" i="11"/>
  <c r="G169" i="11"/>
  <c r="F169" i="11"/>
  <c r="E169" i="11"/>
  <c r="D169" i="11"/>
  <c r="C169" i="11"/>
  <c r="B169" i="11"/>
  <c r="I168" i="11"/>
  <c r="H168" i="11"/>
  <c r="G168" i="11"/>
  <c r="F168" i="11"/>
  <c r="E168" i="11"/>
  <c r="D168" i="11"/>
  <c r="C168" i="11"/>
  <c r="B168" i="11"/>
  <c r="I167" i="11"/>
  <c r="H167" i="11"/>
  <c r="G167" i="11"/>
  <c r="F167" i="11"/>
  <c r="E167" i="11"/>
  <c r="D167" i="11"/>
  <c r="C167" i="11"/>
  <c r="B167" i="11"/>
  <c r="I166" i="11"/>
  <c r="H166" i="11"/>
  <c r="G166" i="11"/>
  <c r="F166" i="11"/>
  <c r="E166" i="11"/>
  <c r="D166" i="11"/>
  <c r="C166" i="11"/>
  <c r="B166" i="11"/>
  <c r="I165" i="11"/>
  <c r="H165" i="11"/>
  <c r="G165" i="11"/>
  <c r="F165" i="11"/>
  <c r="E165" i="11"/>
  <c r="D165" i="11"/>
  <c r="C165" i="11"/>
  <c r="B165" i="11"/>
  <c r="I164" i="11"/>
  <c r="H164" i="11"/>
  <c r="G164" i="11"/>
  <c r="F164" i="11"/>
  <c r="E164" i="11"/>
  <c r="D164" i="11"/>
  <c r="C164" i="11"/>
  <c r="B164" i="11"/>
  <c r="I163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I153" i="11"/>
  <c r="H153" i="11"/>
  <c r="G153" i="11"/>
  <c r="F153" i="11"/>
  <c r="E153" i="11"/>
  <c r="D153" i="11"/>
  <c r="C153" i="11"/>
  <c r="B153" i="11"/>
  <c r="I152" i="11"/>
  <c r="H152" i="11"/>
  <c r="G152" i="11"/>
  <c r="F152" i="11"/>
  <c r="E152" i="11"/>
  <c r="D152" i="11"/>
  <c r="C152" i="11"/>
  <c r="B152" i="11"/>
  <c r="I151" i="11"/>
  <c r="H151" i="11"/>
  <c r="G151" i="11"/>
  <c r="F151" i="11"/>
  <c r="E151" i="11"/>
  <c r="D151" i="11"/>
  <c r="C151" i="11"/>
  <c r="B151" i="11"/>
  <c r="I150" i="11"/>
  <c r="H150" i="11"/>
  <c r="G150" i="11"/>
  <c r="F150" i="11"/>
  <c r="E150" i="11"/>
  <c r="D150" i="11"/>
  <c r="C150" i="11"/>
  <c r="B150" i="11"/>
  <c r="I149" i="11"/>
  <c r="H149" i="11"/>
  <c r="G149" i="11"/>
  <c r="F149" i="11"/>
  <c r="E149" i="11"/>
  <c r="D149" i="11"/>
  <c r="C149" i="11"/>
  <c r="B149" i="11"/>
  <c r="I148" i="11"/>
  <c r="H148" i="11"/>
  <c r="G148" i="11"/>
  <c r="F148" i="11"/>
  <c r="E148" i="11"/>
  <c r="D148" i="11"/>
  <c r="C148" i="11"/>
  <c r="B148" i="11"/>
  <c r="I147" i="11"/>
  <c r="H147" i="11"/>
  <c r="G147" i="11"/>
  <c r="F147" i="11"/>
  <c r="E147" i="11"/>
  <c r="D147" i="11"/>
  <c r="C147" i="11"/>
  <c r="B147" i="11"/>
  <c r="I146" i="11"/>
  <c r="H146" i="11"/>
  <c r="G146" i="11"/>
  <c r="F146" i="11"/>
  <c r="E146" i="11"/>
  <c r="D146" i="11"/>
  <c r="C146" i="11"/>
  <c r="B146" i="11"/>
  <c r="I145" i="11"/>
  <c r="H145" i="11"/>
  <c r="G145" i="11"/>
  <c r="F145" i="11"/>
  <c r="E145" i="11"/>
  <c r="D145" i="11"/>
  <c r="C145" i="11"/>
  <c r="B145" i="11"/>
  <c r="I144" i="11"/>
  <c r="H144" i="11"/>
  <c r="G144" i="11"/>
  <c r="F144" i="11"/>
  <c r="E144" i="11"/>
  <c r="D144" i="11"/>
  <c r="C144" i="11"/>
  <c r="B144" i="11"/>
  <c r="I143" i="11"/>
  <c r="H143" i="11"/>
  <c r="G143" i="11"/>
  <c r="F143" i="11"/>
  <c r="E143" i="11"/>
  <c r="D143" i="11"/>
  <c r="C143" i="11"/>
  <c r="B143" i="11"/>
  <c r="I142" i="11"/>
  <c r="H142" i="11"/>
  <c r="G142" i="11"/>
  <c r="F142" i="11"/>
  <c r="E142" i="11"/>
  <c r="D142" i="11"/>
  <c r="C142" i="11"/>
  <c r="B142" i="11"/>
  <c r="I141" i="11"/>
  <c r="H141" i="11"/>
  <c r="G141" i="11"/>
  <c r="F141" i="11"/>
  <c r="E141" i="11"/>
  <c r="D141" i="11"/>
  <c r="C141" i="11"/>
  <c r="B141" i="11"/>
  <c r="I140" i="11"/>
  <c r="H140" i="11"/>
  <c r="G140" i="11"/>
  <c r="F140" i="11"/>
  <c r="E140" i="11"/>
  <c r="D140" i="11"/>
  <c r="C140" i="11"/>
  <c r="B140" i="11"/>
  <c r="I139" i="11"/>
  <c r="H139" i="11"/>
  <c r="G139" i="11"/>
  <c r="F139" i="11"/>
  <c r="E139" i="11"/>
  <c r="D139" i="11"/>
  <c r="C139" i="11"/>
  <c r="B139" i="11"/>
  <c r="I138" i="11"/>
  <c r="H138" i="11"/>
  <c r="G138" i="11"/>
  <c r="F138" i="11"/>
  <c r="E138" i="11"/>
  <c r="D138" i="11"/>
  <c r="C138" i="11"/>
  <c r="B138" i="11"/>
  <c r="I137" i="11"/>
  <c r="H137" i="11"/>
  <c r="G137" i="11"/>
  <c r="F137" i="11"/>
  <c r="E137" i="11"/>
  <c r="D137" i="11"/>
  <c r="C137" i="11"/>
  <c r="B137" i="11"/>
  <c r="I136" i="11"/>
  <c r="H136" i="11"/>
  <c r="G136" i="11"/>
  <c r="F136" i="11"/>
  <c r="E136" i="11"/>
  <c r="D136" i="11"/>
  <c r="C136" i="11"/>
  <c r="B136" i="11"/>
  <c r="I135" i="11"/>
  <c r="H135" i="11"/>
  <c r="G135" i="11"/>
  <c r="F135" i="11"/>
  <c r="E135" i="11"/>
  <c r="D135" i="11"/>
  <c r="C135" i="11"/>
  <c r="B135" i="11"/>
  <c r="I134" i="11"/>
  <c r="H134" i="11"/>
  <c r="G134" i="11"/>
  <c r="F134" i="11"/>
  <c r="E134" i="11"/>
  <c r="D134" i="11"/>
  <c r="C134" i="11"/>
  <c r="B134" i="11"/>
  <c r="I133" i="11"/>
  <c r="H133" i="11"/>
  <c r="G133" i="11"/>
  <c r="F133" i="11"/>
  <c r="E133" i="11"/>
  <c r="D133" i="11"/>
  <c r="C133" i="11"/>
  <c r="B133" i="11"/>
  <c r="I132" i="11"/>
  <c r="H132" i="11"/>
  <c r="G132" i="11"/>
  <c r="F132" i="11"/>
  <c r="E132" i="11"/>
  <c r="D132" i="11"/>
  <c r="C132" i="11"/>
  <c r="B132" i="11"/>
  <c r="I131" i="11"/>
  <c r="H131" i="11"/>
  <c r="G131" i="11"/>
  <c r="F131" i="11"/>
  <c r="E131" i="11"/>
  <c r="D131" i="11"/>
  <c r="C131" i="11"/>
  <c r="B131" i="11"/>
  <c r="I130" i="11"/>
  <c r="H130" i="11"/>
  <c r="G130" i="11"/>
  <c r="F130" i="11"/>
  <c r="E130" i="11"/>
  <c r="D130" i="11"/>
  <c r="C130" i="11"/>
  <c r="B130" i="11"/>
  <c r="I129" i="11"/>
  <c r="H129" i="11"/>
  <c r="G129" i="11"/>
  <c r="F129" i="11"/>
  <c r="E129" i="11"/>
  <c r="D129" i="11"/>
  <c r="C129" i="11"/>
  <c r="B129" i="11"/>
  <c r="I128" i="11"/>
  <c r="H128" i="11"/>
  <c r="G128" i="11"/>
  <c r="F128" i="11"/>
  <c r="E128" i="11"/>
  <c r="D128" i="11"/>
  <c r="C128" i="11"/>
  <c r="B128" i="11"/>
  <c r="I127" i="11"/>
  <c r="H127" i="11"/>
  <c r="G127" i="11"/>
  <c r="F127" i="11"/>
  <c r="E127" i="11"/>
  <c r="D127" i="11"/>
  <c r="C127" i="11"/>
  <c r="B127" i="11"/>
  <c r="I126" i="11"/>
  <c r="H126" i="11"/>
  <c r="G126" i="11"/>
  <c r="F126" i="11"/>
  <c r="E126" i="11"/>
  <c r="D126" i="11"/>
  <c r="C126" i="11"/>
  <c r="B126" i="11"/>
  <c r="I125" i="11"/>
  <c r="H125" i="11"/>
  <c r="G125" i="11"/>
  <c r="F125" i="11"/>
  <c r="E125" i="11"/>
  <c r="D125" i="11"/>
  <c r="C125" i="11"/>
  <c r="B125" i="11"/>
  <c r="I124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I115" i="11"/>
  <c r="H115" i="11"/>
  <c r="G115" i="11"/>
  <c r="F115" i="11"/>
  <c r="E115" i="11"/>
  <c r="D115" i="11"/>
  <c r="C115" i="11"/>
  <c r="B115" i="11"/>
  <c r="I114" i="11"/>
  <c r="H114" i="11"/>
  <c r="G114" i="11"/>
  <c r="F114" i="11"/>
  <c r="E114" i="11"/>
  <c r="D114" i="11"/>
  <c r="C114" i="11"/>
  <c r="B114" i="11"/>
  <c r="I113" i="11"/>
  <c r="H113" i="11"/>
  <c r="G113" i="11"/>
  <c r="F113" i="11"/>
  <c r="E113" i="11"/>
  <c r="D113" i="11"/>
  <c r="C113" i="11"/>
  <c r="B113" i="11"/>
  <c r="I112" i="11"/>
  <c r="H112" i="11"/>
  <c r="G112" i="11"/>
  <c r="F112" i="11"/>
  <c r="E112" i="11"/>
  <c r="D112" i="11"/>
  <c r="C112" i="11"/>
  <c r="B112" i="11"/>
  <c r="I111" i="11"/>
  <c r="H111" i="11"/>
  <c r="G111" i="11"/>
  <c r="F111" i="11"/>
  <c r="E111" i="11"/>
  <c r="D111" i="11"/>
  <c r="C111" i="11"/>
  <c r="B111" i="11"/>
  <c r="I110" i="11"/>
  <c r="H110" i="11"/>
  <c r="G110" i="11"/>
  <c r="F110" i="11"/>
  <c r="E110" i="11"/>
  <c r="D110" i="11"/>
  <c r="C110" i="11"/>
  <c r="B110" i="11"/>
  <c r="I109" i="11"/>
  <c r="H109" i="11"/>
  <c r="G109" i="11"/>
  <c r="F109" i="11"/>
  <c r="E109" i="11"/>
  <c r="D109" i="11"/>
  <c r="C109" i="11"/>
  <c r="B109" i="11"/>
  <c r="I108" i="11"/>
  <c r="H108" i="11"/>
  <c r="G108" i="11"/>
  <c r="F108" i="11"/>
  <c r="E108" i="11"/>
  <c r="D108" i="11"/>
  <c r="C108" i="11"/>
  <c r="B108" i="11"/>
  <c r="I107" i="11"/>
  <c r="H107" i="11"/>
  <c r="G107" i="11"/>
  <c r="F107" i="11"/>
  <c r="E107" i="11"/>
  <c r="D107" i="11"/>
  <c r="C107" i="11"/>
  <c r="B107" i="11"/>
  <c r="I106" i="11"/>
  <c r="H106" i="11"/>
  <c r="G106" i="11"/>
  <c r="F106" i="11"/>
  <c r="E106" i="11"/>
  <c r="D106" i="11"/>
  <c r="C106" i="11"/>
  <c r="B106" i="11"/>
  <c r="I105" i="11"/>
  <c r="H105" i="11"/>
  <c r="G105" i="11"/>
  <c r="F105" i="11"/>
  <c r="E105" i="11"/>
  <c r="D105" i="11"/>
  <c r="C105" i="11"/>
  <c r="B105" i="11"/>
  <c r="I104" i="11"/>
  <c r="H104" i="11"/>
  <c r="G104" i="11"/>
  <c r="F104" i="11"/>
  <c r="E104" i="11"/>
  <c r="D104" i="11"/>
  <c r="C104" i="11"/>
  <c r="B104" i="11"/>
  <c r="I103" i="11"/>
  <c r="H103" i="11"/>
  <c r="G103" i="11"/>
  <c r="F103" i="11"/>
  <c r="E103" i="11"/>
  <c r="D103" i="11"/>
  <c r="C103" i="11"/>
  <c r="B103" i="11"/>
  <c r="I102" i="11"/>
  <c r="H102" i="11"/>
  <c r="G102" i="11"/>
  <c r="F102" i="11"/>
  <c r="E102" i="11"/>
  <c r="D102" i="11"/>
  <c r="C102" i="11"/>
  <c r="B102" i="11"/>
  <c r="I101" i="11"/>
  <c r="H101" i="11"/>
  <c r="G101" i="11"/>
  <c r="F101" i="11"/>
  <c r="E101" i="11"/>
  <c r="D101" i="11"/>
  <c r="C101" i="11"/>
  <c r="B101" i="11"/>
  <c r="I100" i="11"/>
  <c r="H100" i="11"/>
  <c r="G100" i="11"/>
  <c r="F100" i="11"/>
  <c r="E100" i="11"/>
  <c r="D100" i="11"/>
  <c r="C100" i="11"/>
  <c r="B100" i="11"/>
  <c r="I99" i="11"/>
  <c r="H99" i="11"/>
  <c r="G99" i="11"/>
  <c r="F99" i="11"/>
  <c r="E99" i="11"/>
  <c r="D99" i="11"/>
  <c r="C99" i="11"/>
  <c r="B99" i="11"/>
  <c r="I98" i="11"/>
  <c r="H98" i="11"/>
  <c r="G98" i="11"/>
  <c r="F98" i="11"/>
  <c r="E98" i="11"/>
  <c r="D98" i="11"/>
  <c r="C98" i="11"/>
  <c r="B98" i="11"/>
  <c r="I97" i="11"/>
  <c r="H97" i="11"/>
  <c r="G97" i="11"/>
  <c r="F97" i="11"/>
  <c r="E97" i="11"/>
  <c r="D97" i="11"/>
  <c r="C97" i="11"/>
  <c r="B97" i="11"/>
  <c r="I96" i="11"/>
  <c r="H96" i="11"/>
  <c r="G96" i="11"/>
  <c r="F96" i="11"/>
  <c r="E96" i="11"/>
  <c r="D96" i="11"/>
  <c r="C96" i="11"/>
  <c r="B96" i="11"/>
  <c r="I95" i="11"/>
  <c r="H95" i="11"/>
  <c r="G95" i="11"/>
  <c r="F95" i="11"/>
  <c r="E95" i="11"/>
  <c r="D95" i="11"/>
  <c r="C95" i="11"/>
  <c r="B95" i="11"/>
  <c r="I94" i="11"/>
  <c r="H94" i="11"/>
  <c r="G94" i="11"/>
  <c r="F94" i="11"/>
  <c r="E94" i="11"/>
  <c r="D94" i="11"/>
  <c r="C94" i="11"/>
  <c r="B94" i="11"/>
  <c r="I93" i="11"/>
  <c r="H93" i="11"/>
  <c r="G93" i="11"/>
  <c r="F93" i="11"/>
  <c r="E93" i="11"/>
  <c r="D93" i="11"/>
  <c r="C93" i="11"/>
  <c r="B93" i="11"/>
  <c r="I92" i="11"/>
  <c r="H92" i="11"/>
  <c r="G92" i="11"/>
  <c r="F92" i="11"/>
  <c r="E92" i="11"/>
  <c r="D92" i="11"/>
  <c r="C92" i="11"/>
  <c r="B92" i="11"/>
  <c r="I91" i="11"/>
  <c r="H91" i="11"/>
  <c r="G91" i="11"/>
  <c r="F91" i="11"/>
  <c r="E91" i="11"/>
  <c r="D91" i="11"/>
  <c r="C91" i="11"/>
  <c r="B91" i="11"/>
  <c r="I90" i="11"/>
  <c r="H90" i="11"/>
  <c r="G90" i="11"/>
  <c r="F90" i="11"/>
  <c r="E90" i="11"/>
  <c r="D90" i="11"/>
  <c r="C90" i="11"/>
  <c r="B90" i="11"/>
  <c r="I89" i="11"/>
  <c r="H89" i="11"/>
  <c r="G89" i="11"/>
  <c r="F89" i="11"/>
  <c r="E89" i="11"/>
  <c r="D89" i="11"/>
  <c r="C89" i="11"/>
  <c r="B89" i="11"/>
  <c r="I88" i="11"/>
  <c r="H88" i="11"/>
  <c r="G88" i="11"/>
  <c r="F88" i="11"/>
  <c r="E88" i="11"/>
  <c r="D88" i="11"/>
  <c r="C88" i="11"/>
  <c r="B88" i="11"/>
  <c r="I87" i="11"/>
  <c r="H87" i="11"/>
  <c r="G87" i="11"/>
  <c r="F87" i="11"/>
  <c r="E87" i="11"/>
  <c r="D87" i="11"/>
  <c r="C87" i="11"/>
  <c r="B87" i="11"/>
  <c r="I86" i="11"/>
  <c r="H86" i="11"/>
  <c r="G86" i="11"/>
  <c r="F86" i="11"/>
  <c r="E86" i="11"/>
  <c r="D86" i="11"/>
  <c r="C86" i="11"/>
  <c r="B86" i="11"/>
  <c r="I85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I73" i="11"/>
  <c r="H73" i="11"/>
  <c r="G73" i="11"/>
  <c r="F73" i="11"/>
  <c r="E73" i="11"/>
  <c r="D73" i="11"/>
  <c r="C73" i="11"/>
  <c r="B73" i="11"/>
  <c r="I72" i="11"/>
  <c r="H72" i="11"/>
  <c r="G72" i="11"/>
  <c r="F72" i="11"/>
  <c r="E72" i="11"/>
  <c r="D72" i="11"/>
  <c r="C72" i="11"/>
  <c r="B72" i="11"/>
  <c r="I71" i="11"/>
  <c r="H71" i="11"/>
  <c r="G71" i="11"/>
  <c r="F71" i="11"/>
  <c r="E71" i="11"/>
  <c r="D71" i="11"/>
  <c r="C71" i="11"/>
  <c r="B71" i="11"/>
  <c r="I70" i="11"/>
  <c r="H70" i="11"/>
  <c r="G70" i="11"/>
  <c r="F70" i="11"/>
  <c r="E70" i="11"/>
  <c r="D70" i="11"/>
  <c r="C70" i="11"/>
  <c r="B70" i="11"/>
  <c r="I69" i="11"/>
  <c r="H69" i="11"/>
  <c r="G69" i="11"/>
  <c r="F69" i="11"/>
  <c r="E69" i="11"/>
  <c r="D69" i="11"/>
  <c r="C69" i="11"/>
  <c r="B69" i="11"/>
  <c r="I68" i="11"/>
  <c r="H68" i="11"/>
  <c r="G68" i="11"/>
  <c r="F68" i="11"/>
  <c r="E68" i="11"/>
  <c r="D68" i="11"/>
  <c r="C68" i="11"/>
  <c r="B68" i="11"/>
  <c r="I67" i="11"/>
  <c r="H67" i="11"/>
  <c r="G67" i="11"/>
  <c r="F67" i="11"/>
  <c r="E67" i="11"/>
  <c r="D67" i="11"/>
  <c r="C67" i="11"/>
  <c r="B67" i="11"/>
  <c r="I66" i="11"/>
  <c r="H66" i="11"/>
  <c r="G66" i="11"/>
  <c r="F66" i="11"/>
  <c r="E66" i="11"/>
  <c r="D66" i="11"/>
  <c r="C66" i="11"/>
  <c r="B66" i="11"/>
  <c r="I65" i="11"/>
  <c r="H65" i="11"/>
  <c r="G65" i="11"/>
  <c r="F65" i="11"/>
  <c r="E65" i="11"/>
  <c r="D65" i="11"/>
  <c r="C65" i="11"/>
  <c r="B65" i="11"/>
  <c r="I64" i="11"/>
  <c r="H64" i="11"/>
  <c r="G64" i="11"/>
  <c r="F64" i="11"/>
  <c r="E64" i="11"/>
  <c r="D64" i="11"/>
  <c r="C64" i="11"/>
  <c r="B64" i="11"/>
  <c r="I63" i="11"/>
  <c r="H63" i="11"/>
  <c r="G63" i="11"/>
  <c r="F63" i="11"/>
  <c r="E63" i="11"/>
  <c r="D63" i="11"/>
  <c r="C63" i="11"/>
  <c r="B63" i="11"/>
  <c r="I62" i="11"/>
  <c r="H62" i="11"/>
  <c r="G62" i="11"/>
  <c r="F62" i="11"/>
  <c r="E62" i="11"/>
  <c r="D62" i="11"/>
  <c r="C62" i="11"/>
  <c r="B62" i="11"/>
  <c r="I61" i="11"/>
  <c r="H61" i="11"/>
  <c r="G61" i="11"/>
  <c r="F61" i="11"/>
  <c r="E61" i="11"/>
  <c r="D61" i="11"/>
  <c r="C61" i="11"/>
  <c r="B61" i="11"/>
  <c r="I60" i="11"/>
  <c r="H60" i="11"/>
  <c r="G60" i="11"/>
  <c r="F60" i="11"/>
  <c r="E60" i="11"/>
  <c r="D60" i="11"/>
  <c r="C60" i="11"/>
  <c r="B60" i="11"/>
  <c r="I59" i="11"/>
  <c r="H59" i="11"/>
  <c r="G59" i="11"/>
  <c r="F59" i="11"/>
  <c r="E59" i="11"/>
  <c r="D59" i="11"/>
  <c r="C59" i="11"/>
  <c r="B59" i="11"/>
  <c r="I58" i="11"/>
  <c r="H58" i="11"/>
  <c r="G58" i="11"/>
  <c r="F58" i="11"/>
  <c r="E58" i="11"/>
  <c r="D58" i="11"/>
  <c r="C58" i="11"/>
  <c r="B58" i="11"/>
  <c r="I57" i="11"/>
  <c r="H57" i="11"/>
  <c r="G57" i="11"/>
  <c r="F57" i="11"/>
  <c r="E57" i="11"/>
  <c r="D57" i="11"/>
  <c r="C57" i="11"/>
  <c r="B57" i="11"/>
  <c r="I56" i="11"/>
  <c r="H56" i="11"/>
  <c r="G56" i="11"/>
  <c r="F56" i="11"/>
  <c r="E56" i="11"/>
  <c r="D56" i="11"/>
  <c r="C56" i="11"/>
  <c r="B56" i="11"/>
  <c r="I55" i="11"/>
  <c r="H55" i="11"/>
  <c r="G55" i="11"/>
  <c r="F55" i="11"/>
  <c r="E55" i="11"/>
  <c r="D55" i="11"/>
  <c r="C55" i="11"/>
  <c r="B55" i="11"/>
  <c r="I54" i="11"/>
  <c r="H54" i="11"/>
  <c r="G54" i="11"/>
  <c r="F54" i="11"/>
  <c r="E54" i="11"/>
  <c r="D54" i="11"/>
  <c r="C54" i="11"/>
  <c r="B54" i="11"/>
  <c r="I53" i="11"/>
  <c r="H53" i="11"/>
  <c r="G53" i="11"/>
  <c r="F53" i="11"/>
  <c r="E53" i="11"/>
  <c r="D53" i="11"/>
  <c r="C53" i="11"/>
  <c r="B53" i="11"/>
  <c r="I52" i="11"/>
  <c r="H52" i="11"/>
  <c r="G52" i="11"/>
  <c r="F52" i="11"/>
  <c r="E52" i="11"/>
  <c r="D52" i="11"/>
  <c r="C52" i="11"/>
  <c r="B52" i="11"/>
  <c r="I51" i="11"/>
  <c r="H51" i="11"/>
  <c r="G51" i="11"/>
  <c r="F51" i="11"/>
  <c r="E51" i="11"/>
  <c r="D51" i="11"/>
  <c r="C51" i="11"/>
  <c r="B51" i="11"/>
  <c r="I50" i="11"/>
  <c r="H50" i="11"/>
  <c r="G50" i="11"/>
  <c r="F50" i="11"/>
  <c r="E50" i="11"/>
  <c r="D50" i="11"/>
  <c r="C50" i="11"/>
  <c r="B50" i="11"/>
  <c r="I49" i="11"/>
  <c r="H49" i="11"/>
  <c r="G49" i="11"/>
  <c r="F49" i="11"/>
  <c r="E49" i="11"/>
  <c r="D49" i="11"/>
  <c r="C49" i="11"/>
  <c r="B49" i="11"/>
  <c r="I48" i="11"/>
  <c r="H48" i="11"/>
  <c r="G48" i="11"/>
  <c r="F48" i="11"/>
  <c r="E48" i="11"/>
  <c r="D48" i="11"/>
  <c r="C48" i="11"/>
  <c r="B48" i="11"/>
  <c r="I47" i="11"/>
  <c r="H47" i="11"/>
  <c r="G47" i="11"/>
  <c r="F47" i="11"/>
  <c r="E47" i="11"/>
  <c r="D47" i="11"/>
  <c r="C47" i="11"/>
  <c r="B47" i="11"/>
  <c r="I46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I37" i="11"/>
  <c r="H37" i="11"/>
  <c r="G37" i="11"/>
  <c r="F37" i="11"/>
  <c r="E37" i="11"/>
  <c r="D37" i="11"/>
  <c r="C37" i="11"/>
  <c r="B37" i="11"/>
  <c r="I36" i="11"/>
  <c r="H36" i="11"/>
  <c r="G36" i="11"/>
  <c r="F36" i="11"/>
  <c r="E36" i="11"/>
  <c r="D36" i="11"/>
  <c r="C36" i="11"/>
  <c r="B36" i="11"/>
  <c r="I35" i="11"/>
  <c r="H35" i="11"/>
  <c r="G35" i="11"/>
  <c r="F35" i="11"/>
  <c r="E35" i="11"/>
  <c r="D35" i="11"/>
  <c r="C35" i="11"/>
  <c r="B35" i="11"/>
  <c r="I34" i="11"/>
  <c r="H34" i="11"/>
  <c r="G34" i="11"/>
  <c r="F34" i="11"/>
  <c r="E34" i="11"/>
  <c r="D34" i="11"/>
  <c r="C34" i="11"/>
  <c r="B34" i="11"/>
  <c r="I33" i="11"/>
  <c r="H33" i="11"/>
  <c r="G33" i="11"/>
  <c r="F33" i="11"/>
  <c r="E33" i="11"/>
  <c r="D33" i="11"/>
  <c r="C33" i="11"/>
  <c r="B33" i="11"/>
  <c r="I32" i="11"/>
  <c r="H32" i="11"/>
  <c r="G32" i="11"/>
  <c r="F32" i="11"/>
  <c r="E32" i="11"/>
  <c r="D32" i="11"/>
  <c r="C32" i="11"/>
  <c r="B32" i="11"/>
  <c r="I31" i="11"/>
  <c r="H31" i="11"/>
  <c r="G31" i="11"/>
  <c r="F31" i="11"/>
  <c r="E31" i="11"/>
  <c r="D31" i="11"/>
  <c r="C31" i="11"/>
  <c r="B31" i="11"/>
  <c r="I30" i="11"/>
  <c r="H30" i="11"/>
  <c r="G30" i="11"/>
  <c r="F30" i="11"/>
  <c r="E30" i="11"/>
  <c r="D30" i="11"/>
  <c r="C30" i="11"/>
  <c r="B30" i="11"/>
  <c r="I29" i="11"/>
  <c r="H29" i="11"/>
  <c r="G29" i="11"/>
  <c r="F29" i="11"/>
  <c r="E29" i="11"/>
  <c r="D29" i="11"/>
  <c r="C29" i="11"/>
  <c r="B29" i="11"/>
  <c r="I28" i="11"/>
  <c r="H28" i="11"/>
  <c r="G28" i="11"/>
  <c r="F28" i="11"/>
  <c r="E28" i="11"/>
  <c r="D28" i="11"/>
  <c r="C28" i="11"/>
  <c r="B28" i="11"/>
  <c r="I27" i="11"/>
  <c r="H27" i="11"/>
  <c r="G27" i="11"/>
  <c r="F27" i="11"/>
  <c r="E27" i="11"/>
  <c r="D27" i="11"/>
  <c r="C27" i="11"/>
  <c r="B27" i="11"/>
  <c r="I26" i="11"/>
  <c r="H26" i="11"/>
  <c r="G26" i="11"/>
  <c r="F26" i="11"/>
  <c r="E26" i="11"/>
  <c r="D26" i="11"/>
  <c r="C26" i="11"/>
  <c r="B26" i="11"/>
  <c r="I25" i="11"/>
  <c r="H25" i="11"/>
  <c r="G25" i="11"/>
  <c r="F25" i="11"/>
  <c r="E25" i="11"/>
  <c r="D25" i="11"/>
  <c r="C25" i="11"/>
  <c r="B25" i="11"/>
  <c r="I24" i="11"/>
  <c r="H24" i="11"/>
  <c r="G24" i="11"/>
  <c r="F24" i="11"/>
  <c r="E24" i="11"/>
  <c r="D24" i="11"/>
  <c r="C24" i="11"/>
  <c r="B24" i="11"/>
  <c r="I23" i="11"/>
  <c r="H23" i="11"/>
  <c r="G23" i="11"/>
  <c r="F23" i="11"/>
  <c r="E23" i="11"/>
  <c r="D23" i="11"/>
  <c r="C23" i="11"/>
  <c r="B23" i="11"/>
  <c r="I22" i="11"/>
  <c r="H22" i="11"/>
  <c r="G22" i="11"/>
  <c r="F22" i="11"/>
  <c r="E22" i="11"/>
  <c r="D22" i="11"/>
  <c r="C22" i="11"/>
  <c r="B22" i="11"/>
  <c r="I21" i="11"/>
  <c r="H21" i="11"/>
  <c r="G21" i="11"/>
  <c r="F21" i="11"/>
  <c r="E21" i="11"/>
  <c r="D21" i="11"/>
  <c r="C21" i="11"/>
  <c r="B21" i="11"/>
  <c r="I20" i="11"/>
  <c r="H20" i="11"/>
  <c r="G20" i="11"/>
  <c r="F20" i="11"/>
  <c r="E20" i="11"/>
  <c r="D20" i="11"/>
  <c r="C20" i="11"/>
  <c r="B20" i="11"/>
  <c r="I19" i="11"/>
  <c r="H19" i="11"/>
  <c r="G19" i="11"/>
  <c r="F19" i="11"/>
  <c r="E19" i="11"/>
  <c r="D19" i="11"/>
  <c r="C19" i="11"/>
  <c r="B19" i="11"/>
  <c r="I18" i="11"/>
  <c r="H18" i="11"/>
  <c r="G18" i="11"/>
  <c r="F18" i="11"/>
  <c r="E18" i="11"/>
  <c r="D18" i="11"/>
  <c r="C18" i="11"/>
  <c r="B18" i="11"/>
  <c r="I17" i="11"/>
  <c r="H17" i="11"/>
  <c r="G17" i="11"/>
  <c r="F17" i="11"/>
  <c r="E17" i="11"/>
  <c r="D17" i="11"/>
  <c r="C17" i="11"/>
  <c r="B17" i="11"/>
  <c r="I16" i="11"/>
  <c r="H16" i="11"/>
  <c r="G16" i="11"/>
  <c r="F16" i="11"/>
  <c r="E16" i="11"/>
  <c r="D16" i="11"/>
  <c r="C16" i="11"/>
  <c r="B16" i="11"/>
  <c r="I15" i="11"/>
  <c r="H15" i="11"/>
  <c r="G15" i="11"/>
  <c r="F15" i="11"/>
  <c r="E15" i="11"/>
  <c r="D15" i="11"/>
  <c r="C15" i="11"/>
  <c r="B15" i="11"/>
  <c r="I14" i="11"/>
  <c r="H14" i="11"/>
  <c r="G14" i="11"/>
  <c r="F14" i="11"/>
  <c r="E14" i="11"/>
  <c r="D14" i="11"/>
  <c r="C14" i="11"/>
  <c r="B14" i="11"/>
  <c r="I13" i="11"/>
  <c r="H13" i="11"/>
  <c r="G13" i="11"/>
  <c r="F13" i="11"/>
  <c r="E13" i="11"/>
  <c r="D13" i="11"/>
  <c r="C13" i="11"/>
  <c r="B13" i="11"/>
  <c r="I12" i="11"/>
  <c r="H12" i="11"/>
  <c r="G12" i="11"/>
  <c r="F12" i="11"/>
  <c r="E12" i="11"/>
  <c r="D12" i="11"/>
  <c r="C12" i="11"/>
  <c r="B12" i="11"/>
  <c r="I11" i="11"/>
  <c r="H11" i="11"/>
  <c r="G11" i="11"/>
  <c r="F11" i="11"/>
  <c r="E11" i="11"/>
  <c r="D11" i="11"/>
  <c r="C11" i="11"/>
  <c r="B11" i="11"/>
  <c r="I10" i="11"/>
  <c r="H10" i="11"/>
  <c r="G10" i="11"/>
  <c r="F10" i="11"/>
  <c r="E10" i="11"/>
  <c r="D10" i="11"/>
  <c r="C10" i="11"/>
  <c r="B10" i="11"/>
  <c r="I9" i="11"/>
  <c r="H9" i="11"/>
  <c r="G9" i="11"/>
  <c r="F9" i="11"/>
  <c r="E9" i="11"/>
  <c r="D9" i="11"/>
  <c r="C9" i="11"/>
  <c r="B9" i="11"/>
  <c r="I8" i="11"/>
  <c r="H8" i="11"/>
  <c r="G8" i="11"/>
  <c r="F8" i="11"/>
  <c r="E8" i="11"/>
  <c r="D8" i="11"/>
  <c r="C8" i="11"/>
  <c r="B8" i="11"/>
  <c r="I7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I466" i="10"/>
  <c r="H466" i="10"/>
  <c r="G466" i="10"/>
  <c r="F466" i="10"/>
  <c r="E466" i="10"/>
  <c r="D466" i="10"/>
  <c r="C466" i="10"/>
  <c r="B466" i="10"/>
  <c r="I465" i="10"/>
  <c r="H465" i="10"/>
  <c r="G465" i="10"/>
  <c r="F465" i="10"/>
  <c r="E465" i="10"/>
  <c r="D465" i="10"/>
  <c r="C465" i="10"/>
  <c r="B465" i="10"/>
  <c r="I464" i="10"/>
  <c r="H464" i="10"/>
  <c r="G464" i="10"/>
  <c r="F464" i="10"/>
  <c r="E464" i="10"/>
  <c r="D464" i="10"/>
  <c r="C464" i="10"/>
  <c r="B464" i="10"/>
  <c r="I463" i="10"/>
  <c r="H463" i="10"/>
  <c r="G463" i="10"/>
  <c r="F463" i="10"/>
  <c r="E463" i="10"/>
  <c r="D463" i="10"/>
  <c r="C463" i="10"/>
  <c r="B463" i="10"/>
  <c r="I462" i="10"/>
  <c r="H462" i="10"/>
  <c r="G462" i="10"/>
  <c r="F462" i="10"/>
  <c r="E462" i="10"/>
  <c r="D462" i="10"/>
  <c r="C462" i="10"/>
  <c r="B462" i="10"/>
  <c r="I461" i="10"/>
  <c r="H461" i="10"/>
  <c r="G461" i="10"/>
  <c r="F461" i="10"/>
  <c r="E461" i="10"/>
  <c r="D461" i="10"/>
  <c r="C461" i="10"/>
  <c r="B461" i="10"/>
  <c r="I460" i="10"/>
  <c r="H460" i="10"/>
  <c r="G460" i="10"/>
  <c r="F460" i="10"/>
  <c r="E460" i="10"/>
  <c r="D460" i="10"/>
  <c r="C460" i="10"/>
  <c r="B460" i="10"/>
  <c r="I459" i="10"/>
  <c r="H459" i="10"/>
  <c r="G459" i="10"/>
  <c r="F459" i="10"/>
  <c r="E459" i="10"/>
  <c r="D459" i="10"/>
  <c r="C459" i="10"/>
  <c r="B459" i="10"/>
  <c r="I458" i="10"/>
  <c r="H458" i="10"/>
  <c r="G458" i="10"/>
  <c r="F458" i="10"/>
  <c r="E458" i="10"/>
  <c r="D458" i="10"/>
  <c r="C458" i="10"/>
  <c r="B458" i="10"/>
  <c r="I457" i="10"/>
  <c r="H457" i="10"/>
  <c r="G457" i="10"/>
  <c r="F457" i="10"/>
  <c r="E457" i="10"/>
  <c r="D457" i="10"/>
  <c r="C457" i="10"/>
  <c r="B457" i="10"/>
  <c r="I456" i="10"/>
  <c r="H456" i="10"/>
  <c r="G456" i="10"/>
  <c r="F456" i="10"/>
  <c r="E456" i="10"/>
  <c r="D456" i="10"/>
  <c r="C456" i="10"/>
  <c r="B456" i="10"/>
  <c r="I455" i="10"/>
  <c r="H455" i="10"/>
  <c r="G455" i="10"/>
  <c r="F455" i="10"/>
  <c r="E455" i="10"/>
  <c r="D455" i="10"/>
  <c r="C455" i="10"/>
  <c r="B455" i="10"/>
  <c r="I454" i="10"/>
  <c r="H454" i="10"/>
  <c r="G454" i="10"/>
  <c r="F454" i="10"/>
  <c r="E454" i="10"/>
  <c r="D454" i="10"/>
  <c r="C454" i="10"/>
  <c r="B454" i="10"/>
  <c r="I453" i="10"/>
  <c r="H453" i="10"/>
  <c r="G453" i="10"/>
  <c r="F453" i="10"/>
  <c r="E453" i="10"/>
  <c r="D453" i="10"/>
  <c r="C453" i="10"/>
  <c r="B453" i="10"/>
  <c r="I452" i="10"/>
  <c r="H452" i="10"/>
  <c r="G452" i="10"/>
  <c r="F452" i="10"/>
  <c r="E452" i="10"/>
  <c r="D452" i="10"/>
  <c r="C452" i="10"/>
  <c r="B452" i="10"/>
  <c r="I451" i="10"/>
  <c r="H451" i="10"/>
  <c r="G451" i="10"/>
  <c r="F451" i="10"/>
  <c r="E451" i="10"/>
  <c r="D451" i="10"/>
  <c r="C451" i="10"/>
  <c r="B451" i="10"/>
  <c r="I450" i="10"/>
  <c r="H450" i="10"/>
  <c r="G450" i="10"/>
  <c r="F450" i="10"/>
  <c r="E450" i="10"/>
  <c r="D450" i="10"/>
  <c r="C450" i="10"/>
  <c r="B450" i="10"/>
  <c r="I449" i="10"/>
  <c r="H449" i="10"/>
  <c r="G449" i="10"/>
  <c r="F449" i="10"/>
  <c r="E449" i="10"/>
  <c r="D449" i="10"/>
  <c r="C449" i="10"/>
  <c r="B449" i="10"/>
  <c r="I448" i="10"/>
  <c r="H448" i="10"/>
  <c r="G448" i="10"/>
  <c r="F448" i="10"/>
  <c r="E448" i="10"/>
  <c r="D448" i="10"/>
  <c r="C448" i="10"/>
  <c r="B448" i="10"/>
  <c r="I447" i="10"/>
  <c r="H447" i="10"/>
  <c r="G447" i="10"/>
  <c r="F447" i="10"/>
  <c r="E447" i="10"/>
  <c r="D447" i="10"/>
  <c r="C447" i="10"/>
  <c r="B447" i="10"/>
  <c r="I446" i="10"/>
  <c r="H446" i="10"/>
  <c r="G446" i="10"/>
  <c r="F446" i="10"/>
  <c r="E446" i="10"/>
  <c r="D446" i="10"/>
  <c r="C446" i="10"/>
  <c r="B446" i="10"/>
  <c r="I445" i="10"/>
  <c r="H445" i="10"/>
  <c r="G445" i="10"/>
  <c r="F445" i="10"/>
  <c r="E445" i="10"/>
  <c r="D445" i="10"/>
  <c r="C445" i="10"/>
  <c r="B445" i="10"/>
  <c r="I444" i="10"/>
  <c r="H444" i="10"/>
  <c r="G444" i="10"/>
  <c r="F444" i="10"/>
  <c r="E444" i="10"/>
  <c r="D444" i="10"/>
  <c r="C444" i="10"/>
  <c r="B444" i="10"/>
  <c r="I443" i="10"/>
  <c r="H443" i="10"/>
  <c r="G443" i="10"/>
  <c r="F443" i="10"/>
  <c r="E443" i="10"/>
  <c r="D443" i="10"/>
  <c r="C443" i="10"/>
  <c r="B443" i="10"/>
  <c r="I442" i="10"/>
  <c r="H442" i="10"/>
  <c r="G442" i="10"/>
  <c r="F442" i="10"/>
  <c r="E442" i="10"/>
  <c r="D442" i="10"/>
  <c r="C442" i="10"/>
  <c r="B442" i="10"/>
  <c r="I441" i="10"/>
  <c r="H441" i="10"/>
  <c r="G441" i="10"/>
  <c r="F441" i="10"/>
  <c r="E441" i="10"/>
  <c r="D441" i="10"/>
  <c r="C441" i="10"/>
  <c r="B441" i="10"/>
  <c r="I440" i="10"/>
  <c r="H440" i="10"/>
  <c r="G440" i="10"/>
  <c r="F440" i="10"/>
  <c r="E440" i="10"/>
  <c r="D440" i="10"/>
  <c r="C440" i="10"/>
  <c r="B440" i="10"/>
  <c r="I439" i="10"/>
  <c r="H439" i="10"/>
  <c r="G439" i="10"/>
  <c r="F439" i="10"/>
  <c r="E439" i="10"/>
  <c r="D439" i="10"/>
  <c r="C439" i="10"/>
  <c r="B439" i="10"/>
  <c r="I438" i="10"/>
  <c r="H438" i="10"/>
  <c r="G438" i="10"/>
  <c r="F438" i="10"/>
  <c r="E438" i="10"/>
  <c r="D438" i="10"/>
  <c r="C438" i="10"/>
  <c r="B438" i="10"/>
  <c r="I437" i="10"/>
  <c r="H437" i="10"/>
  <c r="G437" i="10"/>
  <c r="F437" i="10"/>
  <c r="E437" i="10"/>
  <c r="D437" i="10"/>
  <c r="C437" i="10"/>
  <c r="B437" i="10"/>
  <c r="I436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I426" i="10"/>
  <c r="H426" i="10"/>
  <c r="G426" i="10"/>
  <c r="F426" i="10"/>
  <c r="E426" i="10"/>
  <c r="D426" i="10"/>
  <c r="C426" i="10"/>
  <c r="B426" i="10"/>
  <c r="I425" i="10"/>
  <c r="H425" i="10"/>
  <c r="G425" i="10"/>
  <c r="F425" i="10"/>
  <c r="E425" i="10"/>
  <c r="D425" i="10"/>
  <c r="C425" i="10"/>
  <c r="B425" i="10"/>
  <c r="I424" i="10"/>
  <c r="H424" i="10"/>
  <c r="G424" i="10"/>
  <c r="F424" i="10"/>
  <c r="E424" i="10"/>
  <c r="D424" i="10"/>
  <c r="C424" i="10"/>
  <c r="B424" i="10"/>
  <c r="I423" i="10"/>
  <c r="H423" i="10"/>
  <c r="G423" i="10"/>
  <c r="F423" i="10"/>
  <c r="E423" i="10"/>
  <c r="D423" i="10"/>
  <c r="C423" i="10"/>
  <c r="B423" i="10"/>
  <c r="I422" i="10"/>
  <c r="H422" i="10"/>
  <c r="G422" i="10"/>
  <c r="F422" i="10"/>
  <c r="E422" i="10"/>
  <c r="D422" i="10"/>
  <c r="C422" i="10"/>
  <c r="B422" i="10"/>
  <c r="I421" i="10"/>
  <c r="H421" i="10"/>
  <c r="G421" i="10"/>
  <c r="F421" i="10"/>
  <c r="E421" i="10"/>
  <c r="D421" i="10"/>
  <c r="C421" i="10"/>
  <c r="B421" i="10"/>
  <c r="I420" i="10"/>
  <c r="H420" i="10"/>
  <c r="G420" i="10"/>
  <c r="F420" i="10"/>
  <c r="E420" i="10"/>
  <c r="D420" i="10"/>
  <c r="C420" i="10"/>
  <c r="B420" i="10"/>
  <c r="I419" i="10"/>
  <c r="H419" i="10"/>
  <c r="G419" i="10"/>
  <c r="F419" i="10"/>
  <c r="E419" i="10"/>
  <c r="D419" i="10"/>
  <c r="C419" i="10"/>
  <c r="B419" i="10"/>
  <c r="I418" i="10"/>
  <c r="H418" i="10"/>
  <c r="G418" i="10"/>
  <c r="F418" i="10"/>
  <c r="E418" i="10"/>
  <c r="D418" i="10"/>
  <c r="C418" i="10"/>
  <c r="B418" i="10"/>
  <c r="I417" i="10"/>
  <c r="H417" i="10"/>
  <c r="G417" i="10"/>
  <c r="F417" i="10"/>
  <c r="E417" i="10"/>
  <c r="D417" i="10"/>
  <c r="C417" i="10"/>
  <c r="B417" i="10"/>
  <c r="I416" i="10"/>
  <c r="H416" i="10"/>
  <c r="G416" i="10"/>
  <c r="F416" i="10"/>
  <c r="E416" i="10"/>
  <c r="D416" i="10"/>
  <c r="C416" i="10"/>
  <c r="B416" i="10"/>
  <c r="I415" i="10"/>
  <c r="H415" i="10"/>
  <c r="G415" i="10"/>
  <c r="F415" i="10"/>
  <c r="E415" i="10"/>
  <c r="D415" i="10"/>
  <c r="C415" i="10"/>
  <c r="B415" i="10"/>
  <c r="I414" i="10"/>
  <c r="H414" i="10"/>
  <c r="G414" i="10"/>
  <c r="F414" i="10"/>
  <c r="E414" i="10"/>
  <c r="D414" i="10"/>
  <c r="C414" i="10"/>
  <c r="B414" i="10"/>
  <c r="I413" i="10"/>
  <c r="H413" i="10"/>
  <c r="G413" i="10"/>
  <c r="F413" i="10"/>
  <c r="E413" i="10"/>
  <c r="D413" i="10"/>
  <c r="C413" i="10"/>
  <c r="B413" i="10"/>
  <c r="I412" i="10"/>
  <c r="H412" i="10"/>
  <c r="G412" i="10"/>
  <c r="F412" i="10"/>
  <c r="E412" i="10"/>
  <c r="D412" i="10"/>
  <c r="C412" i="10"/>
  <c r="B412" i="10"/>
  <c r="I411" i="10"/>
  <c r="H411" i="10"/>
  <c r="G411" i="10"/>
  <c r="F411" i="10"/>
  <c r="E411" i="10"/>
  <c r="D411" i="10"/>
  <c r="C411" i="10"/>
  <c r="B411" i="10"/>
  <c r="I410" i="10"/>
  <c r="H410" i="10"/>
  <c r="G410" i="10"/>
  <c r="F410" i="10"/>
  <c r="E410" i="10"/>
  <c r="D410" i="10"/>
  <c r="C410" i="10"/>
  <c r="B410" i="10"/>
  <c r="I409" i="10"/>
  <c r="H409" i="10"/>
  <c r="G409" i="10"/>
  <c r="F409" i="10"/>
  <c r="E409" i="10"/>
  <c r="D409" i="10"/>
  <c r="C409" i="10"/>
  <c r="B409" i="10"/>
  <c r="I408" i="10"/>
  <c r="H408" i="10"/>
  <c r="G408" i="10"/>
  <c r="F408" i="10"/>
  <c r="E408" i="10"/>
  <c r="D408" i="10"/>
  <c r="C408" i="10"/>
  <c r="B408" i="10"/>
  <c r="I407" i="10"/>
  <c r="H407" i="10"/>
  <c r="G407" i="10"/>
  <c r="F407" i="10"/>
  <c r="E407" i="10"/>
  <c r="D407" i="10"/>
  <c r="C407" i="10"/>
  <c r="B407" i="10"/>
  <c r="I406" i="10"/>
  <c r="H406" i="10"/>
  <c r="G406" i="10"/>
  <c r="F406" i="10"/>
  <c r="E406" i="10"/>
  <c r="D406" i="10"/>
  <c r="C406" i="10"/>
  <c r="B406" i="10"/>
  <c r="I405" i="10"/>
  <c r="H405" i="10"/>
  <c r="G405" i="10"/>
  <c r="F405" i="10"/>
  <c r="E405" i="10"/>
  <c r="D405" i="10"/>
  <c r="C405" i="10"/>
  <c r="B405" i="10"/>
  <c r="I404" i="10"/>
  <c r="H404" i="10"/>
  <c r="G404" i="10"/>
  <c r="F404" i="10"/>
  <c r="E404" i="10"/>
  <c r="D404" i="10"/>
  <c r="C404" i="10"/>
  <c r="B404" i="10"/>
  <c r="I403" i="10"/>
  <c r="H403" i="10"/>
  <c r="G403" i="10"/>
  <c r="F403" i="10"/>
  <c r="E403" i="10"/>
  <c r="D403" i="10"/>
  <c r="C403" i="10"/>
  <c r="B403" i="10"/>
  <c r="I402" i="10"/>
  <c r="H402" i="10"/>
  <c r="G402" i="10"/>
  <c r="F402" i="10"/>
  <c r="E402" i="10"/>
  <c r="D402" i="10"/>
  <c r="C402" i="10"/>
  <c r="B402" i="10"/>
  <c r="I401" i="10"/>
  <c r="H401" i="10"/>
  <c r="G401" i="10"/>
  <c r="F401" i="10"/>
  <c r="E401" i="10"/>
  <c r="D401" i="10"/>
  <c r="C401" i="10"/>
  <c r="B401" i="10"/>
  <c r="I400" i="10"/>
  <c r="H400" i="10"/>
  <c r="G400" i="10"/>
  <c r="F400" i="10"/>
  <c r="E400" i="10"/>
  <c r="D400" i="10"/>
  <c r="C400" i="10"/>
  <c r="B400" i="10"/>
  <c r="I399" i="10"/>
  <c r="H399" i="10"/>
  <c r="G399" i="10"/>
  <c r="F399" i="10"/>
  <c r="E399" i="10"/>
  <c r="D399" i="10"/>
  <c r="C399" i="10"/>
  <c r="B399" i="10"/>
  <c r="I398" i="10"/>
  <c r="H398" i="10"/>
  <c r="G398" i="10"/>
  <c r="F398" i="10"/>
  <c r="E398" i="10"/>
  <c r="D398" i="10"/>
  <c r="C398" i="10"/>
  <c r="B398" i="10"/>
  <c r="I397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I388" i="10"/>
  <c r="H388" i="10"/>
  <c r="G388" i="10"/>
  <c r="F388" i="10"/>
  <c r="E388" i="10"/>
  <c r="D388" i="10"/>
  <c r="C388" i="10"/>
  <c r="B388" i="10"/>
  <c r="I387" i="10"/>
  <c r="H387" i="10"/>
  <c r="G387" i="10"/>
  <c r="F387" i="10"/>
  <c r="E387" i="10"/>
  <c r="D387" i="10"/>
  <c r="C387" i="10"/>
  <c r="B387" i="10"/>
  <c r="I386" i="10"/>
  <c r="H386" i="10"/>
  <c r="G386" i="10"/>
  <c r="F386" i="10"/>
  <c r="E386" i="10"/>
  <c r="D386" i="10"/>
  <c r="C386" i="10"/>
  <c r="B386" i="10"/>
  <c r="I385" i="10"/>
  <c r="H385" i="10"/>
  <c r="G385" i="10"/>
  <c r="F385" i="10"/>
  <c r="E385" i="10"/>
  <c r="D385" i="10"/>
  <c r="C385" i="10"/>
  <c r="B385" i="10"/>
  <c r="I384" i="10"/>
  <c r="H384" i="10"/>
  <c r="G384" i="10"/>
  <c r="F384" i="10"/>
  <c r="E384" i="10"/>
  <c r="D384" i="10"/>
  <c r="C384" i="10"/>
  <c r="B384" i="10"/>
  <c r="I383" i="10"/>
  <c r="H383" i="10"/>
  <c r="G383" i="10"/>
  <c r="F383" i="10"/>
  <c r="E383" i="10"/>
  <c r="D383" i="10"/>
  <c r="C383" i="10"/>
  <c r="B383" i="10"/>
  <c r="I382" i="10"/>
  <c r="H382" i="10"/>
  <c r="G382" i="10"/>
  <c r="F382" i="10"/>
  <c r="E382" i="10"/>
  <c r="D382" i="10"/>
  <c r="C382" i="10"/>
  <c r="B382" i="10"/>
  <c r="I381" i="10"/>
  <c r="H381" i="10"/>
  <c r="G381" i="10"/>
  <c r="F381" i="10"/>
  <c r="E381" i="10"/>
  <c r="D381" i="10"/>
  <c r="C381" i="10"/>
  <c r="B381" i="10"/>
  <c r="I380" i="10"/>
  <c r="H380" i="10"/>
  <c r="G380" i="10"/>
  <c r="F380" i="10"/>
  <c r="E380" i="10"/>
  <c r="D380" i="10"/>
  <c r="C380" i="10"/>
  <c r="B380" i="10"/>
  <c r="I379" i="10"/>
  <c r="H379" i="10"/>
  <c r="G379" i="10"/>
  <c r="F379" i="10"/>
  <c r="E379" i="10"/>
  <c r="D379" i="10"/>
  <c r="C379" i="10"/>
  <c r="B379" i="10"/>
  <c r="I378" i="10"/>
  <c r="H378" i="10"/>
  <c r="G378" i="10"/>
  <c r="F378" i="10"/>
  <c r="E378" i="10"/>
  <c r="D378" i="10"/>
  <c r="C378" i="10"/>
  <c r="B378" i="10"/>
  <c r="I377" i="10"/>
  <c r="H377" i="10"/>
  <c r="G377" i="10"/>
  <c r="F377" i="10"/>
  <c r="E377" i="10"/>
  <c r="D377" i="10"/>
  <c r="C377" i="10"/>
  <c r="B377" i="10"/>
  <c r="I376" i="10"/>
  <c r="H376" i="10"/>
  <c r="G376" i="10"/>
  <c r="F376" i="10"/>
  <c r="E376" i="10"/>
  <c r="D376" i="10"/>
  <c r="C376" i="10"/>
  <c r="B376" i="10"/>
  <c r="I375" i="10"/>
  <c r="H375" i="10"/>
  <c r="G375" i="10"/>
  <c r="F375" i="10"/>
  <c r="E375" i="10"/>
  <c r="D375" i="10"/>
  <c r="C375" i="10"/>
  <c r="B375" i="10"/>
  <c r="I374" i="10"/>
  <c r="H374" i="10"/>
  <c r="G374" i="10"/>
  <c r="F374" i="10"/>
  <c r="E374" i="10"/>
  <c r="D374" i="10"/>
  <c r="C374" i="10"/>
  <c r="B374" i="10"/>
  <c r="I373" i="10"/>
  <c r="H373" i="10"/>
  <c r="G373" i="10"/>
  <c r="F373" i="10"/>
  <c r="E373" i="10"/>
  <c r="D373" i="10"/>
  <c r="C373" i="10"/>
  <c r="B373" i="10"/>
  <c r="I372" i="10"/>
  <c r="H372" i="10"/>
  <c r="G372" i="10"/>
  <c r="F372" i="10"/>
  <c r="E372" i="10"/>
  <c r="D372" i="10"/>
  <c r="C372" i="10"/>
  <c r="B372" i="10"/>
  <c r="I371" i="10"/>
  <c r="H371" i="10"/>
  <c r="G371" i="10"/>
  <c r="F371" i="10"/>
  <c r="E371" i="10"/>
  <c r="D371" i="10"/>
  <c r="C371" i="10"/>
  <c r="B371" i="10"/>
  <c r="I370" i="10"/>
  <c r="H370" i="10"/>
  <c r="G370" i="10"/>
  <c r="F370" i="10"/>
  <c r="E370" i="10"/>
  <c r="D370" i="10"/>
  <c r="C370" i="10"/>
  <c r="B370" i="10"/>
  <c r="I369" i="10"/>
  <c r="H369" i="10"/>
  <c r="G369" i="10"/>
  <c r="F369" i="10"/>
  <c r="E369" i="10"/>
  <c r="D369" i="10"/>
  <c r="C369" i="10"/>
  <c r="B369" i="10"/>
  <c r="I368" i="10"/>
  <c r="H368" i="10"/>
  <c r="G368" i="10"/>
  <c r="F368" i="10"/>
  <c r="E368" i="10"/>
  <c r="D368" i="10"/>
  <c r="C368" i="10"/>
  <c r="B368" i="10"/>
  <c r="I367" i="10"/>
  <c r="H367" i="10"/>
  <c r="G367" i="10"/>
  <c r="F367" i="10"/>
  <c r="E367" i="10"/>
  <c r="D367" i="10"/>
  <c r="C367" i="10"/>
  <c r="B367" i="10"/>
  <c r="I366" i="10"/>
  <c r="H366" i="10"/>
  <c r="G366" i="10"/>
  <c r="F366" i="10"/>
  <c r="E366" i="10"/>
  <c r="D366" i="10"/>
  <c r="C366" i="10"/>
  <c r="B366" i="10"/>
  <c r="I365" i="10"/>
  <c r="H365" i="10"/>
  <c r="G365" i="10"/>
  <c r="F365" i="10"/>
  <c r="E365" i="10"/>
  <c r="D365" i="10"/>
  <c r="C365" i="10"/>
  <c r="B365" i="10"/>
  <c r="I364" i="10"/>
  <c r="H364" i="10"/>
  <c r="G364" i="10"/>
  <c r="F364" i="10"/>
  <c r="E364" i="10"/>
  <c r="D364" i="10"/>
  <c r="C364" i="10"/>
  <c r="B364" i="10"/>
  <c r="I363" i="10"/>
  <c r="H363" i="10"/>
  <c r="G363" i="10"/>
  <c r="F363" i="10"/>
  <c r="E363" i="10"/>
  <c r="D363" i="10"/>
  <c r="C363" i="10"/>
  <c r="B363" i="10"/>
  <c r="I362" i="10"/>
  <c r="H362" i="10"/>
  <c r="G362" i="10"/>
  <c r="F362" i="10"/>
  <c r="E362" i="10"/>
  <c r="D362" i="10"/>
  <c r="C362" i="10"/>
  <c r="B362" i="10"/>
  <c r="I361" i="10"/>
  <c r="H361" i="10"/>
  <c r="G361" i="10"/>
  <c r="F361" i="10"/>
  <c r="E361" i="10"/>
  <c r="D361" i="10"/>
  <c r="C361" i="10"/>
  <c r="B361" i="10"/>
  <c r="I360" i="10"/>
  <c r="H360" i="10"/>
  <c r="G360" i="10"/>
  <c r="F360" i="10"/>
  <c r="E360" i="10"/>
  <c r="D360" i="10"/>
  <c r="C360" i="10"/>
  <c r="B360" i="10"/>
  <c r="I359" i="10"/>
  <c r="H359" i="10"/>
  <c r="G359" i="10"/>
  <c r="F359" i="10"/>
  <c r="E359" i="10"/>
  <c r="D359" i="10"/>
  <c r="C359" i="10"/>
  <c r="B359" i="10"/>
  <c r="I358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I348" i="10"/>
  <c r="H348" i="10"/>
  <c r="G348" i="10"/>
  <c r="F348" i="10"/>
  <c r="E348" i="10"/>
  <c r="D348" i="10"/>
  <c r="C348" i="10"/>
  <c r="B348" i="10"/>
  <c r="I347" i="10"/>
  <c r="H347" i="10"/>
  <c r="G347" i="10"/>
  <c r="F347" i="10"/>
  <c r="E347" i="10"/>
  <c r="D347" i="10"/>
  <c r="C347" i="10"/>
  <c r="B347" i="10"/>
  <c r="I346" i="10"/>
  <c r="H346" i="10"/>
  <c r="G346" i="10"/>
  <c r="F346" i="10"/>
  <c r="E346" i="10"/>
  <c r="D346" i="10"/>
  <c r="C346" i="10"/>
  <c r="B346" i="10"/>
  <c r="I345" i="10"/>
  <c r="H345" i="10"/>
  <c r="G345" i="10"/>
  <c r="F345" i="10"/>
  <c r="E345" i="10"/>
  <c r="D345" i="10"/>
  <c r="C345" i="10"/>
  <c r="B345" i="10"/>
  <c r="I344" i="10"/>
  <c r="H344" i="10"/>
  <c r="G344" i="10"/>
  <c r="F344" i="10"/>
  <c r="E344" i="10"/>
  <c r="D344" i="10"/>
  <c r="C344" i="10"/>
  <c r="B344" i="10"/>
  <c r="I343" i="10"/>
  <c r="H343" i="10"/>
  <c r="G343" i="10"/>
  <c r="F343" i="10"/>
  <c r="E343" i="10"/>
  <c r="D343" i="10"/>
  <c r="C343" i="10"/>
  <c r="B343" i="10"/>
  <c r="I342" i="10"/>
  <c r="H342" i="10"/>
  <c r="G342" i="10"/>
  <c r="F342" i="10"/>
  <c r="E342" i="10"/>
  <c r="D342" i="10"/>
  <c r="C342" i="10"/>
  <c r="B342" i="10"/>
  <c r="I341" i="10"/>
  <c r="H341" i="10"/>
  <c r="G341" i="10"/>
  <c r="F341" i="10"/>
  <c r="E341" i="10"/>
  <c r="D341" i="10"/>
  <c r="C341" i="10"/>
  <c r="B341" i="10"/>
  <c r="I340" i="10"/>
  <c r="H340" i="10"/>
  <c r="G340" i="10"/>
  <c r="F340" i="10"/>
  <c r="E340" i="10"/>
  <c r="D340" i="10"/>
  <c r="C340" i="10"/>
  <c r="B340" i="10"/>
  <c r="I339" i="10"/>
  <c r="H339" i="10"/>
  <c r="G339" i="10"/>
  <c r="F339" i="10"/>
  <c r="E339" i="10"/>
  <c r="D339" i="10"/>
  <c r="C339" i="10"/>
  <c r="B339" i="10"/>
  <c r="I338" i="10"/>
  <c r="H338" i="10"/>
  <c r="G338" i="10"/>
  <c r="F338" i="10"/>
  <c r="E338" i="10"/>
  <c r="D338" i="10"/>
  <c r="C338" i="10"/>
  <c r="B338" i="10"/>
  <c r="I337" i="10"/>
  <c r="H337" i="10"/>
  <c r="G337" i="10"/>
  <c r="F337" i="10"/>
  <c r="E337" i="10"/>
  <c r="D337" i="10"/>
  <c r="C337" i="10"/>
  <c r="B337" i="10"/>
  <c r="I336" i="10"/>
  <c r="H336" i="10"/>
  <c r="G336" i="10"/>
  <c r="F336" i="10"/>
  <c r="E336" i="10"/>
  <c r="D336" i="10"/>
  <c r="C336" i="10"/>
  <c r="B336" i="10"/>
  <c r="I335" i="10"/>
  <c r="H335" i="10"/>
  <c r="G335" i="10"/>
  <c r="F335" i="10"/>
  <c r="E335" i="10"/>
  <c r="D335" i="10"/>
  <c r="C335" i="10"/>
  <c r="B335" i="10"/>
  <c r="I334" i="10"/>
  <c r="H334" i="10"/>
  <c r="G334" i="10"/>
  <c r="F334" i="10"/>
  <c r="E334" i="10"/>
  <c r="D334" i="10"/>
  <c r="C334" i="10"/>
  <c r="B334" i="10"/>
  <c r="I333" i="10"/>
  <c r="H333" i="10"/>
  <c r="G333" i="10"/>
  <c r="F333" i="10"/>
  <c r="E333" i="10"/>
  <c r="D333" i="10"/>
  <c r="C333" i="10"/>
  <c r="B333" i="10"/>
  <c r="I332" i="10"/>
  <c r="H332" i="10"/>
  <c r="G332" i="10"/>
  <c r="F332" i="10"/>
  <c r="E332" i="10"/>
  <c r="D332" i="10"/>
  <c r="C332" i="10"/>
  <c r="B332" i="10"/>
  <c r="I331" i="10"/>
  <c r="H331" i="10"/>
  <c r="G331" i="10"/>
  <c r="F331" i="10"/>
  <c r="E331" i="10"/>
  <c r="D331" i="10"/>
  <c r="C331" i="10"/>
  <c r="B331" i="10"/>
  <c r="I330" i="10"/>
  <c r="H330" i="10"/>
  <c r="G330" i="10"/>
  <c r="F330" i="10"/>
  <c r="E330" i="10"/>
  <c r="D330" i="10"/>
  <c r="C330" i="10"/>
  <c r="B330" i="10"/>
  <c r="I329" i="10"/>
  <c r="H329" i="10"/>
  <c r="G329" i="10"/>
  <c r="F329" i="10"/>
  <c r="E329" i="10"/>
  <c r="D329" i="10"/>
  <c r="C329" i="10"/>
  <c r="B329" i="10"/>
  <c r="I328" i="10"/>
  <c r="H328" i="10"/>
  <c r="G328" i="10"/>
  <c r="F328" i="10"/>
  <c r="E328" i="10"/>
  <c r="D328" i="10"/>
  <c r="C328" i="10"/>
  <c r="B328" i="10"/>
  <c r="I327" i="10"/>
  <c r="H327" i="10"/>
  <c r="G327" i="10"/>
  <c r="F327" i="10"/>
  <c r="E327" i="10"/>
  <c r="D327" i="10"/>
  <c r="C327" i="10"/>
  <c r="B327" i="10"/>
  <c r="I326" i="10"/>
  <c r="H326" i="10"/>
  <c r="G326" i="10"/>
  <c r="F326" i="10"/>
  <c r="E326" i="10"/>
  <c r="D326" i="10"/>
  <c r="C326" i="10"/>
  <c r="B326" i="10"/>
  <c r="I325" i="10"/>
  <c r="H325" i="10"/>
  <c r="G325" i="10"/>
  <c r="F325" i="10"/>
  <c r="E325" i="10"/>
  <c r="D325" i="10"/>
  <c r="C325" i="10"/>
  <c r="B325" i="10"/>
  <c r="I324" i="10"/>
  <c r="H324" i="10"/>
  <c r="G324" i="10"/>
  <c r="F324" i="10"/>
  <c r="E324" i="10"/>
  <c r="D324" i="10"/>
  <c r="C324" i="10"/>
  <c r="B324" i="10"/>
  <c r="I323" i="10"/>
  <c r="H323" i="10"/>
  <c r="G323" i="10"/>
  <c r="F323" i="10"/>
  <c r="E323" i="10"/>
  <c r="D323" i="10"/>
  <c r="C323" i="10"/>
  <c r="B323" i="10"/>
  <c r="I322" i="10"/>
  <c r="H322" i="10"/>
  <c r="G322" i="10"/>
  <c r="F322" i="10"/>
  <c r="E322" i="10"/>
  <c r="D322" i="10"/>
  <c r="C322" i="10"/>
  <c r="B322" i="10"/>
  <c r="I321" i="10"/>
  <c r="H321" i="10"/>
  <c r="G321" i="10"/>
  <c r="F321" i="10"/>
  <c r="E321" i="10"/>
  <c r="D321" i="10"/>
  <c r="C321" i="10"/>
  <c r="B321" i="10"/>
  <c r="I320" i="10"/>
  <c r="H320" i="10"/>
  <c r="G320" i="10"/>
  <c r="F320" i="10"/>
  <c r="E320" i="10"/>
  <c r="D320" i="10"/>
  <c r="C320" i="10"/>
  <c r="B320" i="10"/>
  <c r="I319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I310" i="10"/>
  <c r="H310" i="10"/>
  <c r="G310" i="10"/>
  <c r="F310" i="10"/>
  <c r="E310" i="10"/>
  <c r="D310" i="10"/>
  <c r="C310" i="10"/>
  <c r="B310" i="10"/>
  <c r="I309" i="10"/>
  <c r="H309" i="10"/>
  <c r="G309" i="10"/>
  <c r="F309" i="10"/>
  <c r="E309" i="10"/>
  <c r="D309" i="10"/>
  <c r="C309" i="10"/>
  <c r="B309" i="10"/>
  <c r="I308" i="10"/>
  <c r="H308" i="10"/>
  <c r="G308" i="10"/>
  <c r="F308" i="10"/>
  <c r="E308" i="10"/>
  <c r="D308" i="10"/>
  <c r="C308" i="10"/>
  <c r="B308" i="10"/>
  <c r="I307" i="10"/>
  <c r="H307" i="10"/>
  <c r="G307" i="10"/>
  <c r="F307" i="10"/>
  <c r="E307" i="10"/>
  <c r="D307" i="10"/>
  <c r="C307" i="10"/>
  <c r="B307" i="10"/>
  <c r="I306" i="10"/>
  <c r="H306" i="10"/>
  <c r="G306" i="10"/>
  <c r="F306" i="10"/>
  <c r="E306" i="10"/>
  <c r="D306" i="10"/>
  <c r="C306" i="10"/>
  <c r="B306" i="10"/>
  <c r="I305" i="10"/>
  <c r="H305" i="10"/>
  <c r="G305" i="10"/>
  <c r="F305" i="10"/>
  <c r="E305" i="10"/>
  <c r="D305" i="10"/>
  <c r="C305" i="10"/>
  <c r="B305" i="10"/>
  <c r="I304" i="10"/>
  <c r="H304" i="10"/>
  <c r="G304" i="10"/>
  <c r="F304" i="10"/>
  <c r="E304" i="10"/>
  <c r="D304" i="10"/>
  <c r="C304" i="10"/>
  <c r="B304" i="10"/>
  <c r="I303" i="10"/>
  <c r="H303" i="10"/>
  <c r="G303" i="10"/>
  <c r="F303" i="10"/>
  <c r="E303" i="10"/>
  <c r="D303" i="10"/>
  <c r="C303" i="10"/>
  <c r="B303" i="10"/>
  <c r="I302" i="10"/>
  <c r="H302" i="10"/>
  <c r="G302" i="10"/>
  <c r="F302" i="10"/>
  <c r="E302" i="10"/>
  <c r="D302" i="10"/>
  <c r="C302" i="10"/>
  <c r="B302" i="10"/>
  <c r="I301" i="10"/>
  <c r="H301" i="10"/>
  <c r="G301" i="10"/>
  <c r="F301" i="10"/>
  <c r="E301" i="10"/>
  <c r="D301" i="10"/>
  <c r="C301" i="10"/>
  <c r="B301" i="10"/>
  <c r="I300" i="10"/>
  <c r="H300" i="10"/>
  <c r="G300" i="10"/>
  <c r="F300" i="10"/>
  <c r="E300" i="10"/>
  <c r="D300" i="10"/>
  <c r="C300" i="10"/>
  <c r="B300" i="10"/>
  <c r="I299" i="10"/>
  <c r="H299" i="10"/>
  <c r="G299" i="10"/>
  <c r="F299" i="10"/>
  <c r="E299" i="10"/>
  <c r="D299" i="10"/>
  <c r="C299" i="10"/>
  <c r="B299" i="10"/>
  <c r="I298" i="10"/>
  <c r="H298" i="10"/>
  <c r="G298" i="10"/>
  <c r="F298" i="10"/>
  <c r="E298" i="10"/>
  <c r="D298" i="10"/>
  <c r="C298" i="10"/>
  <c r="B298" i="10"/>
  <c r="I297" i="10"/>
  <c r="H297" i="10"/>
  <c r="G297" i="10"/>
  <c r="F297" i="10"/>
  <c r="E297" i="10"/>
  <c r="D297" i="10"/>
  <c r="C297" i="10"/>
  <c r="B297" i="10"/>
  <c r="I296" i="10"/>
  <c r="H296" i="10"/>
  <c r="G296" i="10"/>
  <c r="F296" i="10"/>
  <c r="E296" i="10"/>
  <c r="D296" i="10"/>
  <c r="C296" i="10"/>
  <c r="B296" i="10"/>
  <c r="I295" i="10"/>
  <c r="H295" i="10"/>
  <c r="G295" i="10"/>
  <c r="F295" i="10"/>
  <c r="E295" i="10"/>
  <c r="D295" i="10"/>
  <c r="C295" i="10"/>
  <c r="B295" i="10"/>
  <c r="I294" i="10"/>
  <c r="H294" i="10"/>
  <c r="G294" i="10"/>
  <c r="F294" i="10"/>
  <c r="E294" i="10"/>
  <c r="D294" i="10"/>
  <c r="C294" i="10"/>
  <c r="B294" i="10"/>
  <c r="I293" i="10"/>
  <c r="H293" i="10"/>
  <c r="G293" i="10"/>
  <c r="F293" i="10"/>
  <c r="E293" i="10"/>
  <c r="D293" i="10"/>
  <c r="C293" i="10"/>
  <c r="B293" i="10"/>
  <c r="I292" i="10"/>
  <c r="H292" i="10"/>
  <c r="G292" i="10"/>
  <c r="F292" i="10"/>
  <c r="E292" i="10"/>
  <c r="D292" i="10"/>
  <c r="C292" i="10"/>
  <c r="B292" i="10"/>
  <c r="I291" i="10"/>
  <c r="H291" i="10"/>
  <c r="G291" i="10"/>
  <c r="F291" i="10"/>
  <c r="E291" i="10"/>
  <c r="D291" i="10"/>
  <c r="C291" i="10"/>
  <c r="B291" i="10"/>
  <c r="I290" i="10"/>
  <c r="H290" i="10"/>
  <c r="G290" i="10"/>
  <c r="F290" i="10"/>
  <c r="E290" i="10"/>
  <c r="D290" i="10"/>
  <c r="C290" i="10"/>
  <c r="B290" i="10"/>
  <c r="I289" i="10"/>
  <c r="H289" i="10"/>
  <c r="G289" i="10"/>
  <c r="F289" i="10"/>
  <c r="E289" i="10"/>
  <c r="D289" i="10"/>
  <c r="C289" i="10"/>
  <c r="B289" i="10"/>
  <c r="I288" i="10"/>
  <c r="H288" i="10"/>
  <c r="G288" i="10"/>
  <c r="F288" i="10"/>
  <c r="E288" i="10"/>
  <c r="D288" i="10"/>
  <c r="C288" i="10"/>
  <c r="B288" i="10"/>
  <c r="I287" i="10"/>
  <c r="H287" i="10"/>
  <c r="G287" i="10"/>
  <c r="F287" i="10"/>
  <c r="E287" i="10"/>
  <c r="D287" i="10"/>
  <c r="C287" i="10"/>
  <c r="B287" i="10"/>
  <c r="I286" i="10"/>
  <c r="H286" i="10"/>
  <c r="G286" i="10"/>
  <c r="F286" i="10"/>
  <c r="E286" i="10"/>
  <c r="D286" i="10"/>
  <c r="C286" i="10"/>
  <c r="B286" i="10"/>
  <c r="I285" i="10"/>
  <c r="H285" i="10"/>
  <c r="G285" i="10"/>
  <c r="F285" i="10"/>
  <c r="E285" i="10"/>
  <c r="D285" i="10"/>
  <c r="C285" i="10"/>
  <c r="B285" i="10"/>
  <c r="I284" i="10"/>
  <c r="H284" i="10"/>
  <c r="G284" i="10"/>
  <c r="F284" i="10"/>
  <c r="E284" i="10"/>
  <c r="D284" i="10"/>
  <c r="C284" i="10"/>
  <c r="B284" i="10"/>
  <c r="I283" i="10"/>
  <c r="H283" i="10"/>
  <c r="G283" i="10"/>
  <c r="F283" i="10"/>
  <c r="E283" i="10"/>
  <c r="D283" i="10"/>
  <c r="C283" i="10"/>
  <c r="B283" i="10"/>
  <c r="I282" i="10"/>
  <c r="H282" i="10"/>
  <c r="G282" i="10"/>
  <c r="F282" i="10"/>
  <c r="E282" i="10"/>
  <c r="D282" i="10"/>
  <c r="C282" i="10"/>
  <c r="B282" i="10"/>
  <c r="I281" i="10"/>
  <c r="H281" i="10"/>
  <c r="G281" i="10"/>
  <c r="F281" i="10"/>
  <c r="E281" i="10"/>
  <c r="D281" i="10"/>
  <c r="C281" i="10"/>
  <c r="B281" i="10"/>
  <c r="I280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I271" i="10"/>
  <c r="H271" i="10"/>
  <c r="G271" i="10"/>
  <c r="F271" i="10"/>
  <c r="E271" i="10"/>
  <c r="D271" i="10"/>
  <c r="C271" i="10"/>
  <c r="B271" i="10"/>
  <c r="I270" i="10"/>
  <c r="H270" i="10"/>
  <c r="G270" i="10"/>
  <c r="F270" i="10"/>
  <c r="E270" i="10"/>
  <c r="D270" i="10"/>
  <c r="C270" i="10"/>
  <c r="B270" i="10"/>
  <c r="I269" i="10"/>
  <c r="H269" i="10"/>
  <c r="G269" i="10"/>
  <c r="F269" i="10"/>
  <c r="E269" i="10"/>
  <c r="D269" i="10"/>
  <c r="C269" i="10"/>
  <c r="B269" i="10"/>
  <c r="I268" i="10"/>
  <c r="H268" i="10"/>
  <c r="G268" i="10"/>
  <c r="F268" i="10"/>
  <c r="E268" i="10"/>
  <c r="D268" i="10"/>
  <c r="C268" i="10"/>
  <c r="B268" i="10"/>
  <c r="I267" i="10"/>
  <c r="H267" i="10"/>
  <c r="G267" i="10"/>
  <c r="F267" i="10"/>
  <c r="E267" i="10"/>
  <c r="D267" i="10"/>
  <c r="C267" i="10"/>
  <c r="B267" i="10"/>
  <c r="I266" i="10"/>
  <c r="H266" i="10"/>
  <c r="G266" i="10"/>
  <c r="F266" i="10"/>
  <c r="E266" i="10"/>
  <c r="D266" i="10"/>
  <c r="C266" i="10"/>
  <c r="B266" i="10"/>
  <c r="I265" i="10"/>
  <c r="H265" i="10"/>
  <c r="G265" i="10"/>
  <c r="F265" i="10"/>
  <c r="E265" i="10"/>
  <c r="D265" i="10"/>
  <c r="C265" i="10"/>
  <c r="B265" i="10"/>
  <c r="I264" i="10"/>
  <c r="H264" i="10"/>
  <c r="G264" i="10"/>
  <c r="F264" i="10"/>
  <c r="E264" i="10"/>
  <c r="D264" i="10"/>
  <c r="C264" i="10"/>
  <c r="B264" i="10"/>
  <c r="I263" i="10"/>
  <c r="H263" i="10"/>
  <c r="G263" i="10"/>
  <c r="F263" i="10"/>
  <c r="E263" i="10"/>
  <c r="D263" i="10"/>
  <c r="C263" i="10"/>
  <c r="B263" i="10"/>
  <c r="I262" i="10"/>
  <c r="H262" i="10"/>
  <c r="G262" i="10"/>
  <c r="F262" i="10"/>
  <c r="E262" i="10"/>
  <c r="D262" i="10"/>
  <c r="C262" i="10"/>
  <c r="B262" i="10"/>
  <c r="I261" i="10"/>
  <c r="H261" i="10"/>
  <c r="G261" i="10"/>
  <c r="F261" i="10"/>
  <c r="E261" i="10"/>
  <c r="D261" i="10"/>
  <c r="C261" i="10"/>
  <c r="B261" i="10"/>
  <c r="I260" i="10"/>
  <c r="H260" i="10"/>
  <c r="G260" i="10"/>
  <c r="F260" i="10"/>
  <c r="E260" i="10"/>
  <c r="D260" i="10"/>
  <c r="C260" i="10"/>
  <c r="B260" i="10"/>
  <c r="I259" i="10"/>
  <c r="H259" i="10"/>
  <c r="G259" i="10"/>
  <c r="F259" i="10"/>
  <c r="E259" i="10"/>
  <c r="D259" i="10"/>
  <c r="C259" i="10"/>
  <c r="B259" i="10"/>
  <c r="I258" i="10"/>
  <c r="H258" i="10"/>
  <c r="G258" i="10"/>
  <c r="F258" i="10"/>
  <c r="E258" i="10"/>
  <c r="D258" i="10"/>
  <c r="C258" i="10"/>
  <c r="B258" i="10"/>
  <c r="I257" i="10"/>
  <c r="H257" i="10"/>
  <c r="G257" i="10"/>
  <c r="F257" i="10"/>
  <c r="E257" i="10"/>
  <c r="D257" i="10"/>
  <c r="C257" i="10"/>
  <c r="B257" i="10"/>
  <c r="I256" i="10"/>
  <c r="H256" i="10"/>
  <c r="G256" i="10"/>
  <c r="F256" i="10"/>
  <c r="E256" i="10"/>
  <c r="D256" i="10"/>
  <c r="C256" i="10"/>
  <c r="B256" i="10"/>
  <c r="I255" i="10"/>
  <c r="H255" i="10"/>
  <c r="G255" i="10"/>
  <c r="F255" i="10"/>
  <c r="E255" i="10"/>
  <c r="D255" i="10"/>
  <c r="C255" i="10"/>
  <c r="B255" i="10"/>
  <c r="I254" i="10"/>
  <c r="H254" i="10"/>
  <c r="G254" i="10"/>
  <c r="F254" i="10"/>
  <c r="E254" i="10"/>
  <c r="D254" i="10"/>
  <c r="C254" i="10"/>
  <c r="B254" i="10"/>
  <c r="I253" i="10"/>
  <c r="H253" i="10"/>
  <c r="G253" i="10"/>
  <c r="F253" i="10"/>
  <c r="E253" i="10"/>
  <c r="D253" i="10"/>
  <c r="C253" i="10"/>
  <c r="B253" i="10"/>
  <c r="I252" i="10"/>
  <c r="H252" i="10"/>
  <c r="G252" i="10"/>
  <c r="F252" i="10"/>
  <c r="E252" i="10"/>
  <c r="D252" i="10"/>
  <c r="C252" i="10"/>
  <c r="B252" i="10"/>
  <c r="I251" i="10"/>
  <c r="H251" i="10"/>
  <c r="G251" i="10"/>
  <c r="F251" i="10"/>
  <c r="E251" i="10"/>
  <c r="D251" i="10"/>
  <c r="C251" i="10"/>
  <c r="B251" i="10"/>
  <c r="I250" i="10"/>
  <c r="H250" i="10"/>
  <c r="G250" i="10"/>
  <c r="F250" i="10"/>
  <c r="E250" i="10"/>
  <c r="D250" i="10"/>
  <c r="C250" i="10"/>
  <c r="B250" i="10"/>
  <c r="I249" i="10"/>
  <c r="H249" i="10"/>
  <c r="G249" i="10"/>
  <c r="F249" i="10"/>
  <c r="E249" i="10"/>
  <c r="D249" i="10"/>
  <c r="C249" i="10"/>
  <c r="B249" i="10"/>
  <c r="I248" i="10"/>
  <c r="H248" i="10"/>
  <c r="G248" i="10"/>
  <c r="F248" i="10"/>
  <c r="E248" i="10"/>
  <c r="D248" i="10"/>
  <c r="C248" i="10"/>
  <c r="B248" i="10"/>
  <c r="I247" i="10"/>
  <c r="H247" i="10"/>
  <c r="G247" i="10"/>
  <c r="F247" i="10"/>
  <c r="E247" i="10"/>
  <c r="D247" i="10"/>
  <c r="C247" i="10"/>
  <c r="B247" i="10"/>
  <c r="I246" i="10"/>
  <c r="H246" i="10"/>
  <c r="G246" i="10"/>
  <c r="F246" i="10"/>
  <c r="E246" i="10"/>
  <c r="D246" i="10"/>
  <c r="C246" i="10"/>
  <c r="B246" i="10"/>
  <c r="I245" i="10"/>
  <c r="H245" i="10"/>
  <c r="G245" i="10"/>
  <c r="F245" i="10"/>
  <c r="E245" i="10"/>
  <c r="D245" i="10"/>
  <c r="C245" i="10"/>
  <c r="B245" i="10"/>
  <c r="I244" i="10"/>
  <c r="H244" i="10"/>
  <c r="G244" i="10"/>
  <c r="F244" i="10"/>
  <c r="E244" i="10"/>
  <c r="D244" i="10"/>
  <c r="C244" i="10"/>
  <c r="B244" i="10"/>
  <c r="I243" i="10"/>
  <c r="H243" i="10"/>
  <c r="G243" i="10"/>
  <c r="F243" i="10"/>
  <c r="E243" i="10"/>
  <c r="D243" i="10"/>
  <c r="C243" i="10"/>
  <c r="B243" i="10"/>
  <c r="I242" i="10"/>
  <c r="H242" i="10"/>
  <c r="G242" i="10"/>
  <c r="F242" i="10"/>
  <c r="E242" i="10"/>
  <c r="D242" i="10"/>
  <c r="C242" i="10"/>
  <c r="B242" i="10"/>
  <c r="I241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I231" i="10"/>
  <c r="H231" i="10"/>
  <c r="G231" i="10"/>
  <c r="F231" i="10"/>
  <c r="E231" i="10"/>
  <c r="D231" i="10"/>
  <c r="C231" i="10"/>
  <c r="B231" i="10"/>
  <c r="I230" i="10"/>
  <c r="H230" i="10"/>
  <c r="G230" i="10"/>
  <c r="F230" i="10"/>
  <c r="E230" i="10"/>
  <c r="D230" i="10"/>
  <c r="C230" i="10"/>
  <c r="B230" i="10"/>
  <c r="I229" i="10"/>
  <c r="H229" i="10"/>
  <c r="G229" i="10"/>
  <c r="F229" i="10"/>
  <c r="E229" i="10"/>
  <c r="D229" i="10"/>
  <c r="C229" i="10"/>
  <c r="B229" i="10"/>
  <c r="I228" i="10"/>
  <c r="H228" i="10"/>
  <c r="G228" i="10"/>
  <c r="F228" i="10"/>
  <c r="E228" i="10"/>
  <c r="D228" i="10"/>
  <c r="C228" i="10"/>
  <c r="B228" i="10"/>
  <c r="I227" i="10"/>
  <c r="H227" i="10"/>
  <c r="G227" i="10"/>
  <c r="F227" i="10"/>
  <c r="E227" i="10"/>
  <c r="D227" i="10"/>
  <c r="C227" i="10"/>
  <c r="B227" i="10"/>
  <c r="I226" i="10"/>
  <c r="H226" i="10"/>
  <c r="G226" i="10"/>
  <c r="F226" i="10"/>
  <c r="E226" i="10"/>
  <c r="D226" i="10"/>
  <c r="C226" i="10"/>
  <c r="B226" i="10"/>
  <c r="I225" i="10"/>
  <c r="H225" i="10"/>
  <c r="G225" i="10"/>
  <c r="F225" i="10"/>
  <c r="E225" i="10"/>
  <c r="D225" i="10"/>
  <c r="C225" i="10"/>
  <c r="B225" i="10"/>
  <c r="I224" i="10"/>
  <c r="H224" i="10"/>
  <c r="G224" i="10"/>
  <c r="F224" i="10"/>
  <c r="E224" i="10"/>
  <c r="D224" i="10"/>
  <c r="C224" i="10"/>
  <c r="B224" i="10"/>
  <c r="I223" i="10"/>
  <c r="H223" i="10"/>
  <c r="G223" i="10"/>
  <c r="F223" i="10"/>
  <c r="E223" i="10"/>
  <c r="D223" i="10"/>
  <c r="C223" i="10"/>
  <c r="B223" i="10"/>
  <c r="I222" i="10"/>
  <c r="H222" i="10"/>
  <c r="G222" i="10"/>
  <c r="F222" i="10"/>
  <c r="E222" i="10"/>
  <c r="D222" i="10"/>
  <c r="C222" i="10"/>
  <c r="B222" i="10"/>
  <c r="I221" i="10"/>
  <c r="H221" i="10"/>
  <c r="G221" i="10"/>
  <c r="F221" i="10"/>
  <c r="E221" i="10"/>
  <c r="D221" i="10"/>
  <c r="C221" i="10"/>
  <c r="B221" i="10"/>
  <c r="I220" i="10"/>
  <c r="H220" i="10"/>
  <c r="G220" i="10"/>
  <c r="F220" i="10"/>
  <c r="E220" i="10"/>
  <c r="D220" i="10"/>
  <c r="C220" i="10"/>
  <c r="B220" i="10"/>
  <c r="I219" i="10"/>
  <c r="H219" i="10"/>
  <c r="G219" i="10"/>
  <c r="F219" i="10"/>
  <c r="E219" i="10"/>
  <c r="D219" i="10"/>
  <c r="C219" i="10"/>
  <c r="B219" i="10"/>
  <c r="I218" i="10"/>
  <c r="H218" i="10"/>
  <c r="G218" i="10"/>
  <c r="F218" i="10"/>
  <c r="E218" i="10"/>
  <c r="D218" i="10"/>
  <c r="C218" i="10"/>
  <c r="B218" i="10"/>
  <c r="I217" i="10"/>
  <c r="H217" i="10"/>
  <c r="G217" i="10"/>
  <c r="F217" i="10"/>
  <c r="E217" i="10"/>
  <c r="D217" i="10"/>
  <c r="C217" i="10"/>
  <c r="B217" i="10"/>
  <c r="I216" i="10"/>
  <c r="H216" i="10"/>
  <c r="G216" i="10"/>
  <c r="F216" i="10"/>
  <c r="E216" i="10"/>
  <c r="D216" i="10"/>
  <c r="C216" i="10"/>
  <c r="B216" i="10"/>
  <c r="I215" i="10"/>
  <c r="H215" i="10"/>
  <c r="G215" i="10"/>
  <c r="F215" i="10"/>
  <c r="E215" i="10"/>
  <c r="D215" i="10"/>
  <c r="C215" i="10"/>
  <c r="B215" i="10"/>
  <c r="I214" i="10"/>
  <c r="H214" i="10"/>
  <c r="G214" i="10"/>
  <c r="F214" i="10"/>
  <c r="E214" i="10"/>
  <c r="D214" i="10"/>
  <c r="C214" i="10"/>
  <c r="B214" i="10"/>
  <c r="I213" i="10"/>
  <c r="H213" i="10"/>
  <c r="G213" i="10"/>
  <c r="F213" i="10"/>
  <c r="E213" i="10"/>
  <c r="D213" i="10"/>
  <c r="C213" i="10"/>
  <c r="B213" i="10"/>
  <c r="I212" i="10"/>
  <c r="H212" i="10"/>
  <c r="G212" i="10"/>
  <c r="F212" i="10"/>
  <c r="E212" i="10"/>
  <c r="D212" i="10"/>
  <c r="C212" i="10"/>
  <c r="B212" i="10"/>
  <c r="I211" i="10"/>
  <c r="H211" i="10"/>
  <c r="G211" i="10"/>
  <c r="F211" i="10"/>
  <c r="E211" i="10"/>
  <c r="D211" i="10"/>
  <c r="C211" i="10"/>
  <c r="B211" i="10"/>
  <c r="I210" i="10"/>
  <c r="H210" i="10"/>
  <c r="G210" i="10"/>
  <c r="F210" i="10"/>
  <c r="E210" i="10"/>
  <c r="D210" i="10"/>
  <c r="C210" i="10"/>
  <c r="B210" i="10"/>
  <c r="I209" i="10"/>
  <c r="H209" i="10"/>
  <c r="G209" i="10"/>
  <c r="F209" i="10"/>
  <c r="E209" i="10"/>
  <c r="D209" i="10"/>
  <c r="C209" i="10"/>
  <c r="B209" i="10"/>
  <c r="I208" i="10"/>
  <c r="H208" i="10"/>
  <c r="G208" i="10"/>
  <c r="F208" i="10"/>
  <c r="E208" i="10"/>
  <c r="D208" i="10"/>
  <c r="C208" i="10"/>
  <c r="B208" i="10"/>
  <c r="I207" i="10"/>
  <c r="H207" i="10"/>
  <c r="G207" i="10"/>
  <c r="F207" i="10"/>
  <c r="E207" i="10"/>
  <c r="D207" i="10"/>
  <c r="C207" i="10"/>
  <c r="B207" i="10"/>
  <c r="I206" i="10"/>
  <c r="H206" i="10"/>
  <c r="G206" i="10"/>
  <c r="F206" i="10"/>
  <c r="E206" i="10"/>
  <c r="D206" i="10"/>
  <c r="C206" i="10"/>
  <c r="B206" i="10"/>
  <c r="I205" i="10"/>
  <c r="H205" i="10"/>
  <c r="G205" i="10"/>
  <c r="F205" i="10"/>
  <c r="E205" i="10"/>
  <c r="D205" i="10"/>
  <c r="C205" i="10"/>
  <c r="B205" i="10"/>
  <c r="I204" i="10"/>
  <c r="H204" i="10"/>
  <c r="G204" i="10"/>
  <c r="F204" i="10"/>
  <c r="E204" i="10"/>
  <c r="D204" i="10"/>
  <c r="C204" i="10"/>
  <c r="B204" i="10"/>
  <c r="I203" i="10"/>
  <c r="H203" i="10"/>
  <c r="G203" i="10"/>
  <c r="F203" i="10"/>
  <c r="E203" i="10"/>
  <c r="D203" i="10"/>
  <c r="C203" i="10"/>
  <c r="B203" i="10"/>
  <c r="I202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I193" i="10"/>
  <c r="H193" i="10"/>
  <c r="G193" i="10"/>
  <c r="F193" i="10"/>
  <c r="E193" i="10"/>
  <c r="D193" i="10"/>
  <c r="C193" i="10"/>
  <c r="B193" i="10"/>
  <c r="I192" i="10"/>
  <c r="H192" i="10"/>
  <c r="G192" i="10"/>
  <c r="F192" i="10"/>
  <c r="E192" i="10"/>
  <c r="D192" i="10"/>
  <c r="C192" i="10"/>
  <c r="B192" i="10"/>
  <c r="I191" i="10"/>
  <c r="H191" i="10"/>
  <c r="G191" i="10"/>
  <c r="F191" i="10"/>
  <c r="E191" i="10"/>
  <c r="D191" i="10"/>
  <c r="C191" i="10"/>
  <c r="B191" i="10"/>
  <c r="I190" i="10"/>
  <c r="H190" i="10"/>
  <c r="G190" i="10"/>
  <c r="F190" i="10"/>
  <c r="E190" i="10"/>
  <c r="D190" i="10"/>
  <c r="C190" i="10"/>
  <c r="B190" i="10"/>
  <c r="I189" i="10"/>
  <c r="H189" i="10"/>
  <c r="G189" i="10"/>
  <c r="F189" i="10"/>
  <c r="E189" i="10"/>
  <c r="D189" i="10"/>
  <c r="C189" i="10"/>
  <c r="B189" i="10"/>
  <c r="I188" i="10"/>
  <c r="H188" i="10"/>
  <c r="G188" i="10"/>
  <c r="F188" i="10"/>
  <c r="E188" i="10"/>
  <c r="D188" i="10"/>
  <c r="C188" i="10"/>
  <c r="B188" i="10"/>
  <c r="I187" i="10"/>
  <c r="H187" i="10"/>
  <c r="G187" i="10"/>
  <c r="F187" i="10"/>
  <c r="E187" i="10"/>
  <c r="D187" i="10"/>
  <c r="C187" i="10"/>
  <c r="B187" i="10"/>
  <c r="I186" i="10"/>
  <c r="H186" i="10"/>
  <c r="G186" i="10"/>
  <c r="F186" i="10"/>
  <c r="E186" i="10"/>
  <c r="D186" i="10"/>
  <c r="C186" i="10"/>
  <c r="B186" i="10"/>
  <c r="I185" i="10"/>
  <c r="H185" i="10"/>
  <c r="G185" i="10"/>
  <c r="F185" i="10"/>
  <c r="E185" i="10"/>
  <c r="D185" i="10"/>
  <c r="C185" i="10"/>
  <c r="B185" i="10"/>
  <c r="I184" i="10"/>
  <c r="H184" i="10"/>
  <c r="G184" i="10"/>
  <c r="F184" i="10"/>
  <c r="E184" i="10"/>
  <c r="D184" i="10"/>
  <c r="C184" i="10"/>
  <c r="B184" i="10"/>
  <c r="I183" i="10"/>
  <c r="H183" i="10"/>
  <c r="G183" i="10"/>
  <c r="F183" i="10"/>
  <c r="E183" i="10"/>
  <c r="D183" i="10"/>
  <c r="C183" i="10"/>
  <c r="B183" i="10"/>
  <c r="I182" i="10"/>
  <c r="H182" i="10"/>
  <c r="G182" i="10"/>
  <c r="F182" i="10"/>
  <c r="E182" i="10"/>
  <c r="D182" i="10"/>
  <c r="C182" i="10"/>
  <c r="B182" i="10"/>
  <c r="I181" i="10"/>
  <c r="H181" i="10"/>
  <c r="G181" i="10"/>
  <c r="F181" i="10"/>
  <c r="E181" i="10"/>
  <c r="D181" i="10"/>
  <c r="C181" i="10"/>
  <c r="B181" i="10"/>
  <c r="I180" i="10"/>
  <c r="H180" i="10"/>
  <c r="G180" i="10"/>
  <c r="F180" i="10"/>
  <c r="E180" i="10"/>
  <c r="D180" i="10"/>
  <c r="C180" i="10"/>
  <c r="B180" i="10"/>
  <c r="I179" i="10"/>
  <c r="H179" i="10"/>
  <c r="G179" i="10"/>
  <c r="F179" i="10"/>
  <c r="E179" i="10"/>
  <c r="D179" i="10"/>
  <c r="C179" i="10"/>
  <c r="B179" i="10"/>
  <c r="I178" i="10"/>
  <c r="H178" i="10"/>
  <c r="G178" i="10"/>
  <c r="F178" i="10"/>
  <c r="E178" i="10"/>
  <c r="D178" i="10"/>
  <c r="C178" i="10"/>
  <c r="B178" i="10"/>
  <c r="I177" i="10"/>
  <c r="H177" i="10"/>
  <c r="G177" i="10"/>
  <c r="F177" i="10"/>
  <c r="E177" i="10"/>
  <c r="D177" i="10"/>
  <c r="C177" i="10"/>
  <c r="B177" i="10"/>
  <c r="I176" i="10"/>
  <c r="H176" i="10"/>
  <c r="G176" i="10"/>
  <c r="F176" i="10"/>
  <c r="E176" i="10"/>
  <c r="D176" i="10"/>
  <c r="C176" i="10"/>
  <c r="B176" i="10"/>
  <c r="I175" i="10"/>
  <c r="H175" i="10"/>
  <c r="G175" i="10"/>
  <c r="F175" i="10"/>
  <c r="E175" i="10"/>
  <c r="D175" i="10"/>
  <c r="C175" i="10"/>
  <c r="B175" i="10"/>
  <c r="I174" i="10"/>
  <c r="H174" i="10"/>
  <c r="G174" i="10"/>
  <c r="F174" i="10"/>
  <c r="E174" i="10"/>
  <c r="D174" i="10"/>
  <c r="C174" i="10"/>
  <c r="B174" i="10"/>
  <c r="I173" i="10"/>
  <c r="H173" i="10"/>
  <c r="G173" i="10"/>
  <c r="F173" i="10"/>
  <c r="E173" i="10"/>
  <c r="D173" i="10"/>
  <c r="C173" i="10"/>
  <c r="B173" i="10"/>
  <c r="I172" i="10"/>
  <c r="H172" i="10"/>
  <c r="G172" i="10"/>
  <c r="F172" i="10"/>
  <c r="E172" i="10"/>
  <c r="D172" i="10"/>
  <c r="C172" i="10"/>
  <c r="B172" i="10"/>
  <c r="I171" i="10"/>
  <c r="H171" i="10"/>
  <c r="G171" i="10"/>
  <c r="F171" i="10"/>
  <c r="E171" i="10"/>
  <c r="D171" i="10"/>
  <c r="C171" i="10"/>
  <c r="B171" i="10"/>
  <c r="I170" i="10"/>
  <c r="H170" i="10"/>
  <c r="G170" i="10"/>
  <c r="F170" i="10"/>
  <c r="E170" i="10"/>
  <c r="D170" i="10"/>
  <c r="C170" i="10"/>
  <c r="B170" i="10"/>
  <c r="I169" i="10"/>
  <c r="H169" i="10"/>
  <c r="G169" i="10"/>
  <c r="F169" i="10"/>
  <c r="E169" i="10"/>
  <c r="D169" i="10"/>
  <c r="C169" i="10"/>
  <c r="B169" i="10"/>
  <c r="I168" i="10"/>
  <c r="H168" i="10"/>
  <c r="G168" i="10"/>
  <c r="F168" i="10"/>
  <c r="E168" i="10"/>
  <c r="D168" i="10"/>
  <c r="C168" i="10"/>
  <c r="B168" i="10"/>
  <c r="I167" i="10"/>
  <c r="H167" i="10"/>
  <c r="G167" i="10"/>
  <c r="F167" i="10"/>
  <c r="E167" i="10"/>
  <c r="D167" i="10"/>
  <c r="C167" i="10"/>
  <c r="B167" i="10"/>
  <c r="I166" i="10"/>
  <c r="H166" i="10"/>
  <c r="G166" i="10"/>
  <c r="F166" i="10"/>
  <c r="E166" i="10"/>
  <c r="D166" i="10"/>
  <c r="C166" i="10"/>
  <c r="B166" i="10"/>
  <c r="I165" i="10"/>
  <c r="H165" i="10"/>
  <c r="G165" i="10"/>
  <c r="F165" i="10"/>
  <c r="E165" i="10"/>
  <c r="D165" i="10"/>
  <c r="C165" i="10"/>
  <c r="B165" i="10"/>
  <c r="I164" i="10"/>
  <c r="H164" i="10"/>
  <c r="G164" i="10"/>
  <c r="F164" i="10"/>
  <c r="E164" i="10"/>
  <c r="D164" i="10"/>
  <c r="C164" i="10"/>
  <c r="B164" i="10"/>
  <c r="I163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I153" i="10"/>
  <c r="H153" i="10"/>
  <c r="G153" i="10"/>
  <c r="F153" i="10"/>
  <c r="E153" i="10"/>
  <c r="D153" i="10"/>
  <c r="C153" i="10"/>
  <c r="B153" i="10"/>
  <c r="I152" i="10"/>
  <c r="H152" i="10"/>
  <c r="G152" i="10"/>
  <c r="F152" i="10"/>
  <c r="E152" i="10"/>
  <c r="D152" i="10"/>
  <c r="C152" i="10"/>
  <c r="B152" i="10"/>
  <c r="I151" i="10"/>
  <c r="H151" i="10"/>
  <c r="G151" i="10"/>
  <c r="F151" i="10"/>
  <c r="E151" i="10"/>
  <c r="D151" i="10"/>
  <c r="C151" i="10"/>
  <c r="B151" i="10"/>
  <c r="I150" i="10"/>
  <c r="H150" i="10"/>
  <c r="G150" i="10"/>
  <c r="F150" i="10"/>
  <c r="E150" i="10"/>
  <c r="D150" i="10"/>
  <c r="C150" i="10"/>
  <c r="B150" i="10"/>
  <c r="I149" i="10"/>
  <c r="H149" i="10"/>
  <c r="G149" i="10"/>
  <c r="F149" i="10"/>
  <c r="E149" i="10"/>
  <c r="D149" i="10"/>
  <c r="C149" i="10"/>
  <c r="B149" i="10"/>
  <c r="I148" i="10"/>
  <c r="H148" i="10"/>
  <c r="G148" i="10"/>
  <c r="F148" i="10"/>
  <c r="E148" i="10"/>
  <c r="D148" i="10"/>
  <c r="C148" i="10"/>
  <c r="B148" i="10"/>
  <c r="I147" i="10"/>
  <c r="H147" i="10"/>
  <c r="G147" i="10"/>
  <c r="F147" i="10"/>
  <c r="E147" i="10"/>
  <c r="D147" i="10"/>
  <c r="C147" i="10"/>
  <c r="B147" i="10"/>
  <c r="I146" i="10"/>
  <c r="H146" i="10"/>
  <c r="G146" i="10"/>
  <c r="F146" i="10"/>
  <c r="E146" i="10"/>
  <c r="D146" i="10"/>
  <c r="C146" i="10"/>
  <c r="B146" i="10"/>
  <c r="I145" i="10"/>
  <c r="H145" i="10"/>
  <c r="G145" i="10"/>
  <c r="F145" i="10"/>
  <c r="E145" i="10"/>
  <c r="D145" i="10"/>
  <c r="C145" i="10"/>
  <c r="B145" i="10"/>
  <c r="I144" i="10"/>
  <c r="H144" i="10"/>
  <c r="G144" i="10"/>
  <c r="F144" i="10"/>
  <c r="E144" i="10"/>
  <c r="D144" i="10"/>
  <c r="C144" i="10"/>
  <c r="B144" i="10"/>
  <c r="I143" i="10"/>
  <c r="H143" i="10"/>
  <c r="G143" i="10"/>
  <c r="F143" i="10"/>
  <c r="E143" i="10"/>
  <c r="D143" i="10"/>
  <c r="C143" i="10"/>
  <c r="B143" i="10"/>
  <c r="I142" i="10"/>
  <c r="H142" i="10"/>
  <c r="G142" i="10"/>
  <c r="F142" i="10"/>
  <c r="E142" i="10"/>
  <c r="D142" i="10"/>
  <c r="C142" i="10"/>
  <c r="B142" i="10"/>
  <c r="I141" i="10"/>
  <c r="H141" i="10"/>
  <c r="G141" i="10"/>
  <c r="F141" i="10"/>
  <c r="E141" i="10"/>
  <c r="D141" i="10"/>
  <c r="C141" i="10"/>
  <c r="B141" i="10"/>
  <c r="I140" i="10"/>
  <c r="H140" i="10"/>
  <c r="G140" i="10"/>
  <c r="F140" i="10"/>
  <c r="E140" i="10"/>
  <c r="D140" i="10"/>
  <c r="C140" i="10"/>
  <c r="B140" i="10"/>
  <c r="I139" i="10"/>
  <c r="H139" i="10"/>
  <c r="G139" i="10"/>
  <c r="F139" i="10"/>
  <c r="E139" i="10"/>
  <c r="D139" i="10"/>
  <c r="C139" i="10"/>
  <c r="B139" i="10"/>
  <c r="I138" i="10"/>
  <c r="H138" i="10"/>
  <c r="G138" i="10"/>
  <c r="F138" i="10"/>
  <c r="E138" i="10"/>
  <c r="D138" i="10"/>
  <c r="C138" i="10"/>
  <c r="B138" i="10"/>
  <c r="I137" i="10"/>
  <c r="H137" i="10"/>
  <c r="G137" i="10"/>
  <c r="F137" i="10"/>
  <c r="E137" i="10"/>
  <c r="D137" i="10"/>
  <c r="C137" i="10"/>
  <c r="B137" i="10"/>
  <c r="I136" i="10"/>
  <c r="H136" i="10"/>
  <c r="G136" i="10"/>
  <c r="F136" i="10"/>
  <c r="E136" i="10"/>
  <c r="D136" i="10"/>
  <c r="C136" i="10"/>
  <c r="B136" i="10"/>
  <c r="I135" i="10"/>
  <c r="H135" i="10"/>
  <c r="G135" i="10"/>
  <c r="F135" i="10"/>
  <c r="E135" i="10"/>
  <c r="D135" i="10"/>
  <c r="C135" i="10"/>
  <c r="B135" i="10"/>
  <c r="I134" i="10"/>
  <c r="H134" i="10"/>
  <c r="G134" i="10"/>
  <c r="F134" i="10"/>
  <c r="E134" i="10"/>
  <c r="D134" i="10"/>
  <c r="C134" i="10"/>
  <c r="B134" i="10"/>
  <c r="I133" i="10"/>
  <c r="H133" i="10"/>
  <c r="G133" i="10"/>
  <c r="F133" i="10"/>
  <c r="E133" i="10"/>
  <c r="D133" i="10"/>
  <c r="C133" i="10"/>
  <c r="B133" i="10"/>
  <c r="I132" i="10"/>
  <c r="H132" i="10"/>
  <c r="G132" i="10"/>
  <c r="F132" i="10"/>
  <c r="E132" i="10"/>
  <c r="D132" i="10"/>
  <c r="C132" i="10"/>
  <c r="B132" i="10"/>
  <c r="I131" i="10"/>
  <c r="H131" i="10"/>
  <c r="G131" i="10"/>
  <c r="F131" i="10"/>
  <c r="E131" i="10"/>
  <c r="D131" i="10"/>
  <c r="C131" i="10"/>
  <c r="B131" i="10"/>
  <c r="I130" i="10"/>
  <c r="H130" i="10"/>
  <c r="G130" i="10"/>
  <c r="F130" i="10"/>
  <c r="E130" i="10"/>
  <c r="D130" i="10"/>
  <c r="C130" i="10"/>
  <c r="B130" i="10"/>
  <c r="I129" i="10"/>
  <c r="H129" i="10"/>
  <c r="G129" i="10"/>
  <c r="F129" i="10"/>
  <c r="E129" i="10"/>
  <c r="D129" i="10"/>
  <c r="C129" i="10"/>
  <c r="B129" i="10"/>
  <c r="I128" i="10"/>
  <c r="H128" i="10"/>
  <c r="G128" i="10"/>
  <c r="F128" i="10"/>
  <c r="E128" i="10"/>
  <c r="D128" i="10"/>
  <c r="C128" i="10"/>
  <c r="B128" i="10"/>
  <c r="I127" i="10"/>
  <c r="H127" i="10"/>
  <c r="G127" i="10"/>
  <c r="F127" i="10"/>
  <c r="E127" i="10"/>
  <c r="D127" i="10"/>
  <c r="C127" i="10"/>
  <c r="B127" i="10"/>
  <c r="I126" i="10"/>
  <c r="H126" i="10"/>
  <c r="G126" i="10"/>
  <c r="F126" i="10"/>
  <c r="E126" i="10"/>
  <c r="D126" i="10"/>
  <c r="C126" i="10"/>
  <c r="B126" i="10"/>
  <c r="I125" i="10"/>
  <c r="H125" i="10"/>
  <c r="G125" i="10"/>
  <c r="F125" i="10"/>
  <c r="E125" i="10"/>
  <c r="D125" i="10"/>
  <c r="C125" i="10"/>
  <c r="B125" i="10"/>
  <c r="I124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I115" i="10"/>
  <c r="H115" i="10"/>
  <c r="G115" i="10"/>
  <c r="F115" i="10"/>
  <c r="E115" i="10"/>
  <c r="D115" i="10"/>
  <c r="C115" i="10"/>
  <c r="B115" i="10"/>
  <c r="I114" i="10"/>
  <c r="H114" i="10"/>
  <c r="G114" i="10"/>
  <c r="F114" i="10"/>
  <c r="E114" i="10"/>
  <c r="D114" i="10"/>
  <c r="C114" i="10"/>
  <c r="B114" i="10"/>
  <c r="I113" i="10"/>
  <c r="H113" i="10"/>
  <c r="G113" i="10"/>
  <c r="F113" i="10"/>
  <c r="E113" i="10"/>
  <c r="D113" i="10"/>
  <c r="C113" i="10"/>
  <c r="B113" i="10"/>
  <c r="I112" i="10"/>
  <c r="H112" i="10"/>
  <c r="G112" i="10"/>
  <c r="F112" i="10"/>
  <c r="E112" i="10"/>
  <c r="D112" i="10"/>
  <c r="C112" i="10"/>
  <c r="B112" i="10"/>
  <c r="I111" i="10"/>
  <c r="H111" i="10"/>
  <c r="G111" i="10"/>
  <c r="F111" i="10"/>
  <c r="E111" i="10"/>
  <c r="D111" i="10"/>
  <c r="C111" i="10"/>
  <c r="B111" i="10"/>
  <c r="I110" i="10"/>
  <c r="H110" i="10"/>
  <c r="G110" i="10"/>
  <c r="F110" i="10"/>
  <c r="E110" i="10"/>
  <c r="D110" i="10"/>
  <c r="C110" i="10"/>
  <c r="B110" i="10"/>
  <c r="I109" i="10"/>
  <c r="H109" i="10"/>
  <c r="G109" i="10"/>
  <c r="F109" i="10"/>
  <c r="E109" i="10"/>
  <c r="D109" i="10"/>
  <c r="C109" i="10"/>
  <c r="B109" i="10"/>
  <c r="I108" i="10"/>
  <c r="H108" i="10"/>
  <c r="G108" i="10"/>
  <c r="F108" i="10"/>
  <c r="E108" i="10"/>
  <c r="D108" i="10"/>
  <c r="C108" i="10"/>
  <c r="B108" i="10"/>
  <c r="I107" i="10"/>
  <c r="H107" i="10"/>
  <c r="G107" i="10"/>
  <c r="F107" i="10"/>
  <c r="E107" i="10"/>
  <c r="D107" i="10"/>
  <c r="C107" i="10"/>
  <c r="B107" i="10"/>
  <c r="I106" i="10"/>
  <c r="H106" i="10"/>
  <c r="G106" i="10"/>
  <c r="F106" i="10"/>
  <c r="E106" i="10"/>
  <c r="D106" i="10"/>
  <c r="C106" i="10"/>
  <c r="B106" i="10"/>
  <c r="I105" i="10"/>
  <c r="H105" i="10"/>
  <c r="G105" i="10"/>
  <c r="F105" i="10"/>
  <c r="E105" i="10"/>
  <c r="D105" i="10"/>
  <c r="C105" i="10"/>
  <c r="B105" i="10"/>
  <c r="I104" i="10"/>
  <c r="H104" i="10"/>
  <c r="G104" i="10"/>
  <c r="F104" i="10"/>
  <c r="E104" i="10"/>
  <c r="D104" i="10"/>
  <c r="C104" i="10"/>
  <c r="B104" i="10"/>
  <c r="I103" i="10"/>
  <c r="H103" i="10"/>
  <c r="G103" i="10"/>
  <c r="F103" i="10"/>
  <c r="E103" i="10"/>
  <c r="D103" i="10"/>
  <c r="C103" i="10"/>
  <c r="B103" i="10"/>
  <c r="I102" i="10"/>
  <c r="H102" i="10"/>
  <c r="G102" i="10"/>
  <c r="F102" i="10"/>
  <c r="E102" i="10"/>
  <c r="D102" i="10"/>
  <c r="C102" i="10"/>
  <c r="B102" i="10"/>
  <c r="I101" i="10"/>
  <c r="H101" i="10"/>
  <c r="G101" i="10"/>
  <c r="F101" i="10"/>
  <c r="E101" i="10"/>
  <c r="D101" i="10"/>
  <c r="C101" i="10"/>
  <c r="B101" i="10"/>
  <c r="I100" i="10"/>
  <c r="H100" i="10"/>
  <c r="G100" i="10"/>
  <c r="F100" i="10"/>
  <c r="E100" i="10"/>
  <c r="D100" i="10"/>
  <c r="C100" i="10"/>
  <c r="B100" i="10"/>
  <c r="I99" i="10"/>
  <c r="H99" i="10"/>
  <c r="G99" i="10"/>
  <c r="F99" i="10"/>
  <c r="E99" i="10"/>
  <c r="D99" i="10"/>
  <c r="C99" i="10"/>
  <c r="B99" i="10"/>
  <c r="I98" i="10"/>
  <c r="H98" i="10"/>
  <c r="G98" i="10"/>
  <c r="F98" i="10"/>
  <c r="E98" i="10"/>
  <c r="D98" i="10"/>
  <c r="C98" i="10"/>
  <c r="B98" i="10"/>
  <c r="I97" i="10"/>
  <c r="H97" i="10"/>
  <c r="G97" i="10"/>
  <c r="F97" i="10"/>
  <c r="E97" i="10"/>
  <c r="D97" i="10"/>
  <c r="C97" i="10"/>
  <c r="B97" i="10"/>
  <c r="I96" i="10"/>
  <c r="H96" i="10"/>
  <c r="G96" i="10"/>
  <c r="F96" i="10"/>
  <c r="E96" i="10"/>
  <c r="D96" i="10"/>
  <c r="C96" i="10"/>
  <c r="B96" i="10"/>
  <c r="I95" i="10"/>
  <c r="H95" i="10"/>
  <c r="G95" i="10"/>
  <c r="F95" i="10"/>
  <c r="E95" i="10"/>
  <c r="D95" i="10"/>
  <c r="C95" i="10"/>
  <c r="B95" i="10"/>
  <c r="I94" i="10"/>
  <c r="H94" i="10"/>
  <c r="G94" i="10"/>
  <c r="F94" i="10"/>
  <c r="E94" i="10"/>
  <c r="D94" i="10"/>
  <c r="C94" i="10"/>
  <c r="B94" i="10"/>
  <c r="I93" i="10"/>
  <c r="H93" i="10"/>
  <c r="G93" i="10"/>
  <c r="F93" i="10"/>
  <c r="E93" i="10"/>
  <c r="D93" i="10"/>
  <c r="C93" i="10"/>
  <c r="B93" i="10"/>
  <c r="I92" i="10"/>
  <c r="H92" i="10"/>
  <c r="G92" i="10"/>
  <c r="F92" i="10"/>
  <c r="E92" i="10"/>
  <c r="D92" i="10"/>
  <c r="C92" i="10"/>
  <c r="B92" i="10"/>
  <c r="I91" i="10"/>
  <c r="H91" i="10"/>
  <c r="G91" i="10"/>
  <c r="F91" i="10"/>
  <c r="E91" i="10"/>
  <c r="D91" i="10"/>
  <c r="C91" i="10"/>
  <c r="B91" i="10"/>
  <c r="I90" i="10"/>
  <c r="H90" i="10"/>
  <c r="G90" i="10"/>
  <c r="F90" i="10"/>
  <c r="E90" i="10"/>
  <c r="D90" i="10"/>
  <c r="C90" i="10"/>
  <c r="B90" i="10"/>
  <c r="I89" i="10"/>
  <c r="H89" i="10"/>
  <c r="G89" i="10"/>
  <c r="F89" i="10"/>
  <c r="E89" i="10"/>
  <c r="D89" i="10"/>
  <c r="C89" i="10"/>
  <c r="B89" i="10"/>
  <c r="I88" i="10"/>
  <c r="H88" i="10"/>
  <c r="G88" i="10"/>
  <c r="F88" i="10"/>
  <c r="E88" i="10"/>
  <c r="D88" i="10"/>
  <c r="C88" i="10"/>
  <c r="B88" i="10"/>
  <c r="I87" i="10"/>
  <c r="H87" i="10"/>
  <c r="G87" i="10"/>
  <c r="F87" i="10"/>
  <c r="E87" i="10"/>
  <c r="D87" i="10"/>
  <c r="C87" i="10"/>
  <c r="B87" i="10"/>
  <c r="I86" i="10"/>
  <c r="H86" i="10"/>
  <c r="G86" i="10"/>
  <c r="F86" i="10"/>
  <c r="E86" i="10"/>
  <c r="D86" i="10"/>
  <c r="C86" i="10"/>
  <c r="B86" i="10"/>
  <c r="I85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I73" i="10"/>
  <c r="H73" i="10"/>
  <c r="G73" i="10"/>
  <c r="F73" i="10"/>
  <c r="E73" i="10"/>
  <c r="D73" i="10"/>
  <c r="C73" i="10"/>
  <c r="B73" i="10"/>
  <c r="I72" i="10"/>
  <c r="H72" i="10"/>
  <c r="G72" i="10"/>
  <c r="F72" i="10"/>
  <c r="E72" i="10"/>
  <c r="D72" i="10"/>
  <c r="C72" i="10"/>
  <c r="B72" i="10"/>
  <c r="I71" i="10"/>
  <c r="H71" i="10"/>
  <c r="G71" i="10"/>
  <c r="F71" i="10"/>
  <c r="E71" i="10"/>
  <c r="D71" i="10"/>
  <c r="C71" i="10"/>
  <c r="B71" i="10"/>
  <c r="I70" i="10"/>
  <c r="H70" i="10"/>
  <c r="G70" i="10"/>
  <c r="F70" i="10"/>
  <c r="E70" i="10"/>
  <c r="D70" i="10"/>
  <c r="C70" i="10"/>
  <c r="B70" i="10"/>
  <c r="I69" i="10"/>
  <c r="H69" i="10"/>
  <c r="G69" i="10"/>
  <c r="F69" i="10"/>
  <c r="E69" i="10"/>
  <c r="D69" i="10"/>
  <c r="C69" i="10"/>
  <c r="B69" i="10"/>
  <c r="I68" i="10"/>
  <c r="H68" i="10"/>
  <c r="G68" i="10"/>
  <c r="F68" i="10"/>
  <c r="E68" i="10"/>
  <c r="D68" i="10"/>
  <c r="C68" i="10"/>
  <c r="B68" i="10"/>
  <c r="I67" i="10"/>
  <c r="H67" i="10"/>
  <c r="G67" i="10"/>
  <c r="F67" i="10"/>
  <c r="E67" i="10"/>
  <c r="D67" i="10"/>
  <c r="C67" i="10"/>
  <c r="B67" i="10"/>
  <c r="I66" i="10"/>
  <c r="H66" i="10"/>
  <c r="G66" i="10"/>
  <c r="F66" i="10"/>
  <c r="E66" i="10"/>
  <c r="D66" i="10"/>
  <c r="C66" i="10"/>
  <c r="B66" i="10"/>
  <c r="I65" i="10"/>
  <c r="H65" i="10"/>
  <c r="G65" i="10"/>
  <c r="F65" i="10"/>
  <c r="E65" i="10"/>
  <c r="D65" i="10"/>
  <c r="C65" i="10"/>
  <c r="B65" i="10"/>
  <c r="I64" i="10"/>
  <c r="H64" i="10"/>
  <c r="G64" i="10"/>
  <c r="F64" i="10"/>
  <c r="E64" i="10"/>
  <c r="D64" i="10"/>
  <c r="C64" i="10"/>
  <c r="B64" i="10"/>
  <c r="I63" i="10"/>
  <c r="H63" i="10"/>
  <c r="G63" i="10"/>
  <c r="F63" i="10"/>
  <c r="E63" i="10"/>
  <c r="D63" i="10"/>
  <c r="C63" i="10"/>
  <c r="B63" i="10"/>
  <c r="I62" i="10"/>
  <c r="H62" i="10"/>
  <c r="G62" i="10"/>
  <c r="F62" i="10"/>
  <c r="E62" i="10"/>
  <c r="D62" i="10"/>
  <c r="C62" i="10"/>
  <c r="B62" i="10"/>
  <c r="I61" i="10"/>
  <c r="H61" i="10"/>
  <c r="G61" i="10"/>
  <c r="F61" i="10"/>
  <c r="E61" i="10"/>
  <c r="D61" i="10"/>
  <c r="C61" i="10"/>
  <c r="B61" i="10"/>
  <c r="I60" i="10"/>
  <c r="H60" i="10"/>
  <c r="G60" i="10"/>
  <c r="F60" i="10"/>
  <c r="E60" i="10"/>
  <c r="D60" i="10"/>
  <c r="C60" i="10"/>
  <c r="B60" i="10"/>
  <c r="I59" i="10"/>
  <c r="H59" i="10"/>
  <c r="G59" i="10"/>
  <c r="F59" i="10"/>
  <c r="E59" i="10"/>
  <c r="D59" i="10"/>
  <c r="C59" i="10"/>
  <c r="B59" i="10"/>
  <c r="I58" i="10"/>
  <c r="H58" i="10"/>
  <c r="G58" i="10"/>
  <c r="F58" i="10"/>
  <c r="E58" i="10"/>
  <c r="D58" i="10"/>
  <c r="C58" i="10"/>
  <c r="B58" i="10"/>
  <c r="I57" i="10"/>
  <c r="H57" i="10"/>
  <c r="G57" i="10"/>
  <c r="F57" i="10"/>
  <c r="E57" i="10"/>
  <c r="D57" i="10"/>
  <c r="C57" i="10"/>
  <c r="B57" i="10"/>
  <c r="I56" i="10"/>
  <c r="H56" i="10"/>
  <c r="G56" i="10"/>
  <c r="F56" i="10"/>
  <c r="E56" i="10"/>
  <c r="D56" i="10"/>
  <c r="C56" i="10"/>
  <c r="B56" i="10"/>
  <c r="I55" i="10"/>
  <c r="H55" i="10"/>
  <c r="G55" i="10"/>
  <c r="F55" i="10"/>
  <c r="E55" i="10"/>
  <c r="D55" i="10"/>
  <c r="C55" i="10"/>
  <c r="B55" i="10"/>
  <c r="I54" i="10"/>
  <c r="H54" i="10"/>
  <c r="G54" i="10"/>
  <c r="F54" i="10"/>
  <c r="E54" i="10"/>
  <c r="D54" i="10"/>
  <c r="C54" i="10"/>
  <c r="B54" i="10"/>
  <c r="I53" i="10"/>
  <c r="H53" i="10"/>
  <c r="G53" i="10"/>
  <c r="F53" i="10"/>
  <c r="E53" i="10"/>
  <c r="D53" i="10"/>
  <c r="C53" i="10"/>
  <c r="B53" i="10"/>
  <c r="I52" i="10"/>
  <c r="H52" i="10"/>
  <c r="G52" i="10"/>
  <c r="F52" i="10"/>
  <c r="E52" i="10"/>
  <c r="D52" i="10"/>
  <c r="C52" i="10"/>
  <c r="B52" i="10"/>
  <c r="I51" i="10"/>
  <c r="H51" i="10"/>
  <c r="G51" i="10"/>
  <c r="F51" i="10"/>
  <c r="E51" i="10"/>
  <c r="D51" i="10"/>
  <c r="C51" i="10"/>
  <c r="B51" i="10"/>
  <c r="I50" i="10"/>
  <c r="H50" i="10"/>
  <c r="G50" i="10"/>
  <c r="F50" i="10"/>
  <c r="E50" i="10"/>
  <c r="D50" i="10"/>
  <c r="C50" i="10"/>
  <c r="B50" i="10"/>
  <c r="I49" i="10"/>
  <c r="H49" i="10"/>
  <c r="G49" i="10"/>
  <c r="F49" i="10"/>
  <c r="E49" i="10"/>
  <c r="D49" i="10"/>
  <c r="C49" i="10"/>
  <c r="B49" i="10"/>
  <c r="I48" i="10"/>
  <c r="H48" i="10"/>
  <c r="G48" i="10"/>
  <c r="F48" i="10"/>
  <c r="E48" i="10"/>
  <c r="D48" i="10"/>
  <c r="C48" i="10"/>
  <c r="B48" i="10"/>
  <c r="I47" i="10"/>
  <c r="H47" i="10"/>
  <c r="G47" i="10"/>
  <c r="F47" i="10"/>
  <c r="E47" i="10"/>
  <c r="D47" i="10"/>
  <c r="C47" i="10"/>
  <c r="B47" i="10"/>
  <c r="I46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I37" i="10"/>
  <c r="H37" i="10"/>
  <c r="G37" i="10"/>
  <c r="F37" i="10"/>
  <c r="E37" i="10"/>
  <c r="D37" i="10"/>
  <c r="C37" i="10"/>
  <c r="B37" i="10"/>
  <c r="I36" i="10"/>
  <c r="H36" i="10"/>
  <c r="G36" i="10"/>
  <c r="F36" i="10"/>
  <c r="E36" i="10"/>
  <c r="D36" i="10"/>
  <c r="C36" i="10"/>
  <c r="B36" i="10"/>
  <c r="I35" i="10"/>
  <c r="H35" i="10"/>
  <c r="G35" i="10"/>
  <c r="F35" i="10"/>
  <c r="E35" i="10"/>
  <c r="D35" i="10"/>
  <c r="C35" i="10"/>
  <c r="B35" i="10"/>
  <c r="I34" i="10"/>
  <c r="H34" i="10"/>
  <c r="G34" i="10"/>
  <c r="F34" i="10"/>
  <c r="E34" i="10"/>
  <c r="D34" i="10"/>
  <c r="C34" i="10"/>
  <c r="B34" i="10"/>
  <c r="I33" i="10"/>
  <c r="H33" i="10"/>
  <c r="G33" i="10"/>
  <c r="F33" i="10"/>
  <c r="E33" i="10"/>
  <c r="D33" i="10"/>
  <c r="C33" i="10"/>
  <c r="B33" i="10"/>
  <c r="I32" i="10"/>
  <c r="H32" i="10"/>
  <c r="G32" i="10"/>
  <c r="F32" i="10"/>
  <c r="E32" i="10"/>
  <c r="D32" i="10"/>
  <c r="C32" i="10"/>
  <c r="B32" i="10"/>
  <c r="I31" i="10"/>
  <c r="H31" i="10"/>
  <c r="G31" i="10"/>
  <c r="F31" i="10"/>
  <c r="E31" i="10"/>
  <c r="D31" i="10"/>
  <c r="C31" i="10"/>
  <c r="B31" i="10"/>
  <c r="I30" i="10"/>
  <c r="H30" i="10"/>
  <c r="G30" i="10"/>
  <c r="F30" i="10"/>
  <c r="E30" i="10"/>
  <c r="D30" i="10"/>
  <c r="C30" i="10"/>
  <c r="B30" i="10"/>
  <c r="I29" i="10"/>
  <c r="H29" i="10"/>
  <c r="G29" i="10"/>
  <c r="F29" i="10"/>
  <c r="E29" i="10"/>
  <c r="D29" i="10"/>
  <c r="C29" i="10"/>
  <c r="B29" i="10"/>
  <c r="I28" i="10"/>
  <c r="H28" i="10"/>
  <c r="G28" i="10"/>
  <c r="F28" i="10"/>
  <c r="E28" i="10"/>
  <c r="D28" i="10"/>
  <c r="C28" i="10"/>
  <c r="B28" i="10"/>
  <c r="I27" i="10"/>
  <c r="H27" i="10"/>
  <c r="G27" i="10"/>
  <c r="F27" i="10"/>
  <c r="E27" i="10"/>
  <c r="D27" i="10"/>
  <c r="C27" i="10"/>
  <c r="B27" i="10"/>
  <c r="I26" i="10"/>
  <c r="H26" i="10"/>
  <c r="G26" i="10"/>
  <c r="F26" i="10"/>
  <c r="E26" i="10"/>
  <c r="D26" i="10"/>
  <c r="C26" i="10"/>
  <c r="B26" i="10"/>
  <c r="I25" i="10"/>
  <c r="H25" i="10"/>
  <c r="G25" i="10"/>
  <c r="F25" i="10"/>
  <c r="E25" i="10"/>
  <c r="D25" i="10"/>
  <c r="C25" i="10"/>
  <c r="B25" i="10"/>
  <c r="I24" i="10"/>
  <c r="H24" i="10"/>
  <c r="G24" i="10"/>
  <c r="F24" i="10"/>
  <c r="E24" i="10"/>
  <c r="D24" i="10"/>
  <c r="C24" i="10"/>
  <c r="B24" i="10"/>
  <c r="I23" i="10"/>
  <c r="H23" i="10"/>
  <c r="G23" i="10"/>
  <c r="F23" i="10"/>
  <c r="E23" i="10"/>
  <c r="D23" i="10"/>
  <c r="C23" i="10"/>
  <c r="B23" i="10"/>
  <c r="I22" i="10"/>
  <c r="H22" i="10"/>
  <c r="G22" i="10"/>
  <c r="F22" i="10"/>
  <c r="E22" i="10"/>
  <c r="D22" i="10"/>
  <c r="C22" i="10"/>
  <c r="B22" i="10"/>
  <c r="I21" i="10"/>
  <c r="H21" i="10"/>
  <c r="G21" i="10"/>
  <c r="F21" i="10"/>
  <c r="E21" i="10"/>
  <c r="D21" i="10"/>
  <c r="C21" i="10"/>
  <c r="B21" i="10"/>
  <c r="I20" i="10"/>
  <c r="H20" i="10"/>
  <c r="G20" i="10"/>
  <c r="F20" i="10"/>
  <c r="E20" i="10"/>
  <c r="D20" i="10"/>
  <c r="C20" i="10"/>
  <c r="B20" i="10"/>
  <c r="I19" i="10"/>
  <c r="H19" i="10"/>
  <c r="G19" i="10"/>
  <c r="F19" i="10"/>
  <c r="E19" i="10"/>
  <c r="D19" i="10"/>
  <c r="C19" i="10"/>
  <c r="B19" i="10"/>
  <c r="I18" i="10"/>
  <c r="H18" i="10"/>
  <c r="G18" i="10"/>
  <c r="F18" i="10"/>
  <c r="E18" i="10"/>
  <c r="D18" i="10"/>
  <c r="C18" i="10"/>
  <c r="B18" i="10"/>
  <c r="I17" i="10"/>
  <c r="H17" i="10"/>
  <c r="G17" i="10"/>
  <c r="F17" i="10"/>
  <c r="E17" i="10"/>
  <c r="D17" i="10"/>
  <c r="C17" i="10"/>
  <c r="B17" i="10"/>
  <c r="I16" i="10"/>
  <c r="H16" i="10"/>
  <c r="G16" i="10"/>
  <c r="F16" i="10"/>
  <c r="E16" i="10"/>
  <c r="D16" i="10"/>
  <c r="C16" i="10"/>
  <c r="B16" i="10"/>
  <c r="I15" i="10"/>
  <c r="H15" i="10"/>
  <c r="G15" i="10"/>
  <c r="F15" i="10"/>
  <c r="E15" i="10"/>
  <c r="D15" i="10"/>
  <c r="C15" i="10"/>
  <c r="B15" i="10"/>
  <c r="I14" i="10"/>
  <c r="H14" i="10"/>
  <c r="G14" i="10"/>
  <c r="F14" i="10"/>
  <c r="E14" i="10"/>
  <c r="D14" i="10"/>
  <c r="C14" i="10"/>
  <c r="B14" i="10"/>
  <c r="I13" i="10"/>
  <c r="H13" i="10"/>
  <c r="G13" i="10"/>
  <c r="F13" i="10"/>
  <c r="E13" i="10"/>
  <c r="D13" i="10"/>
  <c r="C13" i="10"/>
  <c r="B13" i="10"/>
  <c r="I12" i="10"/>
  <c r="H12" i="10"/>
  <c r="G12" i="10"/>
  <c r="F12" i="10"/>
  <c r="E12" i="10"/>
  <c r="D12" i="10"/>
  <c r="C12" i="10"/>
  <c r="B12" i="10"/>
  <c r="I11" i="10"/>
  <c r="H11" i="10"/>
  <c r="G11" i="10"/>
  <c r="F11" i="10"/>
  <c r="E11" i="10"/>
  <c r="D11" i="10"/>
  <c r="C11" i="10"/>
  <c r="B11" i="10"/>
  <c r="I10" i="10"/>
  <c r="H10" i="10"/>
  <c r="G10" i="10"/>
  <c r="F10" i="10"/>
  <c r="E10" i="10"/>
  <c r="D10" i="10"/>
  <c r="C10" i="10"/>
  <c r="B10" i="10"/>
  <c r="I9" i="10"/>
  <c r="H9" i="10"/>
  <c r="G9" i="10"/>
  <c r="F9" i="10"/>
  <c r="E9" i="10"/>
  <c r="D9" i="10"/>
  <c r="C9" i="10"/>
  <c r="B9" i="10"/>
  <c r="I8" i="10"/>
  <c r="H8" i="10"/>
  <c r="G8" i="10"/>
  <c r="F8" i="10"/>
  <c r="E8" i="10"/>
  <c r="D8" i="10"/>
  <c r="C8" i="10"/>
  <c r="B8" i="10"/>
  <c r="I7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I466" i="9"/>
  <c r="H466" i="9"/>
  <c r="G466" i="9"/>
  <c r="F466" i="9"/>
  <c r="E466" i="9"/>
  <c r="D466" i="9"/>
  <c r="C466" i="9"/>
  <c r="B466" i="9"/>
  <c r="I465" i="9"/>
  <c r="H465" i="9"/>
  <c r="G465" i="9"/>
  <c r="F465" i="9"/>
  <c r="E465" i="9"/>
  <c r="D465" i="9"/>
  <c r="C465" i="9"/>
  <c r="B465" i="9"/>
  <c r="I464" i="9"/>
  <c r="H464" i="9"/>
  <c r="G464" i="9"/>
  <c r="F464" i="9"/>
  <c r="E464" i="9"/>
  <c r="D464" i="9"/>
  <c r="C464" i="9"/>
  <c r="B464" i="9"/>
  <c r="I463" i="9"/>
  <c r="H463" i="9"/>
  <c r="G463" i="9"/>
  <c r="F463" i="9"/>
  <c r="E463" i="9"/>
  <c r="D463" i="9"/>
  <c r="C463" i="9"/>
  <c r="B463" i="9"/>
  <c r="I462" i="9"/>
  <c r="H462" i="9"/>
  <c r="G462" i="9"/>
  <c r="F462" i="9"/>
  <c r="E462" i="9"/>
  <c r="D462" i="9"/>
  <c r="C462" i="9"/>
  <c r="B462" i="9"/>
  <c r="I461" i="9"/>
  <c r="H461" i="9"/>
  <c r="G461" i="9"/>
  <c r="F461" i="9"/>
  <c r="E461" i="9"/>
  <c r="D461" i="9"/>
  <c r="C461" i="9"/>
  <c r="B461" i="9"/>
  <c r="I460" i="9"/>
  <c r="H460" i="9"/>
  <c r="G460" i="9"/>
  <c r="F460" i="9"/>
  <c r="E460" i="9"/>
  <c r="D460" i="9"/>
  <c r="C460" i="9"/>
  <c r="B460" i="9"/>
  <c r="I459" i="9"/>
  <c r="H459" i="9"/>
  <c r="G459" i="9"/>
  <c r="F459" i="9"/>
  <c r="E459" i="9"/>
  <c r="D459" i="9"/>
  <c r="C459" i="9"/>
  <c r="B459" i="9"/>
  <c r="I458" i="9"/>
  <c r="H458" i="9"/>
  <c r="G458" i="9"/>
  <c r="F458" i="9"/>
  <c r="E458" i="9"/>
  <c r="D458" i="9"/>
  <c r="C458" i="9"/>
  <c r="B458" i="9"/>
  <c r="I457" i="9"/>
  <c r="H457" i="9"/>
  <c r="G457" i="9"/>
  <c r="F457" i="9"/>
  <c r="E457" i="9"/>
  <c r="D457" i="9"/>
  <c r="C457" i="9"/>
  <c r="B457" i="9"/>
  <c r="I456" i="9"/>
  <c r="H456" i="9"/>
  <c r="G456" i="9"/>
  <c r="F456" i="9"/>
  <c r="E456" i="9"/>
  <c r="D456" i="9"/>
  <c r="C456" i="9"/>
  <c r="B456" i="9"/>
  <c r="I455" i="9"/>
  <c r="H455" i="9"/>
  <c r="G455" i="9"/>
  <c r="F455" i="9"/>
  <c r="E455" i="9"/>
  <c r="D455" i="9"/>
  <c r="C455" i="9"/>
  <c r="B455" i="9"/>
  <c r="I454" i="9"/>
  <c r="H454" i="9"/>
  <c r="G454" i="9"/>
  <c r="F454" i="9"/>
  <c r="E454" i="9"/>
  <c r="D454" i="9"/>
  <c r="C454" i="9"/>
  <c r="B454" i="9"/>
  <c r="I453" i="9"/>
  <c r="H453" i="9"/>
  <c r="G453" i="9"/>
  <c r="F453" i="9"/>
  <c r="E453" i="9"/>
  <c r="D453" i="9"/>
  <c r="C453" i="9"/>
  <c r="B453" i="9"/>
  <c r="I452" i="9"/>
  <c r="H452" i="9"/>
  <c r="G452" i="9"/>
  <c r="F452" i="9"/>
  <c r="E452" i="9"/>
  <c r="D452" i="9"/>
  <c r="C452" i="9"/>
  <c r="B452" i="9"/>
  <c r="I451" i="9"/>
  <c r="H451" i="9"/>
  <c r="G451" i="9"/>
  <c r="F451" i="9"/>
  <c r="E451" i="9"/>
  <c r="D451" i="9"/>
  <c r="C451" i="9"/>
  <c r="B451" i="9"/>
  <c r="I450" i="9"/>
  <c r="H450" i="9"/>
  <c r="G450" i="9"/>
  <c r="F450" i="9"/>
  <c r="E450" i="9"/>
  <c r="D450" i="9"/>
  <c r="C450" i="9"/>
  <c r="B450" i="9"/>
  <c r="I449" i="9"/>
  <c r="H449" i="9"/>
  <c r="G449" i="9"/>
  <c r="F449" i="9"/>
  <c r="E449" i="9"/>
  <c r="D449" i="9"/>
  <c r="C449" i="9"/>
  <c r="B449" i="9"/>
  <c r="I448" i="9"/>
  <c r="H448" i="9"/>
  <c r="G448" i="9"/>
  <c r="F448" i="9"/>
  <c r="E448" i="9"/>
  <c r="D448" i="9"/>
  <c r="C448" i="9"/>
  <c r="B448" i="9"/>
  <c r="I447" i="9"/>
  <c r="H447" i="9"/>
  <c r="G447" i="9"/>
  <c r="F447" i="9"/>
  <c r="E447" i="9"/>
  <c r="D447" i="9"/>
  <c r="C447" i="9"/>
  <c r="B447" i="9"/>
  <c r="I446" i="9"/>
  <c r="H446" i="9"/>
  <c r="G446" i="9"/>
  <c r="F446" i="9"/>
  <c r="E446" i="9"/>
  <c r="D446" i="9"/>
  <c r="C446" i="9"/>
  <c r="B446" i="9"/>
  <c r="I445" i="9"/>
  <c r="H445" i="9"/>
  <c r="G445" i="9"/>
  <c r="F445" i="9"/>
  <c r="E445" i="9"/>
  <c r="D445" i="9"/>
  <c r="C445" i="9"/>
  <c r="B445" i="9"/>
  <c r="I444" i="9"/>
  <c r="H444" i="9"/>
  <c r="G444" i="9"/>
  <c r="F444" i="9"/>
  <c r="E444" i="9"/>
  <c r="D444" i="9"/>
  <c r="C444" i="9"/>
  <c r="B444" i="9"/>
  <c r="I443" i="9"/>
  <c r="H443" i="9"/>
  <c r="G443" i="9"/>
  <c r="F443" i="9"/>
  <c r="E443" i="9"/>
  <c r="D443" i="9"/>
  <c r="C443" i="9"/>
  <c r="B443" i="9"/>
  <c r="I442" i="9"/>
  <c r="H442" i="9"/>
  <c r="G442" i="9"/>
  <c r="F442" i="9"/>
  <c r="E442" i="9"/>
  <c r="D442" i="9"/>
  <c r="C442" i="9"/>
  <c r="B442" i="9"/>
  <c r="I441" i="9"/>
  <c r="H441" i="9"/>
  <c r="G441" i="9"/>
  <c r="F441" i="9"/>
  <c r="E441" i="9"/>
  <c r="D441" i="9"/>
  <c r="C441" i="9"/>
  <c r="B441" i="9"/>
  <c r="I440" i="9"/>
  <c r="H440" i="9"/>
  <c r="G440" i="9"/>
  <c r="F440" i="9"/>
  <c r="E440" i="9"/>
  <c r="D440" i="9"/>
  <c r="C440" i="9"/>
  <c r="B440" i="9"/>
  <c r="I439" i="9"/>
  <c r="H439" i="9"/>
  <c r="G439" i="9"/>
  <c r="F439" i="9"/>
  <c r="E439" i="9"/>
  <c r="D439" i="9"/>
  <c r="C439" i="9"/>
  <c r="B439" i="9"/>
  <c r="I438" i="9"/>
  <c r="H438" i="9"/>
  <c r="G438" i="9"/>
  <c r="F438" i="9"/>
  <c r="E438" i="9"/>
  <c r="D438" i="9"/>
  <c r="C438" i="9"/>
  <c r="B438" i="9"/>
  <c r="I437" i="9"/>
  <c r="H437" i="9"/>
  <c r="G437" i="9"/>
  <c r="F437" i="9"/>
  <c r="E437" i="9"/>
  <c r="D437" i="9"/>
  <c r="C437" i="9"/>
  <c r="B437" i="9"/>
  <c r="I436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I426" i="9"/>
  <c r="H426" i="9"/>
  <c r="G426" i="9"/>
  <c r="F426" i="9"/>
  <c r="E426" i="9"/>
  <c r="D426" i="9"/>
  <c r="C426" i="9"/>
  <c r="B426" i="9"/>
  <c r="I425" i="9"/>
  <c r="H425" i="9"/>
  <c r="G425" i="9"/>
  <c r="F425" i="9"/>
  <c r="E425" i="9"/>
  <c r="D425" i="9"/>
  <c r="C425" i="9"/>
  <c r="B425" i="9"/>
  <c r="I424" i="9"/>
  <c r="H424" i="9"/>
  <c r="G424" i="9"/>
  <c r="F424" i="9"/>
  <c r="E424" i="9"/>
  <c r="D424" i="9"/>
  <c r="C424" i="9"/>
  <c r="B424" i="9"/>
  <c r="I423" i="9"/>
  <c r="H423" i="9"/>
  <c r="G423" i="9"/>
  <c r="F423" i="9"/>
  <c r="E423" i="9"/>
  <c r="D423" i="9"/>
  <c r="C423" i="9"/>
  <c r="B423" i="9"/>
  <c r="I422" i="9"/>
  <c r="H422" i="9"/>
  <c r="G422" i="9"/>
  <c r="F422" i="9"/>
  <c r="E422" i="9"/>
  <c r="D422" i="9"/>
  <c r="C422" i="9"/>
  <c r="B422" i="9"/>
  <c r="I421" i="9"/>
  <c r="H421" i="9"/>
  <c r="G421" i="9"/>
  <c r="F421" i="9"/>
  <c r="E421" i="9"/>
  <c r="D421" i="9"/>
  <c r="C421" i="9"/>
  <c r="B421" i="9"/>
  <c r="I420" i="9"/>
  <c r="H420" i="9"/>
  <c r="G420" i="9"/>
  <c r="F420" i="9"/>
  <c r="E420" i="9"/>
  <c r="D420" i="9"/>
  <c r="C420" i="9"/>
  <c r="B420" i="9"/>
  <c r="I419" i="9"/>
  <c r="H419" i="9"/>
  <c r="G419" i="9"/>
  <c r="F419" i="9"/>
  <c r="E419" i="9"/>
  <c r="D419" i="9"/>
  <c r="C419" i="9"/>
  <c r="B419" i="9"/>
  <c r="I418" i="9"/>
  <c r="H418" i="9"/>
  <c r="G418" i="9"/>
  <c r="F418" i="9"/>
  <c r="E418" i="9"/>
  <c r="D418" i="9"/>
  <c r="C418" i="9"/>
  <c r="B418" i="9"/>
  <c r="I417" i="9"/>
  <c r="H417" i="9"/>
  <c r="G417" i="9"/>
  <c r="F417" i="9"/>
  <c r="E417" i="9"/>
  <c r="D417" i="9"/>
  <c r="C417" i="9"/>
  <c r="B417" i="9"/>
  <c r="I416" i="9"/>
  <c r="H416" i="9"/>
  <c r="G416" i="9"/>
  <c r="F416" i="9"/>
  <c r="E416" i="9"/>
  <c r="D416" i="9"/>
  <c r="C416" i="9"/>
  <c r="B416" i="9"/>
  <c r="I415" i="9"/>
  <c r="H415" i="9"/>
  <c r="G415" i="9"/>
  <c r="F415" i="9"/>
  <c r="E415" i="9"/>
  <c r="D415" i="9"/>
  <c r="C415" i="9"/>
  <c r="B415" i="9"/>
  <c r="I414" i="9"/>
  <c r="H414" i="9"/>
  <c r="G414" i="9"/>
  <c r="F414" i="9"/>
  <c r="E414" i="9"/>
  <c r="D414" i="9"/>
  <c r="C414" i="9"/>
  <c r="B414" i="9"/>
  <c r="I413" i="9"/>
  <c r="H413" i="9"/>
  <c r="G413" i="9"/>
  <c r="F413" i="9"/>
  <c r="E413" i="9"/>
  <c r="D413" i="9"/>
  <c r="C413" i="9"/>
  <c r="B413" i="9"/>
  <c r="I412" i="9"/>
  <c r="H412" i="9"/>
  <c r="G412" i="9"/>
  <c r="F412" i="9"/>
  <c r="E412" i="9"/>
  <c r="D412" i="9"/>
  <c r="C412" i="9"/>
  <c r="B412" i="9"/>
  <c r="I411" i="9"/>
  <c r="H411" i="9"/>
  <c r="G411" i="9"/>
  <c r="F411" i="9"/>
  <c r="E411" i="9"/>
  <c r="D411" i="9"/>
  <c r="C411" i="9"/>
  <c r="B411" i="9"/>
  <c r="I410" i="9"/>
  <c r="H410" i="9"/>
  <c r="G410" i="9"/>
  <c r="F410" i="9"/>
  <c r="E410" i="9"/>
  <c r="D410" i="9"/>
  <c r="C410" i="9"/>
  <c r="B410" i="9"/>
  <c r="I409" i="9"/>
  <c r="H409" i="9"/>
  <c r="G409" i="9"/>
  <c r="F409" i="9"/>
  <c r="E409" i="9"/>
  <c r="D409" i="9"/>
  <c r="C409" i="9"/>
  <c r="B409" i="9"/>
  <c r="I408" i="9"/>
  <c r="H408" i="9"/>
  <c r="G408" i="9"/>
  <c r="F408" i="9"/>
  <c r="E408" i="9"/>
  <c r="D408" i="9"/>
  <c r="C408" i="9"/>
  <c r="B408" i="9"/>
  <c r="I407" i="9"/>
  <c r="H407" i="9"/>
  <c r="G407" i="9"/>
  <c r="F407" i="9"/>
  <c r="E407" i="9"/>
  <c r="D407" i="9"/>
  <c r="C407" i="9"/>
  <c r="B407" i="9"/>
  <c r="I406" i="9"/>
  <c r="H406" i="9"/>
  <c r="G406" i="9"/>
  <c r="F406" i="9"/>
  <c r="E406" i="9"/>
  <c r="D406" i="9"/>
  <c r="C406" i="9"/>
  <c r="B406" i="9"/>
  <c r="I405" i="9"/>
  <c r="H405" i="9"/>
  <c r="G405" i="9"/>
  <c r="F405" i="9"/>
  <c r="E405" i="9"/>
  <c r="D405" i="9"/>
  <c r="C405" i="9"/>
  <c r="B405" i="9"/>
  <c r="I404" i="9"/>
  <c r="H404" i="9"/>
  <c r="G404" i="9"/>
  <c r="F404" i="9"/>
  <c r="E404" i="9"/>
  <c r="D404" i="9"/>
  <c r="C404" i="9"/>
  <c r="B404" i="9"/>
  <c r="I403" i="9"/>
  <c r="H403" i="9"/>
  <c r="G403" i="9"/>
  <c r="F403" i="9"/>
  <c r="E403" i="9"/>
  <c r="D403" i="9"/>
  <c r="C403" i="9"/>
  <c r="B403" i="9"/>
  <c r="I402" i="9"/>
  <c r="H402" i="9"/>
  <c r="G402" i="9"/>
  <c r="F402" i="9"/>
  <c r="E402" i="9"/>
  <c r="D402" i="9"/>
  <c r="C402" i="9"/>
  <c r="B402" i="9"/>
  <c r="I401" i="9"/>
  <c r="H401" i="9"/>
  <c r="G401" i="9"/>
  <c r="F401" i="9"/>
  <c r="E401" i="9"/>
  <c r="D401" i="9"/>
  <c r="C401" i="9"/>
  <c r="B401" i="9"/>
  <c r="I400" i="9"/>
  <c r="H400" i="9"/>
  <c r="G400" i="9"/>
  <c r="F400" i="9"/>
  <c r="E400" i="9"/>
  <c r="D400" i="9"/>
  <c r="C400" i="9"/>
  <c r="B400" i="9"/>
  <c r="I399" i="9"/>
  <c r="H399" i="9"/>
  <c r="G399" i="9"/>
  <c r="F399" i="9"/>
  <c r="E399" i="9"/>
  <c r="D399" i="9"/>
  <c r="C399" i="9"/>
  <c r="B399" i="9"/>
  <c r="I398" i="9"/>
  <c r="H398" i="9"/>
  <c r="G398" i="9"/>
  <c r="F398" i="9"/>
  <c r="E398" i="9"/>
  <c r="D398" i="9"/>
  <c r="C398" i="9"/>
  <c r="B398" i="9"/>
  <c r="I397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I388" i="9"/>
  <c r="H388" i="9"/>
  <c r="G388" i="9"/>
  <c r="F388" i="9"/>
  <c r="E388" i="9"/>
  <c r="D388" i="9"/>
  <c r="C388" i="9"/>
  <c r="B388" i="9"/>
  <c r="I387" i="9"/>
  <c r="H387" i="9"/>
  <c r="G387" i="9"/>
  <c r="F387" i="9"/>
  <c r="E387" i="9"/>
  <c r="D387" i="9"/>
  <c r="C387" i="9"/>
  <c r="B387" i="9"/>
  <c r="I386" i="9"/>
  <c r="H386" i="9"/>
  <c r="G386" i="9"/>
  <c r="F386" i="9"/>
  <c r="E386" i="9"/>
  <c r="D386" i="9"/>
  <c r="C386" i="9"/>
  <c r="B386" i="9"/>
  <c r="I385" i="9"/>
  <c r="H385" i="9"/>
  <c r="G385" i="9"/>
  <c r="F385" i="9"/>
  <c r="E385" i="9"/>
  <c r="D385" i="9"/>
  <c r="C385" i="9"/>
  <c r="B385" i="9"/>
  <c r="I384" i="9"/>
  <c r="H384" i="9"/>
  <c r="G384" i="9"/>
  <c r="F384" i="9"/>
  <c r="E384" i="9"/>
  <c r="D384" i="9"/>
  <c r="C384" i="9"/>
  <c r="B384" i="9"/>
  <c r="I383" i="9"/>
  <c r="H383" i="9"/>
  <c r="G383" i="9"/>
  <c r="F383" i="9"/>
  <c r="E383" i="9"/>
  <c r="D383" i="9"/>
  <c r="C383" i="9"/>
  <c r="B383" i="9"/>
  <c r="I382" i="9"/>
  <c r="H382" i="9"/>
  <c r="G382" i="9"/>
  <c r="F382" i="9"/>
  <c r="E382" i="9"/>
  <c r="D382" i="9"/>
  <c r="C382" i="9"/>
  <c r="B382" i="9"/>
  <c r="I381" i="9"/>
  <c r="H381" i="9"/>
  <c r="G381" i="9"/>
  <c r="F381" i="9"/>
  <c r="E381" i="9"/>
  <c r="D381" i="9"/>
  <c r="C381" i="9"/>
  <c r="B381" i="9"/>
  <c r="I380" i="9"/>
  <c r="H380" i="9"/>
  <c r="G380" i="9"/>
  <c r="F380" i="9"/>
  <c r="E380" i="9"/>
  <c r="D380" i="9"/>
  <c r="C380" i="9"/>
  <c r="B380" i="9"/>
  <c r="I379" i="9"/>
  <c r="H379" i="9"/>
  <c r="G379" i="9"/>
  <c r="F379" i="9"/>
  <c r="E379" i="9"/>
  <c r="D379" i="9"/>
  <c r="C379" i="9"/>
  <c r="B379" i="9"/>
  <c r="I378" i="9"/>
  <c r="H378" i="9"/>
  <c r="G378" i="9"/>
  <c r="F378" i="9"/>
  <c r="E378" i="9"/>
  <c r="D378" i="9"/>
  <c r="C378" i="9"/>
  <c r="B378" i="9"/>
  <c r="I377" i="9"/>
  <c r="H377" i="9"/>
  <c r="G377" i="9"/>
  <c r="F377" i="9"/>
  <c r="E377" i="9"/>
  <c r="D377" i="9"/>
  <c r="C377" i="9"/>
  <c r="B377" i="9"/>
  <c r="I376" i="9"/>
  <c r="H376" i="9"/>
  <c r="G376" i="9"/>
  <c r="F376" i="9"/>
  <c r="E376" i="9"/>
  <c r="D376" i="9"/>
  <c r="C376" i="9"/>
  <c r="B376" i="9"/>
  <c r="I375" i="9"/>
  <c r="H375" i="9"/>
  <c r="G375" i="9"/>
  <c r="F375" i="9"/>
  <c r="E375" i="9"/>
  <c r="D375" i="9"/>
  <c r="C375" i="9"/>
  <c r="B375" i="9"/>
  <c r="I374" i="9"/>
  <c r="H374" i="9"/>
  <c r="G374" i="9"/>
  <c r="F374" i="9"/>
  <c r="E374" i="9"/>
  <c r="D374" i="9"/>
  <c r="C374" i="9"/>
  <c r="B374" i="9"/>
  <c r="I373" i="9"/>
  <c r="H373" i="9"/>
  <c r="G373" i="9"/>
  <c r="F373" i="9"/>
  <c r="E373" i="9"/>
  <c r="D373" i="9"/>
  <c r="C373" i="9"/>
  <c r="B373" i="9"/>
  <c r="I372" i="9"/>
  <c r="H372" i="9"/>
  <c r="G372" i="9"/>
  <c r="F372" i="9"/>
  <c r="E372" i="9"/>
  <c r="D372" i="9"/>
  <c r="C372" i="9"/>
  <c r="B372" i="9"/>
  <c r="I371" i="9"/>
  <c r="H371" i="9"/>
  <c r="G371" i="9"/>
  <c r="F371" i="9"/>
  <c r="E371" i="9"/>
  <c r="D371" i="9"/>
  <c r="C371" i="9"/>
  <c r="B371" i="9"/>
  <c r="I370" i="9"/>
  <c r="H370" i="9"/>
  <c r="G370" i="9"/>
  <c r="F370" i="9"/>
  <c r="E370" i="9"/>
  <c r="D370" i="9"/>
  <c r="C370" i="9"/>
  <c r="B370" i="9"/>
  <c r="I369" i="9"/>
  <c r="H369" i="9"/>
  <c r="G369" i="9"/>
  <c r="F369" i="9"/>
  <c r="E369" i="9"/>
  <c r="D369" i="9"/>
  <c r="C369" i="9"/>
  <c r="B369" i="9"/>
  <c r="I368" i="9"/>
  <c r="H368" i="9"/>
  <c r="G368" i="9"/>
  <c r="F368" i="9"/>
  <c r="E368" i="9"/>
  <c r="D368" i="9"/>
  <c r="C368" i="9"/>
  <c r="B368" i="9"/>
  <c r="I367" i="9"/>
  <c r="H367" i="9"/>
  <c r="G367" i="9"/>
  <c r="F367" i="9"/>
  <c r="E367" i="9"/>
  <c r="D367" i="9"/>
  <c r="C367" i="9"/>
  <c r="B367" i="9"/>
  <c r="I366" i="9"/>
  <c r="H366" i="9"/>
  <c r="G366" i="9"/>
  <c r="F366" i="9"/>
  <c r="E366" i="9"/>
  <c r="D366" i="9"/>
  <c r="C366" i="9"/>
  <c r="B366" i="9"/>
  <c r="I365" i="9"/>
  <c r="H365" i="9"/>
  <c r="G365" i="9"/>
  <c r="F365" i="9"/>
  <c r="E365" i="9"/>
  <c r="D365" i="9"/>
  <c r="C365" i="9"/>
  <c r="B365" i="9"/>
  <c r="I364" i="9"/>
  <c r="H364" i="9"/>
  <c r="G364" i="9"/>
  <c r="F364" i="9"/>
  <c r="E364" i="9"/>
  <c r="D364" i="9"/>
  <c r="C364" i="9"/>
  <c r="B364" i="9"/>
  <c r="I363" i="9"/>
  <c r="H363" i="9"/>
  <c r="G363" i="9"/>
  <c r="F363" i="9"/>
  <c r="E363" i="9"/>
  <c r="D363" i="9"/>
  <c r="C363" i="9"/>
  <c r="B363" i="9"/>
  <c r="I362" i="9"/>
  <c r="H362" i="9"/>
  <c r="G362" i="9"/>
  <c r="F362" i="9"/>
  <c r="E362" i="9"/>
  <c r="D362" i="9"/>
  <c r="C362" i="9"/>
  <c r="B362" i="9"/>
  <c r="I361" i="9"/>
  <c r="H361" i="9"/>
  <c r="G361" i="9"/>
  <c r="F361" i="9"/>
  <c r="E361" i="9"/>
  <c r="D361" i="9"/>
  <c r="C361" i="9"/>
  <c r="B361" i="9"/>
  <c r="I360" i="9"/>
  <c r="H360" i="9"/>
  <c r="G360" i="9"/>
  <c r="F360" i="9"/>
  <c r="E360" i="9"/>
  <c r="D360" i="9"/>
  <c r="C360" i="9"/>
  <c r="B360" i="9"/>
  <c r="I359" i="9"/>
  <c r="H359" i="9"/>
  <c r="G359" i="9"/>
  <c r="F359" i="9"/>
  <c r="E359" i="9"/>
  <c r="D359" i="9"/>
  <c r="C359" i="9"/>
  <c r="B359" i="9"/>
  <c r="I358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I348" i="9"/>
  <c r="H348" i="9"/>
  <c r="G348" i="9"/>
  <c r="F348" i="9"/>
  <c r="E348" i="9"/>
  <c r="D348" i="9"/>
  <c r="C348" i="9"/>
  <c r="B348" i="9"/>
  <c r="I347" i="9"/>
  <c r="H347" i="9"/>
  <c r="G347" i="9"/>
  <c r="F347" i="9"/>
  <c r="E347" i="9"/>
  <c r="D347" i="9"/>
  <c r="C347" i="9"/>
  <c r="B347" i="9"/>
  <c r="I346" i="9"/>
  <c r="H346" i="9"/>
  <c r="G346" i="9"/>
  <c r="F346" i="9"/>
  <c r="E346" i="9"/>
  <c r="D346" i="9"/>
  <c r="C346" i="9"/>
  <c r="B346" i="9"/>
  <c r="I345" i="9"/>
  <c r="H345" i="9"/>
  <c r="G345" i="9"/>
  <c r="F345" i="9"/>
  <c r="E345" i="9"/>
  <c r="D345" i="9"/>
  <c r="C345" i="9"/>
  <c r="B345" i="9"/>
  <c r="I344" i="9"/>
  <c r="H344" i="9"/>
  <c r="G344" i="9"/>
  <c r="F344" i="9"/>
  <c r="E344" i="9"/>
  <c r="D344" i="9"/>
  <c r="C344" i="9"/>
  <c r="B344" i="9"/>
  <c r="I343" i="9"/>
  <c r="H343" i="9"/>
  <c r="G343" i="9"/>
  <c r="F343" i="9"/>
  <c r="E343" i="9"/>
  <c r="D343" i="9"/>
  <c r="C343" i="9"/>
  <c r="B343" i="9"/>
  <c r="I342" i="9"/>
  <c r="H342" i="9"/>
  <c r="G342" i="9"/>
  <c r="F342" i="9"/>
  <c r="E342" i="9"/>
  <c r="D342" i="9"/>
  <c r="C342" i="9"/>
  <c r="B342" i="9"/>
  <c r="I341" i="9"/>
  <c r="H341" i="9"/>
  <c r="G341" i="9"/>
  <c r="F341" i="9"/>
  <c r="E341" i="9"/>
  <c r="D341" i="9"/>
  <c r="C341" i="9"/>
  <c r="B341" i="9"/>
  <c r="I340" i="9"/>
  <c r="H340" i="9"/>
  <c r="G340" i="9"/>
  <c r="F340" i="9"/>
  <c r="E340" i="9"/>
  <c r="D340" i="9"/>
  <c r="C340" i="9"/>
  <c r="B340" i="9"/>
  <c r="I339" i="9"/>
  <c r="H339" i="9"/>
  <c r="G339" i="9"/>
  <c r="F339" i="9"/>
  <c r="E339" i="9"/>
  <c r="D339" i="9"/>
  <c r="C339" i="9"/>
  <c r="B339" i="9"/>
  <c r="I338" i="9"/>
  <c r="H338" i="9"/>
  <c r="G338" i="9"/>
  <c r="F338" i="9"/>
  <c r="E338" i="9"/>
  <c r="D338" i="9"/>
  <c r="C338" i="9"/>
  <c r="B338" i="9"/>
  <c r="I337" i="9"/>
  <c r="H337" i="9"/>
  <c r="G337" i="9"/>
  <c r="F337" i="9"/>
  <c r="E337" i="9"/>
  <c r="D337" i="9"/>
  <c r="C337" i="9"/>
  <c r="B337" i="9"/>
  <c r="I336" i="9"/>
  <c r="H336" i="9"/>
  <c r="G336" i="9"/>
  <c r="F336" i="9"/>
  <c r="E336" i="9"/>
  <c r="D336" i="9"/>
  <c r="C336" i="9"/>
  <c r="B336" i="9"/>
  <c r="I335" i="9"/>
  <c r="H335" i="9"/>
  <c r="G335" i="9"/>
  <c r="F335" i="9"/>
  <c r="E335" i="9"/>
  <c r="D335" i="9"/>
  <c r="C335" i="9"/>
  <c r="B335" i="9"/>
  <c r="I334" i="9"/>
  <c r="H334" i="9"/>
  <c r="G334" i="9"/>
  <c r="F334" i="9"/>
  <c r="E334" i="9"/>
  <c r="D334" i="9"/>
  <c r="C334" i="9"/>
  <c r="B334" i="9"/>
  <c r="I333" i="9"/>
  <c r="H333" i="9"/>
  <c r="G333" i="9"/>
  <c r="F333" i="9"/>
  <c r="E333" i="9"/>
  <c r="D333" i="9"/>
  <c r="C333" i="9"/>
  <c r="B333" i="9"/>
  <c r="I332" i="9"/>
  <c r="H332" i="9"/>
  <c r="G332" i="9"/>
  <c r="F332" i="9"/>
  <c r="E332" i="9"/>
  <c r="D332" i="9"/>
  <c r="C332" i="9"/>
  <c r="B332" i="9"/>
  <c r="I331" i="9"/>
  <c r="H331" i="9"/>
  <c r="G331" i="9"/>
  <c r="F331" i="9"/>
  <c r="E331" i="9"/>
  <c r="D331" i="9"/>
  <c r="C331" i="9"/>
  <c r="B331" i="9"/>
  <c r="I330" i="9"/>
  <c r="H330" i="9"/>
  <c r="G330" i="9"/>
  <c r="F330" i="9"/>
  <c r="E330" i="9"/>
  <c r="D330" i="9"/>
  <c r="C330" i="9"/>
  <c r="B330" i="9"/>
  <c r="I329" i="9"/>
  <c r="H329" i="9"/>
  <c r="G329" i="9"/>
  <c r="F329" i="9"/>
  <c r="E329" i="9"/>
  <c r="D329" i="9"/>
  <c r="C329" i="9"/>
  <c r="B329" i="9"/>
  <c r="I328" i="9"/>
  <c r="H328" i="9"/>
  <c r="G328" i="9"/>
  <c r="F328" i="9"/>
  <c r="E328" i="9"/>
  <c r="D328" i="9"/>
  <c r="C328" i="9"/>
  <c r="B328" i="9"/>
  <c r="I327" i="9"/>
  <c r="H327" i="9"/>
  <c r="G327" i="9"/>
  <c r="F327" i="9"/>
  <c r="E327" i="9"/>
  <c r="D327" i="9"/>
  <c r="C327" i="9"/>
  <c r="B327" i="9"/>
  <c r="I326" i="9"/>
  <c r="H326" i="9"/>
  <c r="G326" i="9"/>
  <c r="F326" i="9"/>
  <c r="E326" i="9"/>
  <c r="D326" i="9"/>
  <c r="C326" i="9"/>
  <c r="B326" i="9"/>
  <c r="I325" i="9"/>
  <c r="H325" i="9"/>
  <c r="G325" i="9"/>
  <c r="F325" i="9"/>
  <c r="E325" i="9"/>
  <c r="D325" i="9"/>
  <c r="C325" i="9"/>
  <c r="B325" i="9"/>
  <c r="I324" i="9"/>
  <c r="H324" i="9"/>
  <c r="G324" i="9"/>
  <c r="F324" i="9"/>
  <c r="E324" i="9"/>
  <c r="D324" i="9"/>
  <c r="C324" i="9"/>
  <c r="B324" i="9"/>
  <c r="I323" i="9"/>
  <c r="H323" i="9"/>
  <c r="G323" i="9"/>
  <c r="F323" i="9"/>
  <c r="E323" i="9"/>
  <c r="D323" i="9"/>
  <c r="C323" i="9"/>
  <c r="B323" i="9"/>
  <c r="I322" i="9"/>
  <c r="H322" i="9"/>
  <c r="G322" i="9"/>
  <c r="F322" i="9"/>
  <c r="E322" i="9"/>
  <c r="D322" i="9"/>
  <c r="C322" i="9"/>
  <c r="B322" i="9"/>
  <c r="I321" i="9"/>
  <c r="H321" i="9"/>
  <c r="G321" i="9"/>
  <c r="F321" i="9"/>
  <c r="E321" i="9"/>
  <c r="D321" i="9"/>
  <c r="C321" i="9"/>
  <c r="B321" i="9"/>
  <c r="I320" i="9"/>
  <c r="H320" i="9"/>
  <c r="G320" i="9"/>
  <c r="F320" i="9"/>
  <c r="E320" i="9"/>
  <c r="D320" i="9"/>
  <c r="C320" i="9"/>
  <c r="B320" i="9"/>
  <c r="I319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I310" i="9"/>
  <c r="H310" i="9"/>
  <c r="G310" i="9"/>
  <c r="F310" i="9"/>
  <c r="E310" i="9"/>
  <c r="D310" i="9"/>
  <c r="C310" i="9"/>
  <c r="B310" i="9"/>
  <c r="I309" i="9"/>
  <c r="H309" i="9"/>
  <c r="G309" i="9"/>
  <c r="F309" i="9"/>
  <c r="E309" i="9"/>
  <c r="D309" i="9"/>
  <c r="C309" i="9"/>
  <c r="B309" i="9"/>
  <c r="I308" i="9"/>
  <c r="H308" i="9"/>
  <c r="G308" i="9"/>
  <c r="F308" i="9"/>
  <c r="E308" i="9"/>
  <c r="D308" i="9"/>
  <c r="C308" i="9"/>
  <c r="B308" i="9"/>
  <c r="I307" i="9"/>
  <c r="H307" i="9"/>
  <c r="G307" i="9"/>
  <c r="F307" i="9"/>
  <c r="E307" i="9"/>
  <c r="D307" i="9"/>
  <c r="C307" i="9"/>
  <c r="B307" i="9"/>
  <c r="I306" i="9"/>
  <c r="H306" i="9"/>
  <c r="G306" i="9"/>
  <c r="F306" i="9"/>
  <c r="E306" i="9"/>
  <c r="D306" i="9"/>
  <c r="C306" i="9"/>
  <c r="B306" i="9"/>
  <c r="I305" i="9"/>
  <c r="H305" i="9"/>
  <c r="G305" i="9"/>
  <c r="F305" i="9"/>
  <c r="E305" i="9"/>
  <c r="D305" i="9"/>
  <c r="C305" i="9"/>
  <c r="B305" i="9"/>
  <c r="I304" i="9"/>
  <c r="H304" i="9"/>
  <c r="G304" i="9"/>
  <c r="F304" i="9"/>
  <c r="E304" i="9"/>
  <c r="D304" i="9"/>
  <c r="C304" i="9"/>
  <c r="B304" i="9"/>
  <c r="I303" i="9"/>
  <c r="H303" i="9"/>
  <c r="G303" i="9"/>
  <c r="F303" i="9"/>
  <c r="E303" i="9"/>
  <c r="D303" i="9"/>
  <c r="C303" i="9"/>
  <c r="B303" i="9"/>
  <c r="I302" i="9"/>
  <c r="H302" i="9"/>
  <c r="G302" i="9"/>
  <c r="F302" i="9"/>
  <c r="E302" i="9"/>
  <c r="D302" i="9"/>
  <c r="C302" i="9"/>
  <c r="B302" i="9"/>
  <c r="I301" i="9"/>
  <c r="H301" i="9"/>
  <c r="G301" i="9"/>
  <c r="F301" i="9"/>
  <c r="E301" i="9"/>
  <c r="D301" i="9"/>
  <c r="C301" i="9"/>
  <c r="B301" i="9"/>
  <c r="I300" i="9"/>
  <c r="H300" i="9"/>
  <c r="G300" i="9"/>
  <c r="F300" i="9"/>
  <c r="E300" i="9"/>
  <c r="D300" i="9"/>
  <c r="C300" i="9"/>
  <c r="B300" i="9"/>
  <c r="I299" i="9"/>
  <c r="H299" i="9"/>
  <c r="G299" i="9"/>
  <c r="F299" i="9"/>
  <c r="E299" i="9"/>
  <c r="D299" i="9"/>
  <c r="C299" i="9"/>
  <c r="B299" i="9"/>
  <c r="I298" i="9"/>
  <c r="H298" i="9"/>
  <c r="G298" i="9"/>
  <c r="F298" i="9"/>
  <c r="E298" i="9"/>
  <c r="D298" i="9"/>
  <c r="C298" i="9"/>
  <c r="B298" i="9"/>
  <c r="I297" i="9"/>
  <c r="H297" i="9"/>
  <c r="G297" i="9"/>
  <c r="F297" i="9"/>
  <c r="E297" i="9"/>
  <c r="D297" i="9"/>
  <c r="C297" i="9"/>
  <c r="B297" i="9"/>
  <c r="I296" i="9"/>
  <c r="H296" i="9"/>
  <c r="G296" i="9"/>
  <c r="F296" i="9"/>
  <c r="E296" i="9"/>
  <c r="D296" i="9"/>
  <c r="C296" i="9"/>
  <c r="B296" i="9"/>
  <c r="I295" i="9"/>
  <c r="H295" i="9"/>
  <c r="G295" i="9"/>
  <c r="F295" i="9"/>
  <c r="E295" i="9"/>
  <c r="D295" i="9"/>
  <c r="C295" i="9"/>
  <c r="B295" i="9"/>
  <c r="I294" i="9"/>
  <c r="H294" i="9"/>
  <c r="G294" i="9"/>
  <c r="F294" i="9"/>
  <c r="E294" i="9"/>
  <c r="D294" i="9"/>
  <c r="C294" i="9"/>
  <c r="B294" i="9"/>
  <c r="I293" i="9"/>
  <c r="H293" i="9"/>
  <c r="G293" i="9"/>
  <c r="F293" i="9"/>
  <c r="E293" i="9"/>
  <c r="D293" i="9"/>
  <c r="C293" i="9"/>
  <c r="B293" i="9"/>
  <c r="I292" i="9"/>
  <c r="H292" i="9"/>
  <c r="G292" i="9"/>
  <c r="F292" i="9"/>
  <c r="E292" i="9"/>
  <c r="D292" i="9"/>
  <c r="C292" i="9"/>
  <c r="B292" i="9"/>
  <c r="I291" i="9"/>
  <c r="H291" i="9"/>
  <c r="G291" i="9"/>
  <c r="F291" i="9"/>
  <c r="E291" i="9"/>
  <c r="D291" i="9"/>
  <c r="C291" i="9"/>
  <c r="B291" i="9"/>
  <c r="I290" i="9"/>
  <c r="H290" i="9"/>
  <c r="G290" i="9"/>
  <c r="F290" i="9"/>
  <c r="E290" i="9"/>
  <c r="D290" i="9"/>
  <c r="C290" i="9"/>
  <c r="B290" i="9"/>
  <c r="I289" i="9"/>
  <c r="H289" i="9"/>
  <c r="G289" i="9"/>
  <c r="F289" i="9"/>
  <c r="E289" i="9"/>
  <c r="D289" i="9"/>
  <c r="C289" i="9"/>
  <c r="B289" i="9"/>
  <c r="I288" i="9"/>
  <c r="H288" i="9"/>
  <c r="G288" i="9"/>
  <c r="F288" i="9"/>
  <c r="E288" i="9"/>
  <c r="D288" i="9"/>
  <c r="C288" i="9"/>
  <c r="B288" i="9"/>
  <c r="I287" i="9"/>
  <c r="H287" i="9"/>
  <c r="G287" i="9"/>
  <c r="F287" i="9"/>
  <c r="E287" i="9"/>
  <c r="D287" i="9"/>
  <c r="C287" i="9"/>
  <c r="B287" i="9"/>
  <c r="I286" i="9"/>
  <c r="H286" i="9"/>
  <c r="G286" i="9"/>
  <c r="F286" i="9"/>
  <c r="E286" i="9"/>
  <c r="D286" i="9"/>
  <c r="C286" i="9"/>
  <c r="B286" i="9"/>
  <c r="I285" i="9"/>
  <c r="H285" i="9"/>
  <c r="G285" i="9"/>
  <c r="F285" i="9"/>
  <c r="E285" i="9"/>
  <c r="D285" i="9"/>
  <c r="C285" i="9"/>
  <c r="B285" i="9"/>
  <c r="I284" i="9"/>
  <c r="H284" i="9"/>
  <c r="G284" i="9"/>
  <c r="F284" i="9"/>
  <c r="E284" i="9"/>
  <c r="D284" i="9"/>
  <c r="C284" i="9"/>
  <c r="B284" i="9"/>
  <c r="I283" i="9"/>
  <c r="H283" i="9"/>
  <c r="G283" i="9"/>
  <c r="F283" i="9"/>
  <c r="E283" i="9"/>
  <c r="D283" i="9"/>
  <c r="C283" i="9"/>
  <c r="B283" i="9"/>
  <c r="I282" i="9"/>
  <c r="H282" i="9"/>
  <c r="G282" i="9"/>
  <c r="F282" i="9"/>
  <c r="E282" i="9"/>
  <c r="D282" i="9"/>
  <c r="C282" i="9"/>
  <c r="B282" i="9"/>
  <c r="I281" i="9"/>
  <c r="H281" i="9"/>
  <c r="G281" i="9"/>
  <c r="F281" i="9"/>
  <c r="E281" i="9"/>
  <c r="D281" i="9"/>
  <c r="C281" i="9"/>
  <c r="B281" i="9"/>
  <c r="I280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I271" i="9"/>
  <c r="H271" i="9"/>
  <c r="G271" i="9"/>
  <c r="F271" i="9"/>
  <c r="E271" i="9"/>
  <c r="D271" i="9"/>
  <c r="C271" i="9"/>
  <c r="B271" i="9"/>
  <c r="I270" i="9"/>
  <c r="H270" i="9"/>
  <c r="G270" i="9"/>
  <c r="F270" i="9"/>
  <c r="E270" i="9"/>
  <c r="D270" i="9"/>
  <c r="C270" i="9"/>
  <c r="B270" i="9"/>
  <c r="I269" i="9"/>
  <c r="H269" i="9"/>
  <c r="G269" i="9"/>
  <c r="F269" i="9"/>
  <c r="E269" i="9"/>
  <c r="D269" i="9"/>
  <c r="C269" i="9"/>
  <c r="B269" i="9"/>
  <c r="I268" i="9"/>
  <c r="H268" i="9"/>
  <c r="G268" i="9"/>
  <c r="F268" i="9"/>
  <c r="E268" i="9"/>
  <c r="D268" i="9"/>
  <c r="C268" i="9"/>
  <c r="B268" i="9"/>
  <c r="I267" i="9"/>
  <c r="H267" i="9"/>
  <c r="G267" i="9"/>
  <c r="F267" i="9"/>
  <c r="E267" i="9"/>
  <c r="D267" i="9"/>
  <c r="C267" i="9"/>
  <c r="B267" i="9"/>
  <c r="I266" i="9"/>
  <c r="H266" i="9"/>
  <c r="G266" i="9"/>
  <c r="F266" i="9"/>
  <c r="E266" i="9"/>
  <c r="D266" i="9"/>
  <c r="C266" i="9"/>
  <c r="B266" i="9"/>
  <c r="I265" i="9"/>
  <c r="H265" i="9"/>
  <c r="G265" i="9"/>
  <c r="F265" i="9"/>
  <c r="E265" i="9"/>
  <c r="D265" i="9"/>
  <c r="C265" i="9"/>
  <c r="B265" i="9"/>
  <c r="I264" i="9"/>
  <c r="H264" i="9"/>
  <c r="G264" i="9"/>
  <c r="F264" i="9"/>
  <c r="E264" i="9"/>
  <c r="D264" i="9"/>
  <c r="C264" i="9"/>
  <c r="B264" i="9"/>
  <c r="I263" i="9"/>
  <c r="H263" i="9"/>
  <c r="G263" i="9"/>
  <c r="F263" i="9"/>
  <c r="E263" i="9"/>
  <c r="D263" i="9"/>
  <c r="C263" i="9"/>
  <c r="B263" i="9"/>
  <c r="I262" i="9"/>
  <c r="H262" i="9"/>
  <c r="G262" i="9"/>
  <c r="F262" i="9"/>
  <c r="E262" i="9"/>
  <c r="D262" i="9"/>
  <c r="C262" i="9"/>
  <c r="B262" i="9"/>
  <c r="I261" i="9"/>
  <c r="H261" i="9"/>
  <c r="G261" i="9"/>
  <c r="F261" i="9"/>
  <c r="E261" i="9"/>
  <c r="D261" i="9"/>
  <c r="C261" i="9"/>
  <c r="B261" i="9"/>
  <c r="I260" i="9"/>
  <c r="H260" i="9"/>
  <c r="G260" i="9"/>
  <c r="F260" i="9"/>
  <c r="E260" i="9"/>
  <c r="D260" i="9"/>
  <c r="C260" i="9"/>
  <c r="B260" i="9"/>
  <c r="I259" i="9"/>
  <c r="H259" i="9"/>
  <c r="G259" i="9"/>
  <c r="F259" i="9"/>
  <c r="E259" i="9"/>
  <c r="D259" i="9"/>
  <c r="C259" i="9"/>
  <c r="B259" i="9"/>
  <c r="I258" i="9"/>
  <c r="H258" i="9"/>
  <c r="G258" i="9"/>
  <c r="F258" i="9"/>
  <c r="E258" i="9"/>
  <c r="D258" i="9"/>
  <c r="C258" i="9"/>
  <c r="B258" i="9"/>
  <c r="I257" i="9"/>
  <c r="H257" i="9"/>
  <c r="G257" i="9"/>
  <c r="F257" i="9"/>
  <c r="E257" i="9"/>
  <c r="D257" i="9"/>
  <c r="C257" i="9"/>
  <c r="B257" i="9"/>
  <c r="I256" i="9"/>
  <c r="H256" i="9"/>
  <c r="G256" i="9"/>
  <c r="F256" i="9"/>
  <c r="E256" i="9"/>
  <c r="D256" i="9"/>
  <c r="C256" i="9"/>
  <c r="B256" i="9"/>
  <c r="I255" i="9"/>
  <c r="H255" i="9"/>
  <c r="G255" i="9"/>
  <c r="F255" i="9"/>
  <c r="E255" i="9"/>
  <c r="D255" i="9"/>
  <c r="C255" i="9"/>
  <c r="B255" i="9"/>
  <c r="I254" i="9"/>
  <c r="H254" i="9"/>
  <c r="G254" i="9"/>
  <c r="F254" i="9"/>
  <c r="E254" i="9"/>
  <c r="D254" i="9"/>
  <c r="C254" i="9"/>
  <c r="B254" i="9"/>
  <c r="I253" i="9"/>
  <c r="H253" i="9"/>
  <c r="G253" i="9"/>
  <c r="F253" i="9"/>
  <c r="E253" i="9"/>
  <c r="D253" i="9"/>
  <c r="C253" i="9"/>
  <c r="B253" i="9"/>
  <c r="I252" i="9"/>
  <c r="H252" i="9"/>
  <c r="G252" i="9"/>
  <c r="F252" i="9"/>
  <c r="E252" i="9"/>
  <c r="D252" i="9"/>
  <c r="C252" i="9"/>
  <c r="B252" i="9"/>
  <c r="I251" i="9"/>
  <c r="H251" i="9"/>
  <c r="G251" i="9"/>
  <c r="F251" i="9"/>
  <c r="E251" i="9"/>
  <c r="D251" i="9"/>
  <c r="C251" i="9"/>
  <c r="B251" i="9"/>
  <c r="I250" i="9"/>
  <c r="H250" i="9"/>
  <c r="G250" i="9"/>
  <c r="F250" i="9"/>
  <c r="E250" i="9"/>
  <c r="D250" i="9"/>
  <c r="C250" i="9"/>
  <c r="B250" i="9"/>
  <c r="I249" i="9"/>
  <c r="H249" i="9"/>
  <c r="G249" i="9"/>
  <c r="F249" i="9"/>
  <c r="E249" i="9"/>
  <c r="D249" i="9"/>
  <c r="C249" i="9"/>
  <c r="B249" i="9"/>
  <c r="I248" i="9"/>
  <c r="H248" i="9"/>
  <c r="G248" i="9"/>
  <c r="F248" i="9"/>
  <c r="E248" i="9"/>
  <c r="D248" i="9"/>
  <c r="C248" i="9"/>
  <c r="B248" i="9"/>
  <c r="I247" i="9"/>
  <c r="H247" i="9"/>
  <c r="G247" i="9"/>
  <c r="F247" i="9"/>
  <c r="E247" i="9"/>
  <c r="D247" i="9"/>
  <c r="C247" i="9"/>
  <c r="B247" i="9"/>
  <c r="I246" i="9"/>
  <c r="H246" i="9"/>
  <c r="G246" i="9"/>
  <c r="F246" i="9"/>
  <c r="E246" i="9"/>
  <c r="D246" i="9"/>
  <c r="C246" i="9"/>
  <c r="B246" i="9"/>
  <c r="I245" i="9"/>
  <c r="H245" i="9"/>
  <c r="G245" i="9"/>
  <c r="F245" i="9"/>
  <c r="E245" i="9"/>
  <c r="D245" i="9"/>
  <c r="C245" i="9"/>
  <c r="B245" i="9"/>
  <c r="I244" i="9"/>
  <c r="H244" i="9"/>
  <c r="G244" i="9"/>
  <c r="F244" i="9"/>
  <c r="E244" i="9"/>
  <c r="D244" i="9"/>
  <c r="C244" i="9"/>
  <c r="B244" i="9"/>
  <c r="I243" i="9"/>
  <c r="H243" i="9"/>
  <c r="G243" i="9"/>
  <c r="F243" i="9"/>
  <c r="E243" i="9"/>
  <c r="D243" i="9"/>
  <c r="C243" i="9"/>
  <c r="B243" i="9"/>
  <c r="I242" i="9"/>
  <c r="H242" i="9"/>
  <c r="G242" i="9"/>
  <c r="F242" i="9"/>
  <c r="E242" i="9"/>
  <c r="D242" i="9"/>
  <c r="C242" i="9"/>
  <c r="B242" i="9"/>
  <c r="I241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I231" i="9"/>
  <c r="H231" i="9"/>
  <c r="G231" i="9"/>
  <c r="F231" i="9"/>
  <c r="E231" i="9"/>
  <c r="D231" i="9"/>
  <c r="C231" i="9"/>
  <c r="B231" i="9"/>
  <c r="I230" i="9"/>
  <c r="H230" i="9"/>
  <c r="G230" i="9"/>
  <c r="F230" i="9"/>
  <c r="E230" i="9"/>
  <c r="D230" i="9"/>
  <c r="C230" i="9"/>
  <c r="B230" i="9"/>
  <c r="I229" i="9"/>
  <c r="H229" i="9"/>
  <c r="G229" i="9"/>
  <c r="F229" i="9"/>
  <c r="E229" i="9"/>
  <c r="D229" i="9"/>
  <c r="C229" i="9"/>
  <c r="B229" i="9"/>
  <c r="I228" i="9"/>
  <c r="H228" i="9"/>
  <c r="G228" i="9"/>
  <c r="F228" i="9"/>
  <c r="E228" i="9"/>
  <c r="D228" i="9"/>
  <c r="C228" i="9"/>
  <c r="B228" i="9"/>
  <c r="I227" i="9"/>
  <c r="H227" i="9"/>
  <c r="G227" i="9"/>
  <c r="F227" i="9"/>
  <c r="E227" i="9"/>
  <c r="D227" i="9"/>
  <c r="C227" i="9"/>
  <c r="B227" i="9"/>
  <c r="I226" i="9"/>
  <c r="H226" i="9"/>
  <c r="G226" i="9"/>
  <c r="F226" i="9"/>
  <c r="E226" i="9"/>
  <c r="D226" i="9"/>
  <c r="C226" i="9"/>
  <c r="B226" i="9"/>
  <c r="I225" i="9"/>
  <c r="H225" i="9"/>
  <c r="G225" i="9"/>
  <c r="F225" i="9"/>
  <c r="E225" i="9"/>
  <c r="D225" i="9"/>
  <c r="C225" i="9"/>
  <c r="B225" i="9"/>
  <c r="I224" i="9"/>
  <c r="H224" i="9"/>
  <c r="G224" i="9"/>
  <c r="F224" i="9"/>
  <c r="E224" i="9"/>
  <c r="D224" i="9"/>
  <c r="C224" i="9"/>
  <c r="B224" i="9"/>
  <c r="I223" i="9"/>
  <c r="H223" i="9"/>
  <c r="G223" i="9"/>
  <c r="F223" i="9"/>
  <c r="E223" i="9"/>
  <c r="D223" i="9"/>
  <c r="C223" i="9"/>
  <c r="B223" i="9"/>
  <c r="I222" i="9"/>
  <c r="H222" i="9"/>
  <c r="G222" i="9"/>
  <c r="F222" i="9"/>
  <c r="E222" i="9"/>
  <c r="D222" i="9"/>
  <c r="C222" i="9"/>
  <c r="B222" i="9"/>
  <c r="I221" i="9"/>
  <c r="H221" i="9"/>
  <c r="G221" i="9"/>
  <c r="F221" i="9"/>
  <c r="E221" i="9"/>
  <c r="D221" i="9"/>
  <c r="C221" i="9"/>
  <c r="B221" i="9"/>
  <c r="I220" i="9"/>
  <c r="H220" i="9"/>
  <c r="G220" i="9"/>
  <c r="F220" i="9"/>
  <c r="E220" i="9"/>
  <c r="D220" i="9"/>
  <c r="C220" i="9"/>
  <c r="B220" i="9"/>
  <c r="I219" i="9"/>
  <c r="H219" i="9"/>
  <c r="G219" i="9"/>
  <c r="F219" i="9"/>
  <c r="E219" i="9"/>
  <c r="D219" i="9"/>
  <c r="C219" i="9"/>
  <c r="B219" i="9"/>
  <c r="I218" i="9"/>
  <c r="H218" i="9"/>
  <c r="G218" i="9"/>
  <c r="F218" i="9"/>
  <c r="E218" i="9"/>
  <c r="D218" i="9"/>
  <c r="C218" i="9"/>
  <c r="B218" i="9"/>
  <c r="I217" i="9"/>
  <c r="H217" i="9"/>
  <c r="G217" i="9"/>
  <c r="F217" i="9"/>
  <c r="E217" i="9"/>
  <c r="D217" i="9"/>
  <c r="C217" i="9"/>
  <c r="B217" i="9"/>
  <c r="I216" i="9"/>
  <c r="H216" i="9"/>
  <c r="G216" i="9"/>
  <c r="F216" i="9"/>
  <c r="E216" i="9"/>
  <c r="D216" i="9"/>
  <c r="C216" i="9"/>
  <c r="B216" i="9"/>
  <c r="I215" i="9"/>
  <c r="H215" i="9"/>
  <c r="G215" i="9"/>
  <c r="F215" i="9"/>
  <c r="E215" i="9"/>
  <c r="D215" i="9"/>
  <c r="C215" i="9"/>
  <c r="B215" i="9"/>
  <c r="I214" i="9"/>
  <c r="H214" i="9"/>
  <c r="G214" i="9"/>
  <c r="F214" i="9"/>
  <c r="E214" i="9"/>
  <c r="D214" i="9"/>
  <c r="C214" i="9"/>
  <c r="B214" i="9"/>
  <c r="I213" i="9"/>
  <c r="H213" i="9"/>
  <c r="G213" i="9"/>
  <c r="F213" i="9"/>
  <c r="E213" i="9"/>
  <c r="D213" i="9"/>
  <c r="C213" i="9"/>
  <c r="B213" i="9"/>
  <c r="I212" i="9"/>
  <c r="H212" i="9"/>
  <c r="G212" i="9"/>
  <c r="F212" i="9"/>
  <c r="E212" i="9"/>
  <c r="D212" i="9"/>
  <c r="C212" i="9"/>
  <c r="B212" i="9"/>
  <c r="I211" i="9"/>
  <c r="H211" i="9"/>
  <c r="G211" i="9"/>
  <c r="F211" i="9"/>
  <c r="E211" i="9"/>
  <c r="D211" i="9"/>
  <c r="C211" i="9"/>
  <c r="B211" i="9"/>
  <c r="I210" i="9"/>
  <c r="H210" i="9"/>
  <c r="G210" i="9"/>
  <c r="F210" i="9"/>
  <c r="E210" i="9"/>
  <c r="D210" i="9"/>
  <c r="C210" i="9"/>
  <c r="B210" i="9"/>
  <c r="I209" i="9"/>
  <c r="H209" i="9"/>
  <c r="G209" i="9"/>
  <c r="F209" i="9"/>
  <c r="E209" i="9"/>
  <c r="D209" i="9"/>
  <c r="C209" i="9"/>
  <c r="B209" i="9"/>
  <c r="I208" i="9"/>
  <c r="H208" i="9"/>
  <c r="G208" i="9"/>
  <c r="F208" i="9"/>
  <c r="E208" i="9"/>
  <c r="D208" i="9"/>
  <c r="C208" i="9"/>
  <c r="B208" i="9"/>
  <c r="I207" i="9"/>
  <c r="H207" i="9"/>
  <c r="G207" i="9"/>
  <c r="F207" i="9"/>
  <c r="E207" i="9"/>
  <c r="D207" i="9"/>
  <c r="C207" i="9"/>
  <c r="B207" i="9"/>
  <c r="I206" i="9"/>
  <c r="H206" i="9"/>
  <c r="G206" i="9"/>
  <c r="F206" i="9"/>
  <c r="E206" i="9"/>
  <c r="D206" i="9"/>
  <c r="C206" i="9"/>
  <c r="B206" i="9"/>
  <c r="I205" i="9"/>
  <c r="H205" i="9"/>
  <c r="G205" i="9"/>
  <c r="F205" i="9"/>
  <c r="E205" i="9"/>
  <c r="D205" i="9"/>
  <c r="C205" i="9"/>
  <c r="B205" i="9"/>
  <c r="I204" i="9"/>
  <c r="H204" i="9"/>
  <c r="G204" i="9"/>
  <c r="F204" i="9"/>
  <c r="E204" i="9"/>
  <c r="D204" i="9"/>
  <c r="C204" i="9"/>
  <c r="B204" i="9"/>
  <c r="I203" i="9"/>
  <c r="H203" i="9"/>
  <c r="G203" i="9"/>
  <c r="F203" i="9"/>
  <c r="E203" i="9"/>
  <c r="D203" i="9"/>
  <c r="C203" i="9"/>
  <c r="B203" i="9"/>
  <c r="I202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I193" i="9"/>
  <c r="H193" i="9"/>
  <c r="G193" i="9"/>
  <c r="F193" i="9"/>
  <c r="E193" i="9"/>
  <c r="D193" i="9"/>
  <c r="C193" i="9"/>
  <c r="B193" i="9"/>
  <c r="I192" i="9"/>
  <c r="H192" i="9"/>
  <c r="G192" i="9"/>
  <c r="F192" i="9"/>
  <c r="E192" i="9"/>
  <c r="D192" i="9"/>
  <c r="C192" i="9"/>
  <c r="B192" i="9"/>
  <c r="I191" i="9"/>
  <c r="H191" i="9"/>
  <c r="G191" i="9"/>
  <c r="F191" i="9"/>
  <c r="E191" i="9"/>
  <c r="D191" i="9"/>
  <c r="C191" i="9"/>
  <c r="B191" i="9"/>
  <c r="I190" i="9"/>
  <c r="H190" i="9"/>
  <c r="G190" i="9"/>
  <c r="F190" i="9"/>
  <c r="E190" i="9"/>
  <c r="D190" i="9"/>
  <c r="C190" i="9"/>
  <c r="B190" i="9"/>
  <c r="I189" i="9"/>
  <c r="H189" i="9"/>
  <c r="G189" i="9"/>
  <c r="F189" i="9"/>
  <c r="E189" i="9"/>
  <c r="D189" i="9"/>
  <c r="C189" i="9"/>
  <c r="B189" i="9"/>
  <c r="I188" i="9"/>
  <c r="H188" i="9"/>
  <c r="G188" i="9"/>
  <c r="F188" i="9"/>
  <c r="E188" i="9"/>
  <c r="D188" i="9"/>
  <c r="C188" i="9"/>
  <c r="B188" i="9"/>
  <c r="I187" i="9"/>
  <c r="H187" i="9"/>
  <c r="G187" i="9"/>
  <c r="F187" i="9"/>
  <c r="E187" i="9"/>
  <c r="D187" i="9"/>
  <c r="C187" i="9"/>
  <c r="B187" i="9"/>
  <c r="I186" i="9"/>
  <c r="H186" i="9"/>
  <c r="G186" i="9"/>
  <c r="F186" i="9"/>
  <c r="E186" i="9"/>
  <c r="D186" i="9"/>
  <c r="C186" i="9"/>
  <c r="B186" i="9"/>
  <c r="I185" i="9"/>
  <c r="H185" i="9"/>
  <c r="G185" i="9"/>
  <c r="F185" i="9"/>
  <c r="E185" i="9"/>
  <c r="D185" i="9"/>
  <c r="C185" i="9"/>
  <c r="B185" i="9"/>
  <c r="I184" i="9"/>
  <c r="H184" i="9"/>
  <c r="G184" i="9"/>
  <c r="F184" i="9"/>
  <c r="E184" i="9"/>
  <c r="D184" i="9"/>
  <c r="C184" i="9"/>
  <c r="B184" i="9"/>
  <c r="I183" i="9"/>
  <c r="H183" i="9"/>
  <c r="G183" i="9"/>
  <c r="F183" i="9"/>
  <c r="E183" i="9"/>
  <c r="D183" i="9"/>
  <c r="C183" i="9"/>
  <c r="B183" i="9"/>
  <c r="I182" i="9"/>
  <c r="H182" i="9"/>
  <c r="G182" i="9"/>
  <c r="F182" i="9"/>
  <c r="E182" i="9"/>
  <c r="D182" i="9"/>
  <c r="C182" i="9"/>
  <c r="B182" i="9"/>
  <c r="I181" i="9"/>
  <c r="H181" i="9"/>
  <c r="G181" i="9"/>
  <c r="F181" i="9"/>
  <c r="E181" i="9"/>
  <c r="D181" i="9"/>
  <c r="C181" i="9"/>
  <c r="B181" i="9"/>
  <c r="I180" i="9"/>
  <c r="H180" i="9"/>
  <c r="G180" i="9"/>
  <c r="F180" i="9"/>
  <c r="E180" i="9"/>
  <c r="D180" i="9"/>
  <c r="C180" i="9"/>
  <c r="B180" i="9"/>
  <c r="I179" i="9"/>
  <c r="H179" i="9"/>
  <c r="G179" i="9"/>
  <c r="F179" i="9"/>
  <c r="E179" i="9"/>
  <c r="D179" i="9"/>
  <c r="C179" i="9"/>
  <c r="B179" i="9"/>
  <c r="I178" i="9"/>
  <c r="H178" i="9"/>
  <c r="G178" i="9"/>
  <c r="F178" i="9"/>
  <c r="E178" i="9"/>
  <c r="D178" i="9"/>
  <c r="C178" i="9"/>
  <c r="B178" i="9"/>
  <c r="I177" i="9"/>
  <c r="H177" i="9"/>
  <c r="G177" i="9"/>
  <c r="F177" i="9"/>
  <c r="E177" i="9"/>
  <c r="D177" i="9"/>
  <c r="C177" i="9"/>
  <c r="B177" i="9"/>
  <c r="I176" i="9"/>
  <c r="H176" i="9"/>
  <c r="G176" i="9"/>
  <c r="F176" i="9"/>
  <c r="E176" i="9"/>
  <c r="D176" i="9"/>
  <c r="C176" i="9"/>
  <c r="B176" i="9"/>
  <c r="I175" i="9"/>
  <c r="H175" i="9"/>
  <c r="G175" i="9"/>
  <c r="F175" i="9"/>
  <c r="E175" i="9"/>
  <c r="D175" i="9"/>
  <c r="C175" i="9"/>
  <c r="B175" i="9"/>
  <c r="I174" i="9"/>
  <c r="H174" i="9"/>
  <c r="G174" i="9"/>
  <c r="F174" i="9"/>
  <c r="E174" i="9"/>
  <c r="D174" i="9"/>
  <c r="C174" i="9"/>
  <c r="B174" i="9"/>
  <c r="I173" i="9"/>
  <c r="H173" i="9"/>
  <c r="G173" i="9"/>
  <c r="F173" i="9"/>
  <c r="E173" i="9"/>
  <c r="D173" i="9"/>
  <c r="C173" i="9"/>
  <c r="B173" i="9"/>
  <c r="I172" i="9"/>
  <c r="H172" i="9"/>
  <c r="G172" i="9"/>
  <c r="F172" i="9"/>
  <c r="E172" i="9"/>
  <c r="D172" i="9"/>
  <c r="C172" i="9"/>
  <c r="B172" i="9"/>
  <c r="I171" i="9"/>
  <c r="H171" i="9"/>
  <c r="G171" i="9"/>
  <c r="F171" i="9"/>
  <c r="E171" i="9"/>
  <c r="D171" i="9"/>
  <c r="C171" i="9"/>
  <c r="B171" i="9"/>
  <c r="I170" i="9"/>
  <c r="H170" i="9"/>
  <c r="G170" i="9"/>
  <c r="F170" i="9"/>
  <c r="E170" i="9"/>
  <c r="D170" i="9"/>
  <c r="C170" i="9"/>
  <c r="B170" i="9"/>
  <c r="I169" i="9"/>
  <c r="H169" i="9"/>
  <c r="G169" i="9"/>
  <c r="F169" i="9"/>
  <c r="E169" i="9"/>
  <c r="D169" i="9"/>
  <c r="C169" i="9"/>
  <c r="B169" i="9"/>
  <c r="I168" i="9"/>
  <c r="H168" i="9"/>
  <c r="G168" i="9"/>
  <c r="F168" i="9"/>
  <c r="E168" i="9"/>
  <c r="D168" i="9"/>
  <c r="C168" i="9"/>
  <c r="B168" i="9"/>
  <c r="I167" i="9"/>
  <c r="H167" i="9"/>
  <c r="G167" i="9"/>
  <c r="F167" i="9"/>
  <c r="E167" i="9"/>
  <c r="D167" i="9"/>
  <c r="C167" i="9"/>
  <c r="B167" i="9"/>
  <c r="I166" i="9"/>
  <c r="H166" i="9"/>
  <c r="G166" i="9"/>
  <c r="F166" i="9"/>
  <c r="E166" i="9"/>
  <c r="D166" i="9"/>
  <c r="C166" i="9"/>
  <c r="B166" i="9"/>
  <c r="I165" i="9"/>
  <c r="H165" i="9"/>
  <c r="G165" i="9"/>
  <c r="F165" i="9"/>
  <c r="E165" i="9"/>
  <c r="D165" i="9"/>
  <c r="C165" i="9"/>
  <c r="B165" i="9"/>
  <c r="I164" i="9"/>
  <c r="H164" i="9"/>
  <c r="G164" i="9"/>
  <c r="F164" i="9"/>
  <c r="E164" i="9"/>
  <c r="D164" i="9"/>
  <c r="C164" i="9"/>
  <c r="B164" i="9"/>
  <c r="I163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I153" i="9"/>
  <c r="H153" i="9"/>
  <c r="G153" i="9"/>
  <c r="F153" i="9"/>
  <c r="E153" i="9"/>
  <c r="D153" i="9"/>
  <c r="C153" i="9"/>
  <c r="B153" i="9"/>
  <c r="I152" i="9"/>
  <c r="H152" i="9"/>
  <c r="G152" i="9"/>
  <c r="F152" i="9"/>
  <c r="E152" i="9"/>
  <c r="D152" i="9"/>
  <c r="C152" i="9"/>
  <c r="B152" i="9"/>
  <c r="I151" i="9"/>
  <c r="H151" i="9"/>
  <c r="G151" i="9"/>
  <c r="F151" i="9"/>
  <c r="E151" i="9"/>
  <c r="D151" i="9"/>
  <c r="C151" i="9"/>
  <c r="B151" i="9"/>
  <c r="I150" i="9"/>
  <c r="H150" i="9"/>
  <c r="G150" i="9"/>
  <c r="F150" i="9"/>
  <c r="E150" i="9"/>
  <c r="D150" i="9"/>
  <c r="C150" i="9"/>
  <c r="B150" i="9"/>
  <c r="I149" i="9"/>
  <c r="H149" i="9"/>
  <c r="G149" i="9"/>
  <c r="F149" i="9"/>
  <c r="E149" i="9"/>
  <c r="D149" i="9"/>
  <c r="C149" i="9"/>
  <c r="B149" i="9"/>
  <c r="I148" i="9"/>
  <c r="H148" i="9"/>
  <c r="G148" i="9"/>
  <c r="F148" i="9"/>
  <c r="E148" i="9"/>
  <c r="D148" i="9"/>
  <c r="C148" i="9"/>
  <c r="B148" i="9"/>
  <c r="I147" i="9"/>
  <c r="H147" i="9"/>
  <c r="G147" i="9"/>
  <c r="F147" i="9"/>
  <c r="E147" i="9"/>
  <c r="D147" i="9"/>
  <c r="C147" i="9"/>
  <c r="B147" i="9"/>
  <c r="I146" i="9"/>
  <c r="H146" i="9"/>
  <c r="G146" i="9"/>
  <c r="F146" i="9"/>
  <c r="E146" i="9"/>
  <c r="D146" i="9"/>
  <c r="C146" i="9"/>
  <c r="B146" i="9"/>
  <c r="I145" i="9"/>
  <c r="H145" i="9"/>
  <c r="G145" i="9"/>
  <c r="F145" i="9"/>
  <c r="E145" i="9"/>
  <c r="D145" i="9"/>
  <c r="C145" i="9"/>
  <c r="B145" i="9"/>
  <c r="I144" i="9"/>
  <c r="H144" i="9"/>
  <c r="G144" i="9"/>
  <c r="F144" i="9"/>
  <c r="E144" i="9"/>
  <c r="D144" i="9"/>
  <c r="C144" i="9"/>
  <c r="B144" i="9"/>
  <c r="I143" i="9"/>
  <c r="H143" i="9"/>
  <c r="G143" i="9"/>
  <c r="F143" i="9"/>
  <c r="E143" i="9"/>
  <c r="D143" i="9"/>
  <c r="C143" i="9"/>
  <c r="B143" i="9"/>
  <c r="I142" i="9"/>
  <c r="H142" i="9"/>
  <c r="G142" i="9"/>
  <c r="F142" i="9"/>
  <c r="E142" i="9"/>
  <c r="D142" i="9"/>
  <c r="C142" i="9"/>
  <c r="B142" i="9"/>
  <c r="I141" i="9"/>
  <c r="H141" i="9"/>
  <c r="G141" i="9"/>
  <c r="F141" i="9"/>
  <c r="E141" i="9"/>
  <c r="D141" i="9"/>
  <c r="C141" i="9"/>
  <c r="B141" i="9"/>
  <c r="I140" i="9"/>
  <c r="H140" i="9"/>
  <c r="G140" i="9"/>
  <c r="F140" i="9"/>
  <c r="E140" i="9"/>
  <c r="D140" i="9"/>
  <c r="C140" i="9"/>
  <c r="B140" i="9"/>
  <c r="I139" i="9"/>
  <c r="H139" i="9"/>
  <c r="G139" i="9"/>
  <c r="F139" i="9"/>
  <c r="E139" i="9"/>
  <c r="D139" i="9"/>
  <c r="C139" i="9"/>
  <c r="B139" i="9"/>
  <c r="I138" i="9"/>
  <c r="H138" i="9"/>
  <c r="G138" i="9"/>
  <c r="F138" i="9"/>
  <c r="E138" i="9"/>
  <c r="D138" i="9"/>
  <c r="C138" i="9"/>
  <c r="B138" i="9"/>
  <c r="I137" i="9"/>
  <c r="H137" i="9"/>
  <c r="G137" i="9"/>
  <c r="F137" i="9"/>
  <c r="E137" i="9"/>
  <c r="D137" i="9"/>
  <c r="C137" i="9"/>
  <c r="B137" i="9"/>
  <c r="I136" i="9"/>
  <c r="H136" i="9"/>
  <c r="G136" i="9"/>
  <c r="F136" i="9"/>
  <c r="E136" i="9"/>
  <c r="D136" i="9"/>
  <c r="C136" i="9"/>
  <c r="B136" i="9"/>
  <c r="I135" i="9"/>
  <c r="H135" i="9"/>
  <c r="G135" i="9"/>
  <c r="F135" i="9"/>
  <c r="E135" i="9"/>
  <c r="D135" i="9"/>
  <c r="C135" i="9"/>
  <c r="B135" i="9"/>
  <c r="I134" i="9"/>
  <c r="H134" i="9"/>
  <c r="G134" i="9"/>
  <c r="F134" i="9"/>
  <c r="E134" i="9"/>
  <c r="D134" i="9"/>
  <c r="C134" i="9"/>
  <c r="B134" i="9"/>
  <c r="I133" i="9"/>
  <c r="H133" i="9"/>
  <c r="G133" i="9"/>
  <c r="F133" i="9"/>
  <c r="E133" i="9"/>
  <c r="D133" i="9"/>
  <c r="C133" i="9"/>
  <c r="B133" i="9"/>
  <c r="I132" i="9"/>
  <c r="H132" i="9"/>
  <c r="G132" i="9"/>
  <c r="F132" i="9"/>
  <c r="E132" i="9"/>
  <c r="D132" i="9"/>
  <c r="C132" i="9"/>
  <c r="B132" i="9"/>
  <c r="I131" i="9"/>
  <c r="H131" i="9"/>
  <c r="G131" i="9"/>
  <c r="F131" i="9"/>
  <c r="E131" i="9"/>
  <c r="D131" i="9"/>
  <c r="C131" i="9"/>
  <c r="B131" i="9"/>
  <c r="I130" i="9"/>
  <c r="H130" i="9"/>
  <c r="G130" i="9"/>
  <c r="F130" i="9"/>
  <c r="E130" i="9"/>
  <c r="D130" i="9"/>
  <c r="C130" i="9"/>
  <c r="B130" i="9"/>
  <c r="I129" i="9"/>
  <c r="H129" i="9"/>
  <c r="G129" i="9"/>
  <c r="F129" i="9"/>
  <c r="E129" i="9"/>
  <c r="D129" i="9"/>
  <c r="C129" i="9"/>
  <c r="B129" i="9"/>
  <c r="I128" i="9"/>
  <c r="H128" i="9"/>
  <c r="G128" i="9"/>
  <c r="F128" i="9"/>
  <c r="E128" i="9"/>
  <c r="D128" i="9"/>
  <c r="C128" i="9"/>
  <c r="B128" i="9"/>
  <c r="I127" i="9"/>
  <c r="H127" i="9"/>
  <c r="G127" i="9"/>
  <c r="F127" i="9"/>
  <c r="E127" i="9"/>
  <c r="D127" i="9"/>
  <c r="C127" i="9"/>
  <c r="B127" i="9"/>
  <c r="I126" i="9"/>
  <c r="H126" i="9"/>
  <c r="G126" i="9"/>
  <c r="F126" i="9"/>
  <c r="E126" i="9"/>
  <c r="D126" i="9"/>
  <c r="C126" i="9"/>
  <c r="B126" i="9"/>
  <c r="I125" i="9"/>
  <c r="H125" i="9"/>
  <c r="G125" i="9"/>
  <c r="F125" i="9"/>
  <c r="E125" i="9"/>
  <c r="D125" i="9"/>
  <c r="C125" i="9"/>
  <c r="B125" i="9"/>
  <c r="I124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I115" i="9"/>
  <c r="H115" i="9"/>
  <c r="G115" i="9"/>
  <c r="F115" i="9"/>
  <c r="E115" i="9"/>
  <c r="D115" i="9"/>
  <c r="C115" i="9"/>
  <c r="B115" i="9"/>
  <c r="I114" i="9"/>
  <c r="H114" i="9"/>
  <c r="G114" i="9"/>
  <c r="F114" i="9"/>
  <c r="E114" i="9"/>
  <c r="D114" i="9"/>
  <c r="C114" i="9"/>
  <c r="B114" i="9"/>
  <c r="I113" i="9"/>
  <c r="H113" i="9"/>
  <c r="G113" i="9"/>
  <c r="F113" i="9"/>
  <c r="E113" i="9"/>
  <c r="D113" i="9"/>
  <c r="C113" i="9"/>
  <c r="B113" i="9"/>
  <c r="I112" i="9"/>
  <c r="H112" i="9"/>
  <c r="G112" i="9"/>
  <c r="F112" i="9"/>
  <c r="E112" i="9"/>
  <c r="D112" i="9"/>
  <c r="C112" i="9"/>
  <c r="B112" i="9"/>
  <c r="I111" i="9"/>
  <c r="H111" i="9"/>
  <c r="G111" i="9"/>
  <c r="F111" i="9"/>
  <c r="E111" i="9"/>
  <c r="D111" i="9"/>
  <c r="C111" i="9"/>
  <c r="B111" i="9"/>
  <c r="I110" i="9"/>
  <c r="H110" i="9"/>
  <c r="G110" i="9"/>
  <c r="F110" i="9"/>
  <c r="E110" i="9"/>
  <c r="D110" i="9"/>
  <c r="C110" i="9"/>
  <c r="B110" i="9"/>
  <c r="I109" i="9"/>
  <c r="H109" i="9"/>
  <c r="G109" i="9"/>
  <c r="F109" i="9"/>
  <c r="E109" i="9"/>
  <c r="D109" i="9"/>
  <c r="C109" i="9"/>
  <c r="B109" i="9"/>
  <c r="I108" i="9"/>
  <c r="H108" i="9"/>
  <c r="G108" i="9"/>
  <c r="F108" i="9"/>
  <c r="E108" i="9"/>
  <c r="D108" i="9"/>
  <c r="C108" i="9"/>
  <c r="B108" i="9"/>
  <c r="I107" i="9"/>
  <c r="H107" i="9"/>
  <c r="G107" i="9"/>
  <c r="F107" i="9"/>
  <c r="E107" i="9"/>
  <c r="D107" i="9"/>
  <c r="C107" i="9"/>
  <c r="B107" i="9"/>
  <c r="I106" i="9"/>
  <c r="H106" i="9"/>
  <c r="G106" i="9"/>
  <c r="F106" i="9"/>
  <c r="E106" i="9"/>
  <c r="D106" i="9"/>
  <c r="C106" i="9"/>
  <c r="B106" i="9"/>
  <c r="I105" i="9"/>
  <c r="H105" i="9"/>
  <c r="G105" i="9"/>
  <c r="F105" i="9"/>
  <c r="E105" i="9"/>
  <c r="D105" i="9"/>
  <c r="C105" i="9"/>
  <c r="B105" i="9"/>
  <c r="I104" i="9"/>
  <c r="H104" i="9"/>
  <c r="G104" i="9"/>
  <c r="F104" i="9"/>
  <c r="E104" i="9"/>
  <c r="D104" i="9"/>
  <c r="C104" i="9"/>
  <c r="B104" i="9"/>
  <c r="I103" i="9"/>
  <c r="H103" i="9"/>
  <c r="G103" i="9"/>
  <c r="F103" i="9"/>
  <c r="E103" i="9"/>
  <c r="D103" i="9"/>
  <c r="C103" i="9"/>
  <c r="B103" i="9"/>
  <c r="I102" i="9"/>
  <c r="H102" i="9"/>
  <c r="G102" i="9"/>
  <c r="F102" i="9"/>
  <c r="E102" i="9"/>
  <c r="D102" i="9"/>
  <c r="C102" i="9"/>
  <c r="B102" i="9"/>
  <c r="I101" i="9"/>
  <c r="H101" i="9"/>
  <c r="G101" i="9"/>
  <c r="F101" i="9"/>
  <c r="E101" i="9"/>
  <c r="D101" i="9"/>
  <c r="C101" i="9"/>
  <c r="B101" i="9"/>
  <c r="I100" i="9"/>
  <c r="H100" i="9"/>
  <c r="G100" i="9"/>
  <c r="F100" i="9"/>
  <c r="E100" i="9"/>
  <c r="D100" i="9"/>
  <c r="C100" i="9"/>
  <c r="B100" i="9"/>
  <c r="I99" i="9"/>
  <c r="H99" i="9"/>
  <c r="G99" i="9"/>
  <c r="F99" i="9"/>
  <c r="E99" i="9"/>
  <c r="D99" i="9"/>
  <c r="C99" i="9"/>
  <c r="B99" i="9"/>
  <c r="I98" i="9"/>
  <c r="H98" i="9"/>
  <c r="G98" i="9"/>
  <c r="F98" i="9"/>
  <c r="E98" i="9"/>
  <c r="D98" i="9"/>
  <c r="C98" i="9"/>
  <c r="B98" i="9"/>
  <c r="I97" i="9"/>
  <c r="H97" i="9"/>
  <c r="G97" i="9"/>
  <c r="F97" i="9"/>
  <c r="E97" i="9"/>
  <c r="D97" i="9"/>
  <c r="C97" i="9"/>
  <c r="B97" i="9"/>
  <c r="I96" i="9"/>
  <c r="H96" i="9"/>
  <c r="G96" i="9"/>
  <c r="F96" i="9"/>
  <c r="E96" i="9"/>
  <c r="D96" i="9"/>
  <c r="C96" i="9"/>
  <c r="B96" i="9"/>
  <c r="I95" i="9"/>
  <c r="H95" i="9"/>
  <c r="G95" i="9"/>
  <c r="F95" i="9"/>
  <c r="E95" i="9"/>
  <c r="D95" i="9"/>
  <c r="C95" i="9"/>
  <c r="B95" i="9"/>
  <c r="I94" i="9"/>
  <c r="H94" i="9"/>
  <c r="G94" i="9"/>
  <c r="F94" i="9"/>
  <c r="E94" i="9"/>
  <c r="D94" i="9"/>
  <c r="C94" i="9"/>
  <c r="B94" i="9"/>
  <c r="I93" i="9"/>
  <c r="H93" i="9"/>
  <c r="G93" i="9"/>
  <c r="F93" i="9"/>
  <c r="E93" i="9"/>
  <c r="D93" i="9"/>
  <c r="C93" i="9"/>
  <c r="B93" i="9"/>
  <c r="I92" i="9"/>
  <c r="H92" i="9"/>
  <c r="G92" i="9"/>
  <c r="F92" i="9"/>
  <c r="E92" i="9"/>
  <c r="D92" i="9"/>
  <c r="C92" i="9"/>
  <c r="B92" i="9"/>
  <c r="I91" i="9"/>
  <c r="H91" i="9"/>
  <c r="G91" i="9"/>
  <c r="F91" i="9"/>
  <c r="E91" i="9"/>
  <c r="D91" i="9"/>
  <c r="C91" i="9"/>
  <c r="B91" i="9"/>
  <c r="I90" i="9"/>
  <c r="H90" i="9"/>
  <c r="G90" i="9"/>
  <c r="F90" i="9"/>
  <c r="E90" i="9"/>
  <c r="D90" i="9"/>
  <c r="C90" i="9"/>
  <c r="B90" i="9"/>
  <c r="I89" i="9"/>
  <c r="H89" i="9"/>
  <c r="G89" i="9"/>
  <c r="F89" i="9"/>
  <c r="E89" i="9"/>
  <c r="D89" i="9"/>
  <c r="C89" i="9"/>
  <c r="B89" i="9"/>
  <c r="I88" i="9"/>
  <c r="H88" i="9"/>
  <c r="G88" i="9"/>
  <c r="F88" i="9"/>
  <c r="E88" i="9"/>
  <c r="D88" i="9"/>
  <c r="C88" i="9"/>
  <c r="B88" i="9"/>
  <c r="I87" i="9"/>
  <c r="H87" i="9"/>
  <c r="G87" i="9"/>
  <c r="F87" i="9"/>
  <c r="E87" i="9"/>
  <c r="D87" i="9"/>
  <c r="C87" i="9"/>
  <c r="B87" i="9"/>
  <c r="I86" i="9"/>
  <c r="H86" i="9"/>
  <c r="G86" i="9"/>
  <c r="F86" i="9"/>
  <c r="E86" i="9"/>
  <c r="D86" i="9"/>
  <c r="C86" i="9"/>
  <c r="B86" i="9"/>
  <c r="I85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I73" i="9"/>
  <c r="H73" i="9"/>
  <c r="G73" i="9"/>
  <c r="F73" i="9"/>
  <c r="E73" i="9"/>
  <c r="D73" i="9"/>
  <c r="C73" i="9"/>
  <c r="B73" i="9"/>
  <c r="I72" i="9"/>
  <c r="H72" i="9"/>
  <c r="G72" i="9"/>
  <c r="F72" i="9"/>
  <c r="E72" i="9"/>
  <c r="D72" i="9"/>
  <c r="C72" i="9"/>
  <c r="B72" i="9"/>
  <c r="I71" i="9"/>
  <c r="H71" i="9"/>
  <c r="G71" i="9"/>
  <c r="F71" i="9"/>
  <c r="E71" i="9"/>
  <c r="D71" i="9"/>
  <c r="C71" i="9"/>
  <c r="B71" i="9"/>
  <c r="I70" i="9"/>
  <c r="H70" i="9"/>
  <c r="G70" i="9"/>
  <c r="F70" i="9"/>
  <c r="E70" i="9"/>
  <c r="D70" i="9"/>
  <c r="C70" i="9"/>
  <c r="B70" i="9"/>
  <c r="I69" i="9"/>
  <c r="H69" i="9"/>
  <c r="G69" i="9"/>
  <c r="F69" i="9"/>
  <c r="E69" i="9"/>
  <c r="D69" i="9"/>
  <c r="C69" i="9"/>
  <c r="B69" i="9"/>
  <c r="I68" i="9"/>
  <c r="H68" i="9"/>
  <c r="G68" i="9"/>
  <c r="F68" i="9"/>
  <c r="E68" i="9"/>
  <c r="D68" i="9"/>
  <c r="C68" i="9"/>
  <c r="B68" i="9"/>
  <c r="I67" i="9"/>
  <c r="H67" i="9"/>
  <c r="G67" i="9"/>
  <c r="F67" i="9"/>
  <c r="E67" i="9"/>
  <c r="D67" i="9"/>
  <c r="C67" i="9"/>
  <c r="B67" i="9"/>
  <c r="I66" i="9"/>
  <c r="H66" i="9"/>
  <c r="G66" i="9"/>
  <c r="F66" i="9"/>
  <c r="E66" i="9"/>
  <c r="D66" i="9"/>
  <c r="C66" i="9"/>
  <c r="B66" i="9"/>
  <c r="I65" i="9"/>
  <c r="H65" i="9"/>
  <c r="G65" i="9"/>
  <c r="F65" i="9"/>
  <c r="E65" i="9"/>
  <c r="D65" i="9"/>
  <c r="C65" i="9"/>
  <c r="B65" i="9"/>
  <c r="I64" i="9"/>
  <c r="H64" i="9"/>
  <c r="G64" i="9"/>
  <c r="F64" i="9"/>
  <c r="E64" i="9"/>
  <c r="D64" i="9"/>
  <c r="C64" i="9"/>
  <c r="B64" i="9"/>
  <c r="I63" i="9"/>
  <c r="H63" i="9"/>
  <c r="G63" i="9"/>
  <c r="F63" i="9"/>
  <c r="E63" i="9"/>
  <c r="D63" i="9"/>
  <c r="C63" i="9"/>
  <c r="B63" i="9"/>
  <c r="I62" i="9"/>
  <c r="H62" i="9"/>
  <c r="G62" i="9"/>
  <c r="F62" i="9"/>
  <c r="E62" i="9"/>
  <c r="D62" i="9"/>
  <c r="C62" i="9"/>
  <c r="B62" i="9"/>
  <c r="I61" i="9"/>
  <c r="H61" i="9"/>
  <c r="G61" i="9"/>
  <c r="F61" i="9"/>
  <c r="E61" i="9"/>
  <c r="D61" i="9"/>
  <c r="C61" i="9"/>
  <c r="B61" i="9"/>
  <c r="I60" i="9"/>
  <c r="H60" i="9"/>
  <c r="G60" i="9"/>
  <c r="F60" i="9"/>
  <c r="E60" i="9"/>
  <c r="D60" i="9"/>
  <c r="C60" i="9"/>
  <c r="B60" i="9"/>
  <c r="I59" i="9"/>
  <c r="H59" i="9"/>
  <c r="G59" i="9"/>
  <c r="F59" i="9"/>
  <c r="E59" i="9"/>
  <c r="D59" i="9"/>
  <c r="C59" i="9"/>
  <c r="B59" i="9"/>
  <c r="I58" i="9"/>
  <c r="H58" i="9"/>
  <c r="G58" i="9"/>
  <c r="F58" i="9"/>
  <c r="E58" i="9"/>
  <c r="D58" i="9"/>
  <c r="C58" i="9"/>
  <c r="B58" i="9"/>
  <c r="I57" i="9"/>
  <c r="H57" i="9"/>
  <c r="G57" i="9"/>
  <c r="F57" i="9"/>
  <c r="E57" i="9"/>
  <c r="D57" i="9"/>
  <c r="C57" i="9"/>
  <c r="B57" i="9"/>
  <c r="I56" i="9"/>
  <c r="H56" i="9"/>
  <c r="G56" i="9"/>
  <c r="F56" i="9"/>
  <c r="E56" i="9"/>
  <c r="D56" i="9"/>
  <c r="C56" i="9"/>
  <c r="B56" i="9"/>
  <c r="I55" i="9"/>
  <c r="H55" i="9"/>
  <c r="G55" i="9"/>
  <c r="F55" i="9"/>
  <c r="E55" i="9"/>
  <c r="D55" i="9"/>
  <c r="C55" i="9"/>
  <c r="B55" i="9"/>
  <c r="I54" i="9"/>
  <c r="H54" i="9"/>
  <c r="G54" i="9"/>
  <c r="F54" i="9"/>
  <c r="E54" i="9"/>
  <c r="D54" i="9"/>
  <c r="C54" i="9"/>
  <c r="B54" i="9"/>
  <c r="I53" i="9"/>
  <c r="H53" i="9"/>
  <c r="G53" i="9"/>
  <c r="F53" i="9"/>
  <c r="E53" i="9"/>
  <c r="D53" i="9"/>
  <c r="C53" i="9"/>
  <c r="B53" i="9"/>
  <c r="I52" i="9"/>
  <c r="H52" i="9"/>
  <c r="G52" i="9"/>
  <c r="F52" i="9"/>
  <c r="E52" i="9"/>
  <c r="D52" i="9"/>
  <c r="C52" i="9"/>
  <c r="B52" i="9"/>
  <c r="I51" i="9"/>
  <c r="H51" i="9"/>
  <c r="G51" i="9"/>
  <c r="F51" i="9"/>
  <c r="E51" i="9"/>
  <c r="D51" i="9"/>
  <c r="C51" i="9"/>
  <c r="B51" i="9"/>
  <c r="I50" i="9"/>
  <c r="H50" i="9"/>
  <c r="G50" i="9"/>
  <c r="F50" i="9"/>
  <c r="E50" i="9"/>
  <c r="D50" i="9"/>
  <c r="C50" i="9"/>
  <c r="B50" i="9"/>
  <c r="I49" i="9"/>
  <c r="H49" i="9"/>
  <c r="G49" i="9"/>
  <c r="F49" i="9"/>
  <c r="E49" i="9"/>
  <c r="D49" i="9"/>
  <c r="C49" i="9"/>
  <c r="B49" i="9"/>
  <c r="I48" i="9"/>
  <c r="H48" i="9"/>
  <c r="G48" i="9"/>
  <c r="F48" i="9"/>
  <c r="E48" i="9"/>
  <c r="D48" i="9"/>
  <c r="C48" i="9"/>
  <c r="B48" i="9"/>
  <c r="I47" i="9"/>
  <c r="H47" i="9"/>
  <c r="G47" i="9"/>
  <c r="F47" i="9"/>
  <c r="E47" i="9"/>
  <c r="D47" i="9"/>
  <c r="C47" i="9"/>
  <c r="B47" i="9"/>
  <c r="I46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I37" i="9"/>
  <c r="H37" i="9"/>
  <c r="G37" i="9"/>
  <c r="F37" i="9"/>
  <c r="E37" i="9"/>
  <c r="D37" i="9"/>
  <c r="C37" i="9"/>
  <c r="B37" i="9"/>
  <c r="I36" i="9"/>
  <c r="H36" i="9"/>
  <c r="G36" i="9"/>
  <c r="F36" i="9"/>
  <c r="E36" i="9"/>
  <c r="D36" i="9"/>
  <c r="C36" i="9"/>
  <c r="B36" i="9"/>
  <c r="I35" i="9"/>
  <c r="H35" i="9"/>
  <c r="G35" i="9"/>
  <c r="F35" i="9"/>
  <c r="E35" i="9"/>
  <c r="D35" i="9"/>
  <c r="C35" i="9"/>
  <c r="B35" i="9"/>
  <c r="I34" i="9"/>
  <c r="H34" i="9"/>
  <c r="G34" i="9"/>
  <c r="F34" i="9"/>
  <c r="E34" i="9"/>
  <c r="D34" i="9"/>
  <c r="C34" i="9"/>
  <c r="B34" i="9"/>
  <c r="I33" i="9"/>
  <c r="H33" i="9"/>
  <c r="G33" i="9"/>
  <c r="F33" i="9"/>
  <c r="E33" i="9"/>
  <c r="D33" i="9"/>
  <c r="C33" i="9"/>
  <c r="B33" i="9"/>
  <c r="I32" i="9"/>
  <c r="H32" i="9"/>
  <c r="G32" i="9"/>
  <c r="F32" i="9"/>
  <c r="E32" i="9"/>
  <c r="D32" i="9"/>
  <c r="C32" i="9"/>
  <c r="B32" i="9"/>
  <c r="I31" i="9"/>
  <c r="H31" i="9"/>
  <c r="G31" i="9"/>
  <c r="F31" i="9"/>
  <c r="E31" i="9"/>
  <c r="D31" i="9"/>
  <c r="C31" i="9"/>
  <c r="B31" i="9"/>
  <c r="I30" i="9"/>
  <c r="H30" i="9"/>
  <c r="G30" i="9"/>
  <c r="F30" i="9"/>
  <c r="E30" i="9"/>
  <c r="D30" i="9"/>
  <c r="C30" i="9"/>
  <c r="B30" i="9"/>
  <c r="I29" i="9"/>
  <c r="H29" i="9"/>
  <c r="G29" i="9"/>
  <c r="F29" i="9"/>
  <c r="E29" i="9"/>
  <c r="D29" i="9"/>
  <c r="C29" i="9"/>
  <c r="B29" i="9"/>
  <c r="I28" i="9"/>
  <c r="H28" i="9"/>
  <c r="G28" i="9"/>
  <c r="F28" i="9"/>
  <c r="E28" i="9"/>
  <c r="D28" i="9"/>
  <c r="C28" i="9"/>
  <c r="B28" i="9"/>
  <c r="I27" i="9"/>
  <c r="H27" i="9"/>
  <c r="G27" i="9"/>
  <c r="F27" i="9"/>
  <c r="E27" i="9"/>
  <c r="D27" i="9"/>
  <c r="C27" i="9"/>
  <c r="B27" i="9"/>
  <c r="I26" i="9"/>
  <c r="H26" i="9"/>
  <c r="G26" i="9"/>
  <c r="F26" i="9"/>
  <c r="E26" i="9"/>
  <c r="D26" i="9"/>
  <c r="C26" i="9"/>
  <c r="B26" i="9"/>
  <c r="I25" i="9"/>
  <c r="H25" i="9"/>
  <c r="G25" i="9"/>
  <c r="F25" i="9"/>
  <c r="E25" i="9"/>
  <c r="D25" i="9"/>
  <c r="C25" i="9"/>
  <c r="B25" i="9"/>
  <c r="I24" i="9"/>
  <c r="H24" i="9"/>
  <c r="G24" i="9"/>
  <c r="F24" i="9"/>
  <c r="E24" i="9"/>
  <c r="D24" i="9"/>
  <c r="C24" i="9"/>
  <c r="B24" i="9"/>
  <c r="I23" i="9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C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I15" i="9"/>
  <c r="H15" i="9"/>
  <c r="G15" i="9"/>
  <c r="F15" i="9"/>
  <c r="E15" i="9"/>
  <c r="D15" i="9"/>
  <c r="C15" i="9"/>
  <c r="B15" i="9"/>
  <c r="I14" i="9"/>
  <c r="H14" i="9"/>
  <c r="G14" i="9"/>
  <c r="F14" i="9"/>
  <c r="E14" i="9"/>
  <c r="D14" i="9"/>
  <c r="C14" i="9"/>
  <c r="B14" i="9"/>
  <c r="I13" i="9"/>
  <c r="H13" i="9"/>
  <c r="G13" i="9"/>
  <c r="F13" i="9"/>
  <c r="E13" i="9"/>
  <c r="D13" i="9"/>
  <c r="C13" i="9"/>
  <c r="B13" i="9"/>
  <c r="I12" i="9"/>
  <c r="H12" i="9"/>
  <c r="G12" i="9"/>
  <c r="F12" i="9"/>
  <c r="E12" i="9"/>
  <c r="D12" i="9"/>
  <c r="C12" i="9"/>
  <c r="B12" i="9"/>
  <c r="I11" i="9"/>
  <c r="H11" i="9"/>
  <c r="G11" i="9"/>
  <c r="F11" i="9"/>
  <c r="E11" i="9"/>
  <c r="D11" i="9"/>
  <c r="C11" i="9"/>
  <c r="B11" i="9"/>
  <c r="I10" i="9"/>
  <c r="H10" i="9"/>
  <c r="G10" i="9"/>
  <c r="F10" i="9"/>
  <c r="E10" i="9"/>
  <c r="D10" i="9"/>
  <c r="C10" i="9"/>
  <c r="B10" i="9"/>
  <c r="I9" i="9"/>
  <c r="H9" i="9"/>
  <c r="G9" i="9"/>
  <c r="F9" i="9"/>
  <c r="E9" i="9"/>
  <c r="D9" i="9"/>
  <c r="C9" i="9"/>
  <c r="B9" i="9"/>
  <c r="I8" i="9"/>
  <c r="H8" i="9"/>
  <c r="G8" i="9"/>
  <c r="F8" i="9"/>
  <c r="E8" i="9"/>
  <c r="D8" i="9"/>
  <c r="C8" i="9"/>
  <c r="B8" i="9"/>
  <c r="I7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I466" i="8"/>
  <c r="H466" i="8"/>
  <c r="G466" i="8"/>
  <c r="F466" i="8"/>
  <c r="E466" i="8"/>
  <c r="D466" i="8"/>
  <c r="C466" i="8"/>
  <c r="B466" i="8"/>
  <c r="I465" i="8"/>
  <c r="H465" i="8"/>
  <c r="G465" i="8"/>
  <c r="F465" i="8"/>
  <c r="E465" i="8"/>
  <c r="D465" i="8"/>
  <c r="C465" i="8"/>
  <c r="B465" i="8"/>
  <c r="I464" i="8"/>
  <c r="H464" i="8"/>
  <c r="G464" i="8"/>
  <c r="F464" i="8"/>
  <c r="E464" i="8"/>
  <c r="D464" i="8"/>
  <c r="C464" i="8"/>
  <c r="B464" i="8"/>
  <c r="I463" i="8"/>
  <c r="H463" i="8"/>
  <c r="G463" i="8"/>
  <c r="F463" i="8"/>
  <c r="E463" i="8"/>
  <c r="D463" i="8"/>
  <c r="C463" i="8"/>
  <c r="B463" i="8"/>
  <c r="I462" i="8"/>
  <c r="H462" i="8"/>
  <c r="G462" i="8"/>
  <c r="F462" i="8"/>
  <c r="E462" i="8"/>
  <c r="D462" i="8"/>
  <c r="C462" i="8"/>
  <c r="B462" i="8"/>
  <c r="I461" i="8"/>
  <c r="H461" i="8"/>
  <c r="G461" i="8"/>
  <c r="F461" i="8"/>
  <c r="E461" i="8"/>
  <c r="D461" i="8"/>
  <c r="C461" i="8"/>
  <c r="B461" i="8"/>
  <c r="I460" i="8"/>
  <c r="H460" i="8"/>
  <c r="G460" i="8"/>
  <c r="F460" i="8"/>
  <c r="E460" i="8"/>
  <c r="D460" i="8"/>
  <c r="C460" i="8"/>
  <c r="B460" i="8"/>
  <c r="I459" i="8"/>
  <c r="H459" i="8"/>
  <c r="G459" i="8"/>
  <c r="F459" i="8"/>
  <c r="E459" i="8"/>
  <c r="D459" i="8"/>
  <c r="C459" i="8"/>
  <c r="B459" i="8"/>
  <c r="I458" i="8"/>
  <c r="H458" i="8"/>
  <c r="G458" i="8"/>
  <c r="F458" i="8"/>
  <c r="E458" i="8"/>
  <c r="D458" i="8"/>
  <c r="C458" i="8"/>
  <c r="B458" i="8"/>
  <c r="I457" i="8"/>
  <c r="H457" i="8"/>
  <c r="G457" i="8"/>
  <c r="F457" i="8"/>
  <c r="E457" i="8"/>
  <c r="D457" i="8"/>
  <c r="C457" i="8"/>
  <c r="B457" i="8"/>
  <c r="I456" i="8"/>
  <c r="H456" i="8"/>
  <c r="G456" i="8"/>
  <c r="F456" i="8"/>
  <c r="E456" i="8"/>
  <c r="D456" i="8"/>
  <c r="C456" i="8"/>
  <c r="B456" i="8"/>
  <c r="I455" i="8"/>
  <c r="H455" i="8"/>
  <c r="G455" i="8"/>
  <c r="F455" i="8"/>
  <c r="E455" i="8"/>
  <c r="D455" i="8"/>
  <c r="C455" i="8"/>
  <c r="B455" i="8"/>
  <c r="I454" i="8"/>
  <c r="H454" i="8"/>
  <c r="G454" i="8"/>
  <c r="F454" i="8"/>
  <c r="E454" i="8"/>
  <c r="D454" i="8"/>
  <c r="C454" i="8"/>
  <c r="B454" i="8"/>
  <c r="I453" i="8"/>
  <c r="H453" i="8"/>
  <c r="G453" i="8"/>
  <c r="F453" i="8"/>
  <c r="E453" i="8"/>
  <c r="D453" i="8"/>
  <c r="C453" i="8"/>
  <c r="B453" i="8"/>
  <c r="I452" i="8"/>
  <c r="H452" i="8"/>
  <c r="G452" i="8"/>
  <c r="F452" i="8"/>
  <c r="E452" i="8"/>
  <c r="D452" i="8"/>
  <c r="C452" i="8"/>
  <c r="B452" i="8"/>
  <c r="I451" i="8"/>
  <c r="H451" i="8"/>
  <c r="G451" i="8"/>
  <c r="F451" i="8"/>
  <c r="E451" i="8"/>
  <c r="D451" i="8"/>
  <c r="C451" i="8"/>
  <c r="B451" i="8"/>
  <c r="I450" i="8"/>
  <c r="H450" i="8"/>
  <c r="G450" i="8"/>
  <c r="F450" i="8"/>
  <c r="E450" i="8"/>
  <c r="D450" i="8"/>
  <c r="C450" i="8"/>
  <c r="B450" i="8"/>
  <c r="I449" i="8"/>
  <c r="H449" i="8"/>
  <c r="G449" i="8"/>
  <c r="F449" i="8"/>
  <c r="E449" i="8"/>
  <c r="D449" i="8"/>
  <c r="C449" i="8"/>
  <c r="B449" i="8"/>
  <c r="I448" i="8"/>
  <c r="H448" i="8"/>
  <c r="G448" i="8"/>
  <c r="F448" i="8"/>
  <c r="E448" i="8"/>
  <c r="D448" i="8"/>
  <c r="C448" i="8"/>
  <c r="B448" i="8"/>
  <c r="I447" i="8"/>
  <c r="H447" i="8"/>
  <c r="G447" i="8"/>
  <c r="F447" i="8"/>
  <c r="E447" i="8"/>
  <c r="D447" i="8"/>
  <c r="C447" i="8"/>
  <c r="B447" i="8"/>
  <c r="I446" i="8"/>
  <c r="H446" i="8"/>
  <c r="G446" i="8"/>
  <c r="F446" i="8"/>
  <c r="E446" i="8"/>
  <c r="D446" i="8"/>
  <c r="C446" i="8"/>
  <c r="B446" i="8"/>
  <c r="I445" i="8"/>
  <c r="H445" i="8"/>
  <c r="G445" i="8"/>
  <c r="F445" i="8"/>
  <c r="E445" i="8"/>
  <c r="D445" i="8"/>
  <c r="C445" i="8"/>
  <c r="B445" i="8"/>
  <c r="I444" i="8"/>
  <c r="H444" i="8"/>
  <c r="G444" i="8"/>
  <c r="F444" i="8"/>
  <c r="E444" i="8"/>
  <c r="D444" i="8"/>
  <c r="C444" i="8"/>
  <c r="B444" i="8"/>
  <c r="I443" i="8"/>
  <c r="H443" i="8"/>
  <c r="G443" i="8"/>
  <c r="F443" i="8"/>
  <c r="E443" i="8"/>
  <c r="D443" i="8"/>
  <c r="C443" i="8"/>
  <c r="B443" i="8"/>
  <c r="I442" i="8"/>
  <c r="H442" i="8"/>
  <c r="G442" i="8"/>
  <c r="F442" i="8"/>
  <c r="E442" i="8"/>
  <c r="D442" i="8"/>
  <c r="C442" i="8"/>
  <c r="B442" i="8"/>
  <c r="I441" i="8"/>
  <c r="H441" i="8"/>
  <c r="G441" i="8"/>
  <c r="F441" i="8"/>
  <c r="E441" i="8"/>
  <c r="D441" i="8"/>
  <c r="C441" i="8"/>
  <c r="B441" i="8"/>
  <c r="I440" i="8"/>
  <c r="H440" i="8"/>
  <c r="G440" i="8"/>
  <c r="F440" i="8"/>
  <c r="E440" i="8"/>
  <c r="D440" i="8"/>
  <c r="C440" i="8"/>
  <c r="B440" i="8"/>
  <c r="I439" i="8"/>
  <c r="H439" i="8"/>
  <c r="G439" i="8"/>
  <c r="F439" i="8"/>
  <c r="E439" i="8"/>
  <c r="D439" i="8"/>
  <c r="C439" i="8"/>
  <c r="B439" i="8"/>
  <c r="I438" i="8"/>
  <c r="H438" i="8"/>
  <c r="G438" i="8"/>
  <c r="F438" i="8"/>
  <c r="E438" i="8"/>
  <c r="D438" i="8"/>
  <c r="C438" i="8"/>
  <c r="B438" i="8"/>
  <c r="I437" i="8"/>
  <c r="H437" i="8"/>
  <c r="G437" i="8"/>
  <c r="F437" i="8"/>
  <c r="E437" i="8"/>
  <c r="D437" i="8"/>
  <c r="C437" i="8"/>
  <c r="B437" i="8"/>
  <c r="I436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I426" i="8"/>
  <c r="H426" i="8"/>
  <c r="G426" i="8"/>
  <c r="F426" i="8"/>
  <c r="E426" i="8"/>
  <c r="D426" i="8"/>
  <c r="C426" i="8"/>
  <c r="B426" i="8"/>
  <c r="I425" i="8"/>
  <c r="H425" i="8"/>
  <c r="G425" i="8"/>
  <c r="F425" i="8"/>
  <c r="E425" i="8"/>
  <c r="D425" i="8"/>
  <c r="C425" i="8"/>
  <c r="B425" i="8"/>
  <c r="I424" i="8"/>
  <c r="H424" i="8"/>
  <c r="G424" i="8"/>
  <c r="F424" i="8"/>
  <c r="E424" i="8"/>
  <c r="D424" i="8"/>
  <c r="C424" i="8"/>
  <c r="B424" i="8"/>
  <c r="I423" i="8"/>
  <c r="H423" i="8"/>
  <c r="G423" i="8"/>
  <c r="F423" i="8"/>
  <c r="E423" i="8"/>
  <c r="D423" i="8"/>
  <c r="C423" i="8"/>
  <c r="B423" i="8"/>
  <c r="I422" i="8"/>
  <c r="H422" i="8"/>
  <c r="G422" i="8"/>
  <c r="F422" i="8"/>
  <c r="E422" i="8"/>
  <c r="D422" i="8"/>
  <c r="C422" i="8"/>
  <c r="B422" i="8"/>
  <c r="I421" i="8"/>
  <c r="H421" i="8"/>
  <c r="G421" i="8"/>
  <c r="F421" i="8"/>
  <c r="E421" i="8"/>
  <c r="D421" i="8"/>
  <c r="C421" i="8"/>
  <c r="B421" i="8"/>
  <c r="I420" i="8"/>
  <c r="H420" i="8"/>
  <c r="G420" i="8"/>
  <c r="F420" i="8"/>
  <c r="E420" i="8"/>
  <c r="D420" i="8"/>
  <c r="C420" i="8"/>
  <c r="B420" i="8"/>
  <c r="I419" i="8"/>
  <c r="H419" i="8"/>
  <c r="G419" i="8"/>
  <c r="F419" i="8"/>
  <c r="E419" i="8"/>
  <c r="D419" i="8"/>
  <c r="C419" i="8"/>
  <c r="B419" i="8"/>
  <c r="I418" i="8"/>
  <c r="H418" i="8"/>
  <c r="G418" i="8"/>
  <c r="F418" i="8"/>
  <c r="E418" i="8"/>
  <c r="D418" i="8"/>
  <c r="C418" i="8"/>
  <c r="B418" i="8"/>
  <c r="I417" i="8"/>
  <c r="H417" i="8"/>
  <c r="G417" i="8"/>
  <c r="F417" i="8"/>
  <c r="E417" i="8"/>
  <c r="D417" i="8"/>
  <c r="C417" i="8"/>
  <c r="B417" i="8"/>
  <c r="I416" i="8"/>
  <c r="H416" i="8"/>
  <c r="G416" i="8"/>
  <c r="F416" i="8"/>
  <c r="E416" i="8"/>
  <c r="D416" i="8"/>
  <c r="C416" i="8"/>
  <c r="B416" i="8"/>
  <c r="I415" i="8"/>
  <c r="H415" i="8"/>
  <c r="G415" i="8"/>
  <c r="F415" i="8"/>
  <c r="E415" i="8"/>
  <c r="D415" i="8"/>
  <c r="C415" i="8"/>
  <c r="B415" i="8"/>
  <c r="I414" i="8"/>
  <c r="H414" i="8"/>
  <c r="G414" i="8"/>
  <c r="F414" i="8"/>
  <c r="E414" i="8"/>
  <c r="D414" i="8"/>
  <c r="C414" i="8"/>
  <c r="B414" i="8"/>
  <c r="I413" i="8"/>
  <c r="H413" i="8"/>
  <c r="G413" i="8"/>
  <c r="F413" i="8"/>
  <c r="E413" i="8"/>
  <c r="D413" i="8"/>
  <c r="C413" i="8"/>
  <c r="B413" i="8"/>
  <c r="I412" i="8"/>
  <c r="H412" i="8"/>
  <c r="G412" i="8"/>
  <c r="F412" i="8"/>
  <c r="E412" i="8"/>
  <c r="D412" i="8"/>
  <c r="C412" i="8"/>
  <c r="B412" i="8"/>
  <c r="I411" i="8"/>
  <c r="H411" i="8"/>
  <c r="G411" i="8"/>
  <c r="F411" i="8"/>
  <c r="E411" i="8"/>
  <c r="D411" i="8"/>
  <c r="C411" i="8"/>
  <c r="B411" i="8"/>
  <c r="I410" i="8"/>
  <c r="H410" i="8"/>
  <c r="G410" i="8"/>
  <c r="F410" i="8"/>
  <c r="E410" i="8"/>
  <c r="D410" i="8"/>
  <c r="C410" i="8"/>
  <c r="B410" i="8"/>
  <c r="I409" i="8"/>
  <c r="H409" i="8"/>
  <c r="G409" i="8"/>
  <c r="F409" i="8"/>
  <c r="E409" i="8"/>
  <c r="D409" i="8"/>
  <c r="C409" i="8"/>
  <c r="B409" i="8"/>
  <c r="I408" i="8"/>
  <c r="H408" i="8"/>
  <c r="G408" i="8"/>
  <c r="F408" i="8"/>
  <c r="E408" i="8"/>
  <c r="D408" i="8"/>
  <c r="C408" i="8"/>
  <c r="B408" i="8"/>
  <c r="I407" i="8"/>
  <c r="H407" i="8"/>
  <c r="G407" i="8"/>
  <c r="F407" i="8"/>
  <c r="E407" i="8"/>
  <c r="D407" i="8"/>
  <c r="C407" i="8"/>
  <c r="B407" i="8"/>
  <c r="I406" i="8"/>
  <c r="H406" i="8"/>
  <c r="G406" i="8"/>
  <c r="F406" i="8"/>
  <c r="E406" i="8"/>
  <c r="D406" i="8"/>
  <c r="C406" i="8"/>
  <c r="B406" i="8"/>
  <c r="I405" i="8"/>
  <c r="H405" i="8"/>
  <c r="G405" i="8"/>
  <c r="F405" i="8"/>
  <c r="E405" i="8"/>
  <c r="D405" i="8"/>
  <c r="C405" i="8"/>
  <c r="B405" i="8"/>
  <c r="I404" i="8"/>
  <c r="H404" i="8"/>
  <c r="G404" i="8"/>
  <c r="F404" i="8"/>
  <c r="E404" i="8"/>
  <c r="D404" i="8"/>
  <c r="C404" i="8"/>
  <c r="B404" i="8"/>
  <c r="I403" i="8"/>
  <c r="H403" i="8"/>
  <c r="G403" i="8"/>
  <c r="F403" i="8"/>
  <c r="E403" i="8"/>
  <c r="D403" i="8"/>
  <c r="C403" i="8"/>
  <c r="B403" i="8"/>
  <c r="I402" i="8"/>
  <c r="H402" i="8"/>
  <c r="G402" i="8"/>
  <c r="F402" i="8"/>
  <c r="E402" i="8"/>
  <c r="D402" i="8"/>
  <c r="C402" i="8"/>
  <c r="B402" i="8"/>
  <c r="I401" i="8"/>
  <c r="H401" i="8"/>
  <c r="G401" i="8"/>
  <c r="F401" i="8"/>
  <c r="E401" i="8"/>
  <c r="D401" i="8"/>
  <c r="C401" i="8"/>
  <c r="B401" i="8"/>
  <c r="I400" i="8"/>
  <c r="H400" i="8"/>
  <c r="G400" i="8"/>
  <c r="F400" i="8"/>
  <c r="E400" i="8"/>
  <c r="D400" i="8"/>
  <c r="C400" i="8"/>
  <c r="B400" i="8"/>
  <c r="I399" i="8"/>
  <c r="H399" i="8"/>
  <c r="G399" i="8"/>
  <c r="F399" i="8"/>
  <c r="E399" i="8"/>
  <c r="D399" i="8"/>
  <c r="C399" i="8"/>
  <c r="B399" i="8"/>
  <c r="I398" i="8"/>
  <c r="H398" i="8"/>
  <c r="G398" i="8"/>
  <c r="F398" i="8"/>
  <c r="E398" i="8"/>
  <c r="D398" i="8"/>
  <c r="C398" i="8"/>
  <c r="B398" i="8"/>
  <c r="I397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I388" i="8"/>
  <c r="H388" i="8"/>
  <c r="G388" i="8"/>
  <c r="F388" i="8"/>
  <c r="E388" i="8"/>
  <c r="D388" i="8"/>
  <c r="C388" i="8"/>
  <c r="B388" i="8"/>
  <c r="I387" i="8"/>
  <c r="H387" i="8"/>
  <c r="G387" i="8"/>
  <c r="F387" i="8"/>
  <c r="E387" i="8"/>
  <c r="D387" i="8"/>
  <c r="C387" i="8"/>
  <c r="B387" i="8"/>
  <c r="I386" i="8"/>
  <c r="H386" i="8"/>
  <c r="G386" i="8"/>
  <c r="F386" i="8"/>
  <c r="E386" i="8"/>
  <c r="D386" i="8"/>
  <c r="C386" i="8"/>
  <c r="B386" i="8"/>
  <c r="I385" i="8"/>
  <c r="H385" i="8"/>
  <c r="G385" i="8"/>
  <c r="F385" i="8"/>
  <c r="E385" i="8"/>
  <c r="D385" i="8"/>
  <c r="C385" i="8"/>
  <c r="B385" i="8"/>
  <c r="I384" i="8"/>
  <c r="H384" i="8"/>
  <c r="G384" i="8"/>
  <c r="F384" i="8"/>
  <c r="E384" i="8"/>
  <c r="D384" i="8"/>
  <c r="C384" i="8"/>
  <c r="B384" i="8"/>
  <c r="I383" i="8"/>
  <c r="H383" i="8"/>
  <c r="G383" i="8"/>
  <c r="F383" i="8"/>
  <c r="E383" i="8"/>
  <c r="D383" i="8"/>
  <c r="C383" i="8"/>
  <c r="B383" i="8"/>
  <c r="I382" i="8"/>
  <c r="H382" i="8"/>
  <c r="G382" i="8"/>
  <c r="F382" i="8"/>
  <c r="E382" i="8"/>
  <c r="D382" i="8"/>
  <c r="C382" i="8"/>
  <c r="B382" i="8"/>
  <c r="I381" i="8"/>
  <c r="H381" i="8"/>
  <c r="G381" i="8"/>
  <c r="F381" i="8"/>
  <c r="E381" i="8"/>
  <c r="D381" i="8"/>
  <c r="C381" i="8"/>
  <c r="B381" i="8"/>
  <c r="I380" i="8"/>
  <c r="H380" i="8"/>
  <c r="G380" i="8"/>
  <c r="F380" i="8"/>
  <c r="E380" i="8"/>
  <c r="D380" i="8"/>
  <c r="C380" i="8"/>
  <c r="B380" i="8"/>
  <c r="I379" i="8"/>
  <c r="H379" i="8"/>
  <c r="G379" i="8"/>
  <c r="F379" i="8"/>
  <c r="E379" i="8"/>
  <c r="D379" i="8"/>
  <c r="C379" i="8"/>
  <c r="B379" i="8"/>
  <c r="I378" i="8"/>
  <c r="H378" i="8"/>
  <c r="G378" i="8"/>
  <c r="F378" i="8"/>
  <c r="E378" i="8"/>
  <c r="D378" i="8"/>
  <c r="C378" i="8"/>
  <c r="B378" i="8"/>
  <c r="I377" i="8"/>
  <c r="H377" i="8"/>
  <c r="G377" i="8"/>
  <c r="F377" i="8"/>
  <c r="E377" i="8"/>
  <c r="D377" i="8"/>
  <c r="C377" i="8"/>
  <c r="B377" i="8"/>
  <c r="I376" i="8"/>
  <c r="H376" i="8"/>
  <c r="G376" i="8"/>
  <c r="F376" i="8"/>
  <c r="E376" i="8"/>
  <c r="D376" i="8"/>
  <c r="C376" i="8"/>
  <c r="B376" i="8"/>
  <c r="I375" i="8"/>
  <c r="H375" i="8"/>
  <c r="G375" i="8"/>
  <c r="F375" i="8"/>
  <c r="E375" i="8"/>
  <c r="D375" i="8"/>
  <c r="C375" i="8"/>
  <c r="B375" i="8"/>
  <c r="I374" i="8"/>
  <c r="H374" i="8"/>
  <c r="G374" i="8"/>
  <c r="F374" i="8"/>
  <c r="E374" i="8"/>
  <c r="D374" i="8"/>
  <c r="C374" i="8"/>
  <c r="B374" i="8"/>
  <c r="I373" i="8"/>
  <c r="H373" i="8"/>
  <c r="G373" i="8"/>
  <c r="F373" i="8"/>
  <c r="E373" i="8"/>
  <c r="D373" i="8"/>
  <c r="C373" i="8"/>
  <c r="B373" i="8"/>
  <c r="I372" i="8"/>
  <c r="H372" i="8"/>
  <c r="G372" i="8"/>
  <c r="F372" i="8"/>
  <c r="E372" i="8"/>
  <c r="D372" i="8"/>
  <c r="C372" i="8"/>
  <c r="B372" i="8"/>
  <c r="I371" i="8"/>
  <c r="H371" i="8"/>
  <c r="G371" i="8"/>
  <c r="F371" i="8"/>
  <c r="E371" i="8"/>
  <c r="D371" i="8"/>
  <c r="C371" i="8"/>
  <c r="B371" i="8"/>
  <c r="I370" i="8"/>
  <c r="H370" i="8"/>
  <c r="G370" i="8"/>
  <c r="F370" i="8"/>
  <c r="E370" i="8"/>
  <c r="D370" i="8"/>
  <c r="C370" i="8"/>
  <c r="B370" i="8"/>
  <c r="I369" i="8"/>
  <c r="H369" i="8"/>
  <c r="G369" i="8"/>
  <c r="F369" i="8"/>
  <c r="E369" i="8"/>
  <c r="D369" i="8"/>
  <c r="C369" i="8"/>
  <c r="B369" i="8"/>
  <c r="I368" i="8"/>
  <c r="H368" i="8"/>
  <c r="G368" i="8"/>
  <c r="F368" i="8"/>
  <c r="E368" i="8"/>
  <c r="D368" i="8"/>
  <c r="C368" i="8"/>
  <c r="B368" i="8"/>
  <c r="I367" i="8"/>
  <c r="H367" i="8"/>
  <c r="G367" i="8"/>
  <c r="F367" i="8"/>
  <c r="E367" i="8"/>
  <c r="D367" i="8"/>
  <c r="C367" i="8"/>
  <c r="B367" i="8"/>
  <c r="I366" i="8"/>
  <c r="H366" i="8"/>
  <c r="G366" i="8"/>
  <c r="F366" i="8"/>
  <c r="E366" i="8"/>
  <c r="D366" i="8"/>
  <c r="C366" i="8"/>
  <c r="B366" i="8"/>
  <c r="I365" i="8"/>
  <c r="H365" i="8"/>
  <c r="G365" i="8"/>
  <c r="F365" i="8"/>
  <c r="E365" i="8"/>
  <c r="D365" i="8"/>
  <c r="C365" i="8"/>
  <c r="B365" i="8"/>
  <c r="I364" i="8"/>
  <c r="H364" i="8"/>
  <c r="G364" i="8"/>
  <c r="F364" i="8"/>
  <c r="E364" i="8"/>
  <c r="D364" i="8"/>
  <c r="C364" i="8"/>
  <c r="B364" i="8"/>
  <c r="I363" i="8"/>
  <c r="H363" i="8"/>
  <c r="G363" i="8"/>
  <c r="F363" i="8"/>
  <c r="E363" i="8"/>
  <c r="D363" i="8"/>
  <c r="C363" i="8"/>
  <c r="B363" i="8"/>
  <c r="I362" i="8"/>
  <c r="H362" i="8"/>
  <c r="G362" i="8"/>
  <c r="F362" i="8"/>
  <c r="E362" i="8"/>
  <c r="D362" i="8"/>
  <c r="C362" i="8"/>
  <c r="B362" i="8"/>
  <c r="I361" i="8"/>
  <c r="H361" i="8"/>
  <c r="G361" i="8"/>
  <c r="F361" i="8"/>
  <c r="E361" i="8"/>
  <c r="D361" i="8"/>
  <c r="C361" i="8"/>
  <c r="B361" i="8"/>
  <c r="I360" i="8"/>
  <c r="H360" i="8"/>
  <c r="G360" i="8"/>
  <c r="F360" i="8"/>
  <c r="E360" i="8"/>
  <c r="D360" i="8"/>
  <c r="C360" i="8"/>
  <c r="B360" i="8"/>
  <c r="I359" i="8"/>
  <c r="H359" i="8"/>
  <c r="G359" i="8"/>
  <c r="F359" i="8"/>
  <c r="E359" i="8"/>
  <c r="D359" i="8"/>
  <c r="C359" i="8"/>
  <c r="B359" i="8"/>
  <c r="I358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I348" i="8"/>
  <c r="H348" i="8"/>
  <c r="G348" i="8"/>
  <c r="F348" i="8"/>
  <c r="E348" i="8"/>
  <c r="D348" i="8"/>
  <c r="C348" i="8"/>
  <c r="B348" i="8"/>
  <c r="I347" i="8"/>
  <c r="H347" i="8"/>
  <c r="G347" i="8"/>
  <c r="F347" i="8"/>
  <c r="E347" i="8"/>
  <c r="D347" i="8"/>
  <c r="C347" i="8"/>
  <c r="B347" i="8"/>
  <c r="I346" i="8"/>
  <c r="H346" i="8"/>
  <c r="G346" i="8"/>
  <c r="F346" i="8"/>
  <c r="E346" i="8"/>
  <c r="D346" i="8"/>
  <c r="C346" i="8"/>
  <c r="B346" i="8"/>
  <c r="I345" i="8"/>
  <c r="H345" i="8"/>
  <c r="G345" i="8"/>
  <c r="F345" i="8"/>
  <c r="E345" i="8"/>
  <c r="D345" i="8"/>
  <c r="C345" i="8"/>
  <c r="B345" i="8"/>
  <c r="I344" i="8"/>
  <c r="H344" i="8"/>
  <c r="G344" i="8"/>
  <c r="F344" i="8"/>
  <c r="E344" i="8"/>
  <c r="D344" i="8"/>
  <c r="C344" i="8"/>
  <c r="B344" i="8"/>
  <c r="I343" i="8"/>
  <c r="H343" i="8"/>
  <c r="G343" i="8"/>
  <c r="F343" i="8"/>
  <c r="E343" i="8"/>
  <c r="D343" i="8"/>
  <c r="C343" i="8"/>
  <c r="B343" i="8"/>
  <c r="I342" i="8"/>
  <c r="H342" i="8"/>
  <c r="G342" i="8"/>
  <c r="F342" i="8"/>
  <c r="E342" i="8"/>
  <c r="D342" i="8"/>
  <c r="C342" i="8"/>
  <c r="B342" i="8"/>
  <c r="I341" i="8"/>
  <c r="H341" i="8"/>
  <c r="G341" i="8"/>
  <c r="F341" i="8"/>
  <c r="E341" i="8"/>
  <c r="D341" i="8"/>
  <c r="C341" i="8"/>
  <c r="B341" i="8"/>
  <c r="I340" i="8"/>
  <c r="H340" i="8"/>
  <c r="G340" i="8"/>
  <c r="F340" i="8"/>
  <c r="E340" i="8"/>
  <c r="D340" i="8"/>
  <c r="C340" i="8"/>
  <c r="B340" i="8"/>
  <c r="I339" i="8"/>
  <c r="H339" i="8"/>
  <c r="G339" i="8"/>
  <c r="F339" i="8"/>
  <c r="E339" i="8"/>
  <c r="D339" i="8"/>
  <c r="C339" i="8"/>
  <c r="B339" i="8"/>
  <c r="I338" i="8"/>
  <c r="H338" i="8"/>
  <c r="G338" i="8"/>
  <c r="F338" i="8"/>
  <c r="E338" i="8"/>
  <c r="D338" i="8"/>
  <c r="C338" i="8"/>
  <c r="B338" i="8"/>
  <c r="I337" i="8"/>
  <c r="H337" i="8"/>
  <c r="G337" i="8"/>
  <c r="F337" i="8"/>
  <c r="E337" i="8"/>
  <c r="D337" i="8"/>
  <c r="C337" i="8"/>
  <c r="B337" i="8"/>
  <c r="I336" i="8"/>
  <c r="H336" i="8"/>
  <c r="G336" i="8"/>
  <c r="F336" i="8"/>
  <c r="E336" i="8"/>
  <c r="D336" i="8"/>
  <c r="C336" i="8"/>
  <c r="B336" i="8"/>
  <c r="I335" i="8"/>
  <c r="H335" i="8"/>
  <c r="G335" i="8"/>
  <c r="F335" i="8"/>
  <c r="E335" i="8"/>
  <c r="D335" i="8"/>
  <c r="C335" i="8"/>
  <c r="B335" i="8"/>
  <c r="I334" i="8"/>
  <c r="H334" i="8"/>
  <c r="G334" i="8"/>
  <c r="F334" i="8"/>
  <c r="E334" i="8"/>
  <c r="D334" i="8"/>
  <c r="C334" i="8"/>
  <c r="B334" i="8"/>
  <c r="I333" i="8"/>
  <c r="H333" i="8"/>
  <c r="G333" i="8"/>
  <c r="F333" i="8"/>
  <c r="E333" i="8"/>
  <c r="D333" i="8"/>
  <c r="C333" i="8"/>
  <c r="B333" i="8"/>
  <c r="I332" i="8"/>
  <c r="H332" i="8"/>
  <c r="G332" i="8"/>
  <c r="F332" i="8"/>
  <c r="E332" i="8"/>
  <c r="D332" i="8"/>
  <c r="C332" i="8"/>
  <c r="B332" i="8"/>
  <c r="I331" i="8"/>
  <c r="H331" i="8"/>
  <c r="G331" i="8"/>
  <c r="F331" i="8"/>
  <c r="E331" i="8"/>
  <c r="D331" i="8"/>
  <c r="C331" i="8"/>
  <c r="B331" i="8"/>
  <c r="I330" i="8"/>
  <c r="H330" i="8"/>
  <c r="G330" i="8"/>
  <c r="F330" i="8"/>
  <c r="E330" i="8"/>
  <c r="D330" i="8"/>
  <c r="C330" i="8"/>
  <c r="B330" i="8"/>
  <c r="I329" i="8"/>
  <c r="H329" i="8"/>
  <c r="G329" i="8"/>
  <c r="F329" i="8"/>
  <c r="E329" i="8"/>
  <c r="D329" i="8"/>
  <c r="C329" i="8"/>
  <c r="B329" i="8"/>
  <c r="I328" i="8"/>
  <c r="H328" i="8"/>
  <c r="G328" i="8"/>
  <c r="F328" i="8"/>
  <c r="E328" i="8"/>
  <c r="D328" i="8"/>
  <c r="C328" i="8"/>
  <c r="B328" i="8"/>
  <c r="I327" i="8"/>
  <c r="H327" i="8"/>
  <c r="G327" i="8"/>
  <c r="F327" i="8"/>
  <c r="E327" i="8"/>
  <c r="D327" i="8"/>
  <c r="C327" i="8"/>
  <c r="B327" i="8"/>
  <c r="I326" i="8"/>
  <c r="H326" i="8"/>
  <c r="G326" i="8"/>
  <c r="F326" i="8"/>
  <c r="E326" i="8"/>
  <c r="D326" i="8"/>
  <c r="C326" i="8"/>
  <c r="B326" i="8"/>
  <c r="I325" i="8"/>
  <c r="H325" i="8"/>
  <c r="G325" i="8"/>
  <c r="F325" i="8"/>
  <c r="E325" i="8"/>
  <c r="D325" i="8"/>
  <c r="C325" i="8"/>
  <c r="B325" i="8"/>
  <c r="I324" i="8"/>
  <c r="H324" i="8"/>
  <c r="G324" i="8"/>
  <c r="F324" i="8"/>
  <c r="E324" i="8"/>
  <c r="D324" i="8"/>
  <c r="C324" i="8"/>
  <c r="B324" i="8"/>
  <c r="I323" i="8"/>
  <c r="H323" i="8"/>
  <c r="G323" i="8"/>
  <c r="F323" i="8"/>
  <c r="E323" i="8"/>
  <c r="D323" i="8"/>
  <c r="C323" i="8"/>
  <c r="B323" i="8"/>
  <c r="I322" i="8"/>
  <c r="H322" i="8"/>
  <c r="G322" i="8"/>
  <c r="F322" i="8"/>
  <c r="E322" i="8"/>
  <c r="D322" i="8"/>
  <c r="C322" i="8"/>
  <c r="B322" i="8"/>
  <c r="I321" i="8"/>
  <c r="H321" i="8"/>
  <c r="G321" i="8"/>
  <c r="F321" i="8"/>
  <c r="E321" i="8"/>
  <c r="D321" i="8"/>
  <c r="C321" i="8"/>
  <c r="B321" i="8"/>
  <c r="I320" i="8"/>
  <c r="H320" i="8"/>
  <c r="G320" i="8"/>
  <c r="F320" i="8"/>
  <c r="E320" i="8"/>
  <c r="D320" i="8"/>
  <c r="C320" i="8"/>
  <c r="B320" i="8"/>
  <c r="I319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I310" i="8"/>
  <c r="H310" i="8"/>
  <c r="G310" i="8"/>
  <c r="F310" i="8"/>
  <c r="E310" i="8"/>
  <c r="D310" i="8"/>
  <c r="C310" i="8"/>
  <c r="B310" i="8"/>
  <c r="I309" i="8"/>
  <c r="H309" i="8"/>
  <c r="G309" i="8"/>
  <c r="F309" i="8"/>
  <c r="E309" i="8"/>
  <c r="D309" i="8"/>
  <c r="C309" i="8"/>
  <c r="B309" i="8"/>
  <c r="I308" i="8"/>
  <c r="H308" i="8"/>
  <c r="G308" i="8"/>
  <c r="F308" i="8"/>
  <c r="E308" i="8"/>
  <c r="D308" i="8"/>
  <c r="C308" i="8"/>
  <c r="B308" i="8"/>
  <c r="I307" i="8"/>
  <c r="H307" i="8"/>
  <c r="G307" i="8"/>
  <c r="F307" i="8"/>
  <c r="E307" i="8"/>
  <c r="D307" i="8"/>
  <c r="C307" i="8"/>
  <c r="B307" i="8"/>
  <c r="I306" i="8"/>
  <c r="H306" i="8"/>
  <c r="G306" i="8"/>
  <c r="F306" i="8"/>
  <c r="E306" i="8"/>
  <c r="D306" i="8"/>
  <c r="C306" i="8"/>
  <c r="B306" i="8"/>
  <c r="I305" i="8"/>
  <c r="H305" i="8"/>
  <c r="G305" i="8"/>
  <c r="F305" i="8"/>
  <c r="E305" i="8"/>
  <c r="D305" i="8"/>
  <c r="C305" i="8"/>
  <c r="B305" i="8"/>
  <c r="I304" i="8"/>
  <c r="H304" i="8"/>
  <c r="G304" i="8"/>
  <c r="F304" i="8"/>
  <c r="E304" i="8"/>
  <c r="D304" i="8"/>
  <c r="C304" i="8"/>
  <c r="B304" i="8"/>
  <c r="I303" i="8"/>
  <c r="H303" i="8"/>
  <c r="G303" i="8"/>
  <c r="F303" i="8"/>
  <c r="E303" i="8"/>
  <c r="D303" i="8"/>
  <c r="C303" i="8"/>
  <c r="B303" i="8"/>
  <c r="I302" i="8"/>
  <c r="H302" i="8"/>
  <c r="G302" i="8"/>
  <c r="F302" i="8"/>
  <c r="E302" i="8"/>
  <c r="D302" i="8"/>
  <c r="C302" i="8"/>
  <c r="B302" i="8"/>
  <c r="I301" i="8"/>
  <c r="H301" i="8"/>
  <c r="G301" i="8"/>
  <c r="F301" i="8"/>
  <c r="E301" i="8"/>
  <c r="D301" i="8"/>
  <c r="C301" i="8"/>
  <c r="B301" i="8"/>
  <c r="I300" i="8"/>
  <c r="H300" i="8"/>
  <c r="G300" i="8"/>
  <c r="F300" i="8"/>
  <c r="E300" i="8"/>
  <c r="D300" i="8"/>
  <c r="C300" i="8"/>
  <c r="B300" i="8"/>
  <c r="I299" i="8"/>
  <c r="H299" i="8"/>
  <c r="G299" i="8"/>
  <c r="F299" i="8"/>
  <c r="E299" i="8"/>
  <c r="D299" i="8"/>
  <c r="C299" i="8"/>
  <c r="B299" i="8"/>
  <c r="I298" i="8"/>
  <c r="H298" i="8"/>
  <c r="G298" i="8"/>
  <c r="F298" i="8"/>
  <c r="E298" i="8"/>
  <c r="D298" i="8"/>
  <c r="C298" i="8"/>
  <c r="B298" i="8"/>
  <c r="I297" i="8"/>
  <c r="H297" i="8"/>
  <c r="G297" i="8"/>
  <c r="F297" i="8"/>
  <c r="E297" i="8"/>
  <c r="D297" i="8"/>
  <c r="C297" i="8"/>
  <c r="B297" i="8"/>
  <c r="I296" i="8"/>
  <c r="H296" i="8"/>
  <c r="G296" i="8"/>
  <c r="F296" i="8"/>
  <c r="E296" i="8"/>
  <c r="D296" i="8"/>
  <c r="C296" i="8"/>
  <c r="B296" i="8"/>
  <c r="I295" i="8"/>
  <c r="H295" i="8"/>
  <c r="G295" i="8"/>
  <c r="F295" i="8"/>
  <c r="E295" i="8"/>
  <c r="D295" i="8"/>
  <c r="C295" i="8"/>
  <c r="B295" i="8"/>
  <c r="I294" i="8"/>
  <c r="H294" i="8"/>
  <c r="G294" i="8"/>
  <c r="F294" i="8"/>
  <c r="E294" i="8"/>
  <c r="D294" i="8"/>
  <c r="C294" i="8"/>
  <c r="B294" i="8"/>
  <c r="I293" i="8"/>
  <c r="H293" i="8"/>
  <c r="G293" i="8"/>
  <c r="F293" i="8"/>
  <c r="E293" i="8"/>
  <c r="D293" i="8"/>
  <c r="C293" i="8"/>
  <c r="B293" i="8"/>
  <c r="I292" i="8"/>
  <c r="H292" i="8"/>
  <c r="G292" i="8"/>
  <c r="F292" i="8"/>
  <c r="E292" i="8"/>
  <c r="D292" i="8"/>
  <c r="C292" i="8"/>
  <c r="B292" i="8"/>
  <c r="I291" i="8"/>
  <c r="H291" i="8"/>
  <c r="G291" i="8"/>
  <c r="F291" i="8"/>
  <c r="E291" i="8"/>
  <c r="D291" i="8"/>
  <c r="C291" i="8"/>
  <c r="B291" i="8"/>
  <c r="I290" i="8"/>
  <c r="H290" i="8"/>
  <c r="G290" i="8"/>
  <c r="F290" i="8"/>
  <c r="E290" i="8"/>
  <c r="D290" i="8"/>
  <c r="C290" i="8"/>
  <c r="B290" i="8"/>
  <c r="I289" i="8"/>
  <c r="H289" i="8"/>
  <c r="G289" i="8"/>
  <c r="F289" i="8"/>
  <c r="E289" i="8"/>
  <c r="D289" i="8"/>
  <c r="C289" i="8"/>
  <c r="B289" i="8"/>
  <c r="I288" i="8"/>
  <c r="H288" i="8"/>
  <c r="G288" i="8"/>
  <c r="F288" i="8"/>
  <c r="E288" i="8"/>
  <c r="D288" i="8"/>
  <c r="C288" i="8"/>
  <c r="B288" i="8"/>
  <c r="I287" i="8"/>
  <c r="H287" i="8"/>
  <c r="G287" i="8"/>
  <c r="F287" i="8"/>
  <c r="E287" i="8"/>
  <c r="D287" i="8"/>
  <c r="C287" i="8"/>
  <c r="B287" i="8"/>
  <c r="I286" i="8"/>
  <c r="H286" i="8"/>
  <c r="G286" i="8"/>
  <c r="F286" i="8"/>
  <c r="E286" i="8"/>
  <c r="D286" i="8"/>
  <c r="C286" i="8"/>
  <c r="B286" i="8"/>
  <c r="I285" i="8"/>
  <c r="H285" i="8"/>
  <c r="G285" i="8"/>
  <c r="F285" i="8"/>
  <c r="E285" i="8"/>
  <c r="D285" i="8"/>
  <c r="C285" i="8"/>
  <c r="B285" i="8"/>
  <c r="I284" i="8"/>
  <c r="H284" i="8"/>
  <c r="G284" i="8"/>
  <c r="F284" i="8"/>
  <c r="E284" i="8"/>
  <c r="D284" i="8"/>
  <c r="C284" i="8"/>
  <c r="B284" i="8"/>
  <c r="I283" i="8"/>
  <c r="H283" i="8"/>
  <c r="G283" i="8"/>
  <c r="F283" i="8"/>
  <c r="E283" i="8"/>
  <c r="D283" i="8"/>
  <c r="C283" i="8"/>
  <c r="B283" i="8"/>
  <c r="I282" i="8"/>
  <c r="H282" i="8"/>
  <c r="G282" i="8"/>
  <c r="F282" i="8"/>
  <c r="E282" i="8"/>
  <c r="D282" i="8"/>
  <c r="C282" i="8"/>
  <c r="B282" i="8"/>
  <c r="I281" i="8"/>
  <c r="H281" i="8"/>
  <c r="G281" i="8"/>
  <c r="F281" i="8"/>
  <c r="E281" i="8"/>
  <c r="D281" i="8"/>
  <c r="C281" i="8"/>
  <c r="B281" i="8"/>
  <c r="I280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I271" i="8"/>
  <c r="H271" i="8"/>
  <c r="G271" i="8"/>
  <c r="F271" i="8"/>
  <c r="E271" i="8"/>
  <c r="D271" i="8"/>
  <c r="C271" i="8"/>
  <c r="B271" i="8"/>
  <c r="I270" i="8"/>
  <c r="H270" i="8"/>
  <c r="G270" i="8"/>
  <c r="F270" i="8"/>
  <c r="E270" i="8"/>
  <c r="D270" i="8"/>
  <c r="C270" i="8"/>
  <c r="B270" i="8"/>
  <c r="I269" i="8"/>
  <c r="H269" i="8"/>
  <c r="G269" i="8"/>
  <c r="F269" i="8"/>
  <c r="E269" i="8"/>
  <c r="D269" i="8"/>
  <c r="C269" i="8"/>
  <c r="B269" i="8"/>
  <c r="I268" i="8"/>
  <c r="H268" i="8"/>
  <c r="G268" i="8"/>
  <c r="F268" i="8"/>
  <c r="E268" i="8"/>
  <c r="D268" i="8"/>
  <c r="C268" i="8"/>
  <c r="B268" i="8"/>
  <c r="I267" i="8"/>
  <c r="H267" i="8"/>
  <c r="G267" i="8"/>
  <c r="F267" i="8"/>
  <c r="E267" i="8"/>
  <c r="D267" i="8"/>
  <c r="C267" i="8"/>
  <c r="B267" i="8"/>
  <c r="I266" i="8"/>
  <c r="H266" i="8"/>
  <c r="G266" i="8"/>
  <c r="F266" i="8"/>
  <c r="E266" i="8"/>
  <c r="D266" i="8"/>
  <c r="C266" i="8"/>
  <c r="B266" i="8"/>
  <c r="I265" i="8"/>
  <c r="H265" i="8"/>
  <c r="G265" i="8"/>
  <c r="F265" i="8"/>
  <c r="E265" i="8"/>
  <c r="D265" i="8"/>
  <c r="C265" i="8"/>
  <c r="B265" i="8"/>
  <c r="I264" i="8"/>
  <c r="H264" i="8"/>
  <c r="G264" i="8"/>
  <c r="F264" i="8"/>
  <c r="E264" i="8"/>
  <c r="D264" i="8"/>
  <c r="C264" i="8"/>
  <c r="B264" i="8"/>
  <c r="I263" i="8"/>
  <c r="H263" i="8"/>
  <c r="G263" i="8"/>
  <c r="F263" i="8"/>
  <c r="E263" i="8"/>
  <c r="D263" i="8"/>
  <c r="C263" i="8"/>
  <c r="B263" i="8"/>
  <c r="I262" i="8"/>
  <c r="H262" i="8"/>
  <c r="G262" i="8"/>
  <c r="F262" i="8"/>
  <c r="E262" i="8"/>
  <c r="D262" i="8"/>
  <c r="C262" i="8"/>
  <c r="B262" i="8"/>
  <c r="I261" i="8"/>
  <c r="H261" i="8"/>
  <c r="G261" i="8"/>
  <c r="F261" i="8"/>
  <c r="E261" i="8"/>
  <c r="D261" i="8"/>
  <c r="C261" i="8"/>
  <c r="B261" i="8"/>
  <c r="I260" i="8"/>
  <c r="H260" i="8"/>
  <c r="G260" i="8"/>
  <c r="F260" i="8"/>
  <c r="E260" i="8"/>
  <c r="D260" i="8"/>
  <c r="C260" i="8"/>
  <c r="B260" i="8"/>
  <c r="I259" i="8"/>
  <c r="H259" i="8"/>
  <c r="G259" i="8"/>
  <c r="F259" i="8"/>
  <c r="E259" i="8"/>
  <c r="D259" i="8"/>
  <c r="C259" i="8"/>
  <c r="B259" i="8"/>
  <c r="I258" i="8"/>
  <c r="H258" i="8"/>
  <c r="G258" i="8"/>
  <c r="F258" i="8"/>
  <c r="E258" i="8"/>
  <c r="D258" i="8"/>
  <c r="C258" i="8"/>
  <c r="B258" i="8"/>
  <c r="I257" i="8"/>
  <c r="H257" i="8"/>
  <c r="G257" i="8"/>
  <c r="F257" i="8"/>
  <c r="E257" i="8"/>
  <c r="D257" i="8"/>
  <c r="C257" i="8"/>
  <c r="B257" i="8"/>
  <c r="I256" i="8"/>
  <c r="H256" i="8"/>
  <c r="G256" i="8"/>
  <c r="F256" i="8"/>
  <c r="E256" i="8"/>
  <c r="D256" i="8"/>
  <c r="C256" i="8"/>
  <c r="B256" i="8"/>
  <c r="I255" i="8"/>
  <c r="H255" i="8"/>
  <c r="G255" i="8"/>
  <c r="F255" i="8"/>
  <c r="E255" i="8"/>
  <c r="D255" i="8"/>
  <c r="C255" i="8"/>
  <c r="B255" i="8"/>
  <c r="I254" i="8"/>
  <c r="H254" i="8"/>
  <c r="G254" i="8"/>
  <c r="F254" i="8"/>
  <c r="E254" i="8"/>
  <c r="D254" i="8"/>
  <c r="C254" i="8"/>
  <c r="B254" i="8"/>
  <c r="I253" i="8"/>
  <c r="H253" i="8"/>
  <c r="G253" i="8"/>
  <c r="F253" i="8"/>
  <c r="E253" i="8"/>
  <c r="D253" i="8"/>
  <c r="C253" i="8"/>
  <c r="B253" i="8"/>
  <c r="I252" i="8"/>
  <c r="H252" i="8"/>
  <c r="G252" i="8"/>
  <c r="F252" i="8"/>
  <c r="E252" i="8"/>
  <c r="D252" i="8"/>
  <c r="C252" i="8"/>
  <c r="B252" i="8"/>
  <c r="I251" i="8"/>
  <c r="H251" i="8"/>
  <c r="G251" i="8"/>
  <c r="F251" i="8"/>
  <c r="E251" i="8"/>
  <c r="D251" i="8"/>
  <c r="C251" i="8"/>
  <c r="B251" i="8"/>
  <c r="I250" i="8"/>
  <c r="H250" i="8"/>
  <c r="G250" i="8"/>
  <c r="F250" i="8"/>
  <c r="E250" i="8"/>
  <c r="D250" i="8"/>
  <c r="C250" i="8"/>
  <c r="B250" i="8"/>
  <c r="I249" i="8"/>
  <c r="H249" i="8"/>
  <c r="G249" i="8"/>
  <c r="F249" i="8"/>
  <c r="E249" i="8"/>
  <c r="D249" i="8"/>
  <c r="C249" i="8"/>
  <c r="B249" i="8"/>
  <c r="I248" i="8"/>
  <c r="H248" i="8"/>
  <c r="G248" i="8"/>
  <c r="F248" i="8"/>
  <c r="E248" i="8"/>
  <c r="D248" i="8"/>
  <c r="C248" i="8"/>
  <c r="B248" i="8"/>
  <c r="I247" i="8"/>
  <c r="H247" i="8"/>
  <c r="G247" i="8"/>
  <c r="F247" i="8"/>
  <c r="E247" i="8"/>
  <c r="D247" i="8"/>
  <c r="C247" i="8"/>
  <c r="B247" i="8"/>
  <c r="I246" i="8"/>
  <c r="H246" i="8"/>
  <c r="G246" i="8"/>
  <c r="F246" i="8"/>
  <c r="E246" i="8"/>
  <c r="D246" i="8"/>
  <c r="C246" i="8"/>
  <c r="B246" i="8"/>
  <c r="I245" i="8"/>
  <c r="H245" i="8"/>
  <c r="G245" i="8"/>
  <c r="F245" i="8"/>
  <c r="E245" i="8"/>
  <c r="D245" i="8"/>
  <c r="C245" i="8"/>
  <c r="B245" i="8"/>
  <c r="I244" i="8"/>
  <c r="H244" i="8"/>
  <c r="G244" i="8"/>
  <c r="F244" i="8"/>
  <c r="E244" i="8"/>
  <c r="D244" i="8"/>
  <c r="C244" i="8"/>
  <c r="B244" i="8"/>
  <c r="I243" i="8"/>
  <c r="H243" i="8"/>
  <c r="G243" i="8"/>
  <c r="F243" i="8"/>
  <c r="E243" i="8"/>
  <c r="D243" i="8"/>
  <c r="C243" i="8"/>
  <c r="B243" i="8"/>
  <c r="I242" i="8"/>
  <c r="H242" i="8"/>
  <c r="G242" i="8"/>
  <c r="F242" i="8"/>
  <c r="E242" i="8"/>
  <c r="D242" i="8"/>
  <c r="C242" i="8"/>
  <c r="B242" i="8"/>
  <c r="I241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I231" i="8"/>
  <c r="H231" i="8"/>
  <c r="G231" i="8"/>
  <c r="F231" i="8"/>
  <c r="E231" i="8"/>
  <c r="D231" i="8"/>
  <c r="C231" i="8"/>
  <c r="B231" i="8"/>
  <c r="I230" i="8"/>
  <c r="H230" i="8"/>
  <c r="G230" i="8"/>
  <c r="F230" i="8"/>
  <c r="E230" i="8"/>
  <c r="D230" i="8"/>
  <c r="C230" i="8"/>
  <c r="B230" i="8"/>
  <c r="I229" i="8"/>
  <c r="H229" i="8"/>
  <c r="G229" i="8"/>
  <c r="F229" i="8"/>
  <c r="E229" i="8"/>
  <c r="D229" i="8"/>
  <c r="C229" i="8"/>
  <c r="B229" i="8"/>
  <c r="I228" i="8"/>
  <c r="H228" i="8"/>
  <c r="G228" i="8"/>
  <c r="F228" i="8"/>
  <c r="E228" i="8"/>
  <c r="D228" i="8"/>
  <c r="C228" i="8"/>
  <c r="B228" i="8"/>
  <c r="I227" i="8"/>
  <c r="H227" i="8"/>
  <c r="G227" i="8"/>
  <c r="F227" i="8"/>
  <c r="E227" i="8"/>
  <c r="D227" i="8"/>
  <c r="C227" i="8"/>
  <c r="B227" i="8"/>
  <c r="I226" i="8"/>
  <c r="H226" i="8"/>
  <c r="G226" i="8"/>
  <c r="F226" i="8"/>
  <c r="E226" i="8"/>
  <c r="D226" i="8"/>
  <c r="C226" i="8"/>
  <c r="B226" i="8"/>
  <c r="I225" i="8"/>
  <c r="H225" i="8"/>
  <c r="G225" i="8"/>
  <c r="F225" i="8"/>
  <c r="E225" i="8"/>
  <c r="D225" i="8"/>
  <c r="C225" i="8"/>
  <c r="B225" i="8"/>
  <c r="I224" i="8"/>
  <c r="H224" i="8"/>
  <c r="G224" i="8"/>
  <c r="F224" i="8"/>
  <c r="E224" i="8"/>
  <c r="D224" i="8"/>
  <c r="C224" i="8"/>
  <c r="B224" i="8"/>
  <c r="I223" i="8"/>
  <c r="H223" i="8"/>
  <c r="G223" i="8"/>
  <c r="F223" i="8"/>
  <c r="E223" i="8"/>
  <c r="D223" i="8"/>
  <c r="C223" i="8"/>
  <c r="B223" i="8"/>
  <c r="I222" i="8"/>
  <c r="H222" i="8"/>
  <c r="G222" i="8"/>
  <c r="F222" i="8"/>
  <c r="E222" i="8"/>
  <c r="D222" i="8"/>
  <c r="C222" i="8"/>
  <c r="B222" i="8"/>
  <c r="I221" i="8"/>
  <c r="H221" i="8"/>
  <c r="G221" i="8"/>
  <c r="F221" i="8"/>
  <c r="E221" i="8"/>
  <c r="D221" i="8"/>
  <c r="C221" i="8"/>
  <c r="B221" i="8"/>
  <c r="I220" i="8"/>
  <c r="H220" i="8"/>
  <c r="G220" i="8"/>
  <c r="F220" i="8"/>
  <c r="E220" i="8"/>
  <c r="D220" i="8"/>
  <c r="C220" i="8"/>
  <c r="B220" i="8"/>
  <c r="I219" i="8"/>
  <c r="H219" i="8"/>
  <c r="G219" i="8"/>
  <c r="F219" i="8"/>
  <c r="E219" i="8"/>
  <c r="D219" i="8"/>
  <c r="C219" i="8"/>
  <c r="B219" i="8"/>
  <c r="I218" i="8"/>
  <c r="H218" i="8"/>
  <c r="G218" i="8"/>
  <c r="F218" i="8"/>
  <c r="E218" i="8"/>
  <c r="D218" i="8"/>
  <c r="C218" i="8"/>
  <c r="B218" i="8"/>
  <c r="I217" i="8"/>
  <c r="H217" i="8"/>
  <c r="G217" i="8"/>
  <c r="F217" i="8"/>
  <c r="E217" i="8"/>
  <c r="D217" i="8"/>
  <c r="C217" i="8"/>
  <c r="B217" i="8"/>
  <c r="I216" i="8"/>
  <c r="H216" i="8"/>
  <c r="G216" i="8"/>
  <c r="F216" i="8"/>
  <c r="E216" i="8"/>
  <c r="D216" i="8"/>
  <c r="C216" i="8"/>
  <c r="B216" i="8"/>
  <c r="I215" i="8"/>
  <c r="H215" i="8"/>
  <c r="G215" i="8"/>
  <c r="F215" i="8"/>
  <c r="E215" i="8"/>
  <c r="D215" i="8"/>
  <c r="C215" i="8"/>
  <c r="B215" i="8"/>
  <c r="I214" i="8"/>
  <c r="H214" i="8"/>
  <c r="G214" i="8"/>
  <c r="F214" i="8"/>
  <c r="E214" i="8"/>
  <c r="D214" i="8"/>
  <c r="C214" i="8"/>
  <c r="B214" i="8"/>
  <c r="I213" i="8"/>
  <c r="H213" i="8"/>
  <c r="G213" i="8"/>
  <c r="F213" i="8"/>
  <c r="E213" i="8"/>
  <c r="D213" i="8"/>
  <c r="C213" i="8"/>
  <c r="B213" i="8"/>
  <c r="I212" i="8"/>
  <c r="H212" i="8"/>
  <c r="G212" i="8"/>
  <c r="F212" i="8"/>
  <c r="E212" i="8"/>
  <c r="D212" i="8"/>
  <c r="C212" i="8"/>
  <c r="B212" i="8"/>
  <c r="I211" i="8"/>
  <c r="H211" i="8"/>
  <c r="G211" i="8"/>
  <c r="F211" i="8"/>
  <c r="E211" i="8"/>
  <c r="D211" i="8"/>
  <c r="C211" i="8"/>
  <c r="B211" i="8"/>
  <c r="I210" i="8"/>
  <c r="H210" i="8"/>
  <c r="G210" i="8"/>
  <c r="F210" i="8"/>
  <c r="E210" i="8"/>
  <c r="D210" i="8"/>
  <c r="C210" i="8"/>
  <c r="B210" i="8"/>
  <c r="I209" i="8"/>
  <c r="H209" i="8"/>
  <c r="G209" i="8"/>
  <c r="F209" i="8"/>
  <c r="E209" i="8"/>
  <c r="D209" i="8"/>
  <c r="C209" i="8"/>
  <c r="B209" i="8"/>
  <c r="I208" i="8"/>
  <c r="H208" i="8"/>
  <c r="G208" i="8"/>
  <c r="F208" i="8"/>
  <c r="E208" i="8"/>
  <c r="D208" i="8"/>
  <c r="C208" i="8"/>
  <c r="B208" i="8"/>
  <c r="I207" i="8"/>
  <c r="H207" i="8"/>
  <c r="G207" i="8"/>
  <c r="F207" i="8"/>
  <c r="E207" i="8"/>
  <c r="D207" i="8"/>
  <c r="C207" i="8"/>
  <c r="B207" i="8"/>
  <c r="I206" i="8"/>
  <c r="H206" i="8"/>
  <c r="G206" i="8"/>
  <c r="F206" i="8"/>
  <c r="E206" i="8"/>
  <c r="D206" i="8"/>
  <c r="C206" i="8"/>
  <c r="B206" i="8"/>
  <c r="I205" i="8"/>
  <c r="H205" i="8"/>
  <c r="G205" i="8"/>
  <c r="F205" i="8"/>
  <c r="E205" i="8"/>
  <c r="D205" i="8"/>
  <c r="C205" i="8"/>
  <c r="B205" i="8"/>
  <c r="I204" i="8"/>
  <c r="H204" i="8"/>
  <c r="G204" i="8"/>
  <c r="F204" i="8"/>
  <c r="E204" i="8"/>
  <c r="D204" i="8"/>
  <c r="C204" i="8"/>
  <c r="B204" i="8"/>
  <c r="I203" i="8"/>
  <c r="H203" i="8"/>
  <c r="G203" i="8"/>
  <c r="F203" i="8"/>
  <c r="E203" i="8"/>
  <c r="D203" i="8"/>
  <c r="C203" i="8"/>
  <c r="B203" i="8"/>
  <c r="I202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I193" i="8"/>
  <c r="H193" i="8"/>
  <c r="G193" i="8"/>
  <c r="F193" i="8"/>
  <c r="E193" i="8"/>
  <c r="D193" i="8"/>
  <c r="C193" i="8"/>
  <c r="B193" i="8"/>
  <c r="I192" i="8"/>
  <c r="H192" i="8"/>
  <c r="G192" i="8"/>
  <c r="F192" i="8"/>
  <c r="E192" i="8"/>
  <c r="D192" i="8"/>
  <c r="C192" i="8"/>
  <c r="B192" i="8"/>
  <c r="I191" i="8"/>
  <c r="H191" i="8"/>
  <c r="G191" i="8"/>
  <c r="F191" i="8"/>
  <c r="E191" i="8"/>
  <c r="D191" i="8"/>
  <c r="C191" i="8"/>
  <c r="B191" i="8"/>
  <c r="I190" i="8"/>
  <c r="H190" i="8"/>
  <c r="G190" i="8"/>
  <c r="F190" i="8"/>
  <c r="E190" i="8"/>
  <c r="D190" i="8"/>
  <c r="C190" i="8"/>
  <c r="B190" i="8"/>
  <c r="I189" i="8"/>
  <c r="H189" i="8"/>
  <c r="G189" i="8"/>
  <c r="F189" i="8"/>
  <c r="E189" i="8"/>
  <c r="D189" i="8"/>
  <c r="C189" i="8"/>
  <c r="B189" i="8"/>
  <c r="I188" i="8"/>
  <c r="H188" i="8"/>
  <c r="G188" i="8"/>
  <c r="F188" i="8"/>
  <c r="E188" i="8"/>
  <c r="D188" i="8"/>
  <c r="C188" i="8"/>
  <c r="B188" i="8"/>
  <c r="I187" i="8"/>
  <c r="H187" i="8"/>
  <c r="G187" i="8"/>
  <c r="F187" i="8"/>
  <c r="E187" i="8"/>
  <c r="D187" i="8"/>
  <c r="C187" i="8"/>
  <c r="B187" i="8"/>
  <c r="I186" i="8"/>
  <c r="H186" i="8"/>
  <c r="G186" i="8"/>
  <c r="F186" i="8"/>
  <c r="E186" i="8"/>
  <c r="D186" i="8"/>
  <c r="C186" i="8"/>
  <c r="B186" i="8"/>
  <c r="I185" i="8"/>
  <c r="H185" i="8"/>
  <c r="G185" i="8"/>
  <c r="F185" i="8"/>
  <c r="E185" i="8"/>
  <c r="D185" i="8"/>
  <c r="C185" i="8"/>
  <c r="B185" i="8"/>
  <c r="I184" i="8"/>
  <c r="H184" i="8"/>
  <c r="G184" i="8"/>
  <c r="F184" i="8"/>
  <c r="E184" i="8"/>
  <c r="D184" i="8"/>
  <c r="C184" i="8"/>
  <c r="B184" i="8"/>
  <c r="I183" i="8"/>
  <c r="H183" i="8"/>
  <c r="G183" i="8"/>
  <c r="F183" i="8"/>
  <c r="E183" i="8"/>
  <c r="D183" i="8"/>
  <c r="C183" i="8"/>
  <c r="B183" i="8"/>
  <c r="I182" i="8"/>
  <c r="H182" i="8"/>
  <c r="G182" i="8"/>
  <c r="F182" i="8"/>
  <c r="E182" i="8"/>
  <c r="D182" i="8"/>
  <c r="C182" i="8"/>
  <c r="B182" i="8"/>
  <c r="I181" i="8"/>
  <c r="H181" i="8"/>
  <c r="G181" i="8"/>
  <c r="F181" i="8"/>
  <c r="E181" i="8"/>
  <c r="D181" i="8"/>
  <c r="C181" i="8"/>
  <c r="B181" i="8"/>
  <c r="I180" i="8"/>
  <c r="H180" i="8"/>
  <c r="G180" i="8"/>
  <c r="F180" i="8"/>
  <c r="E180" i="8"/>
  <c r="D180" i="8"/>
  <c r="C180" i="8"/>
  <c r="B180" i="8"/>
  <c r="I179" i="8"/>
  <c r="H179" i="8"/>
  <c r="G179" i="8"/>
  <c r="F179" i="8"/>
  <c r="E179" i="8"/>
  <c r="D179" i="8"/>
  <c r="C179" i="8"/>
  <c r="B179" i="8"/>
  <c r="I178" i="8"/>
  <c r="H178" i="8"/>
  <c r="G178" i="8"/>
  <c r="F178" i="8"/>
  <c r="E178" i="8"/>
  <c r="D178" i="8"/>
  <c r="C178" i="8"/>
  <c r="B178" i="8"/>
  <c r="I177" i="8"/>
  <c r="H177" i="8"/>
  <c r="G177" i="8"/>
  <c r="F177" i="8"/>
  <c r="E177" i="8"/>
  <c r="D177" i="8"/>
  <c r="C177" i="8"/>
  <c r="B177" i="8"/>
  <c r="I176" i="8"/>
  <c r="H176" i="8"/>
  <c r="G176" i="8"/>
  <c r="F176" i="8"/>
  <c r="E176" i="8"/>
  <c r="D176" i="8"/>
  <c r="C176" i="8"/>
  <c r="B176" i="8"/>
  <c r="I175" i="8"/>
  <c r="H175" i="8"/>
  <c r="G175" i="8"/>
  <c r="F175" i="8"/>
  <c r="E175" i="8"/>
  <c r="D175" i="8"/>
  <c r="C175" i="8"/>
  <c r="B175" i="8"/>
  <c r="I174" i="8"/>
  <c r="H174" i="8"/>
  <c r="G174" i="8"/>
  <c r="F174" i="8"/>
  <c r="E174" i="8"/>
  <c r="D174" i="8"/>
  <c r="C174" i="8"/>
  <c r="B174" i="8"/>
  <c r="I173" i="8"/>
  <c r="H173" i="8"/>
  <c r="G173" i="8"/>
  <c r="F173" i="8"/>
  <c r="E173" i="8"/>
  <c r="D173" i="8"/>
  <c r="C173" i="8"/>
  <c r="B173" i="8"/>
  <c r="I172" i="8"/>
  <c r="H172" i="8"/>
  <c r="G172" i="8"/>
  <c r="F172" i="8"/>
  <c r="E172" i="8"/>
  <c r="D172" i="8"/>
  <c r="C172" i="8"/>
  <c r="B172" i="8"/>
  <c r="I171" i="8"/>
  <c r="H171" i="8"/>
  <c r="G171" i="8"/>
  <c r="F171" i="8"/>
  <c r="E171" i="8"/>
  <c r="D171" i="8"/>
  <c r="C171" i="8"/>
  <c r="B171" i="8"/>
  <c r="I170" i="8"/>
  <c r="H170" i="8"/>
  <c r="G170" i="8"/>
  <c r="F170" i="8"/>
  <c r="E170" i="8"/>
  <c r="D170" i="8"/>
  <c r="C170" i="8"/>
  <c r="B170" i="8"/>
  <c r="I169" i="8"/>
  <c r="H169" i="8"/>
  <c r="G169" i="8"/>
  <c r="F169" i="8"/>
  <c r="E169" i="8"/>
  <c r="D169" i="8"/>
  <c r="C169" i="8"/>
  <c r="B169" i="8"/>
  <c r="I168" i="8"/>
  <c r="H168" i="8"/>
  <c r="G168" i="8"/>
  <c r="F168" i="8"/>
  <c r="E168" i="8"/>
  <c r="D168" i="8"/>
  <c r="C168" i="8"/>
  <c r="B168" i="8"/>
  <c r="I167" i="8"/>
  <c r="H167" i="8"/>
  <c r="G167" i="8"/>
  <c r="F167" i="8"/>
  <c r="E167" i="8"/>
  <c r="D167" i="8"/>
  <c r="C167" i="8"/>
  <c r="B167" i="8"/>
  <c r="I166" i="8"/>
  <c r="H166" i="8"/>
  <c r="G166" i="8"/>
  <c r="F166" i="8"/>
  <c r="E166" i="8"/>
  <c r="D166" i="8"/>
  <c r="C166" i="8"/>
  <c r="B166" i="8"/>
  <c r="I165" i="8"/>
  <c r="H165" i="8"/>
  <c r="G165" i="8"/>
  <c r="F165" i="8"/>
  <c r="E165" i="8"/>
  <c r="D165" i="8"/>
  <c r="C165" i="8"/>
  <c r="B165" i="8"/>
  <c r="I164" i="8"/>
  <c r="H164" i="8"/>
  <c r="G164" i="8"/>
  <c r="F164" i="8"/>
  <c r="E164" i="8"/>
  <c r="D164" i="8"/>
  <c r="C164" i="8"/>
  <c r="B164" i="8"/>
  <c r="I163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I153" i="8"/>
  <c r="H153" i="8"/>
  <c r="G153" i="8"/>
  <c r="F153" i="8"/>
  <c r="E153" i="8"/>
  <c r="D153" i="8"/>
  <c r="C153" i="8"/>
  <c r="B153" i="8"/>
  <c r="I152" i="8"/>
  <c r="H152" i="8"/>
  <c r="G152" i="8"/>
  <c r="F152" i="8"/>
  <c r="E152" i="8"/>
  <c r="D152" i="8"/>
  <c r="C152" i="8"/>
  <c r="B152" i="8"/>
  <c r="I151" i="8"/>
  <c r="H151" i="8"/>
  <c r="G151" i="8"/>
  <c r="F151" i="8"/>
  <c r="E151" i="8"/>
  <c r="D151" i="8"/>
  <c r="C151" i="8"/>
  <c r="B151" i="8"/>
  <c r="I150" i="8"/>
  <c r="H150" i="8"/>
  <c r="G150" i="8"/>
  <c r="F150" i="8"/>
  <c r="E150" i="8"/>
  <c r="D150" i="8"/>
  <c r="C150" i="8"/>
  <c r="B150" i="8"/>
  <c r="I149" i="8"/>
  <c r="H149" i="8"/>
  <c r="G149" i="8"/>
  <c r="F149" i="8"/>
  <c r="E149" i="8"/>
  <c r="D149" i="8"/>
  <c r="C149" i="8"/>
  <c r="B149" i="8"/>
  <c r="I148" i="8"/>
  <c r="H148" i="8"/>
  <c r="G148" i="8"/>
  <c r="F148" i="8"/>
  <c r="E148" i="8"/>
  <c r="D148" i="8"/>
  <c r="C148" i="8"/>
  <c r="B148" i="8"/>
  <c r="I147" i="8"/>
  <c r="H147" i="8"/>
  <c r="G147" i="8"/>
  <c r="F147" i="8"/>
  <c r="E147" i="8"/>
  <c r="D147" i="8"/>
  <c r="C147" i="8"/>
  <c r="B147" i="8"/>
  <c r="I146" i="8"/>
  <c r="H146" i="8"/>
  <c r="G146" i="8"/>
  <c r="F146" i="8"/>
  <c r="E146" i="8"/>
  <c r="D146" i="8"/>
  <c r="C146" i="8"/>
  <c r="B146" i="8"/>
  <c r="I145" i="8"/>
  <c r="H145" i="8"/>
  <c r="G145" i="8"/>
  <c r="F145" i="8"/>
  <c r="E145" i="8"/>
  <c r="D145" i="8"/>
  <c r="C145" i="8"/>
  <c r="B145" i="8"/>
  <c r="I144" i="8"/>
  <c r="H144" i="8"/>
  <c r="G144" i="8"/>
  <c r="F144" i="8"/>
  <c r="E144" i="8"/>
  <c r="D144" i="8"/>
  <c r="C144" i="8"/>
  <c r="B144" i="8"/>
  <c r="I143" i="8"/>
  <c r="H143" i="8"/>
  <c r="G143" i="8"/>
  <c r="F143" i="8"/>
  <c r="E143" i="8"/>
  <c r="D143" i="8"/>
  <c r="C143" i="8"/>
  <c r="B143" i="8"/>
  <c r="I142" i="8"/>
  <c r="H142" i="8"/>
  <c r="G142" i="8"/>
  <c r="F142" i="8"/>
  <c r="E142" i="8"/>
  <c r="D142" i="8"/>
  <c r="C142" i="8"/>
  <c r="B142" i="8"/>
  <c r="I141" i="8"/>
  <c r="H141" i="8"/>
  <c r="G141" i="8"/>
  <c r="F141" i="8"/>
  <c r="E141" i="8"/>
  <c r="D141" i="8"/>
  <c r="C141" i="8"/>
  <c r="B141" i="8"/>
  <c r="I140" i="8"/>
  <c r="H140" i="8"/>
  <c r="G140" i="8"/>
  <c r="F140" i="8"/>
  <c r="E140" i="8"/>
  <c r="D140" i="8"/>
  <c r="C140" i="8"/>
  <c r="B140" i="8"/>
  <c r="I139" i="8"/>
  <c r="H139" i="8"/>
  <c r="G139" i="8"/>
  <c r="F139" i="8"/>
  <c r="E139" i="8"/>
  <c r="D139" i="8"/>
  <c r="C139" i="8"/>
  <c r="B139" i="8"/>
  <c r="I138" i="8"/>
  <c r="H138" i="8"/>
  <c r="G138" i="8"/>
  <c r="F138" i="8"/>
  <c r="E138" i="8"/>
  <c r="D138" i="8"/>
  <c r="C138" i="8"/>
  <c r="B138" i="8"/>
  <c r="I137" i="8"/>
  <c r="H137" i="8"/>
  <c r="G137" i="8"/>
  <c r="F137" i="8"/>
  <c r="E137" i="8"/>
  <c r="D137" i="8"/>
  <c r="C137" i="8"/>
  <c r="B137" i="8"/>
  <c r="I136" i="8"/>
  <c r="H136" i="8"/>
  <c r="G136" i="8"/>
  <c r="F136" i="8"/>
  <c r="E136" i="8"/>
  <c r="D136" i="8"/>
  <c r="C136" i="8"/>
  <c r="B136" i="8"/>
  <c r="I135" i="8"/>
  <c r="H135" i="8"/>
  <c r="G135" i="8"/>
  <c r="F135" i="8"/>
  <c r="E135" i="8"/>
  <c r="D135" i="8"/>
  <c r="C135" i="8"/>
  <c r="B135" i="8"/>
  <c r="I134" i="8"/>
  <c r="H134" i="8"/>
  <c r="G134" i="8"/>
  <c r="F134" i="8"/>
  <c r="E134" i="8"/>
  <c r="D134" i="8"/>
  <c r="C134" i="8"/>
  <c r="B134" i="8"/>
  <c r="I133" i="8"/>
  <c r="H133" i="8"/>
  <c r="G133" i="8"/>
  <c r="F133" i="8"/>
  <c r="E133" i="8"/>
  <c r="D133" i="8"/>
  <c r="C133" i="8"/>
  <c r="B133" i="8"/>
  <c r="I132" i="8"/>
  <c r="H132" i="8"/>
  <c r="G132" i="8"/>
  <c r="F132" i="8"/>
  <c r="E132" i="8"/>
  <c r="D132" i="8"/>
  <c r="C132" i="8"/>
  <c r="B132" i="8"/>
  <c r="I131" i="8"/>
  <c r="H131" i="8"/>
  <c r="G131" i="8"/>
  <c r="F131" i="8"/>
  <c r="E131" i="8"/>
  <c r="D131" i="8"/>
  <c r="C131" i="8"/>
  <c r="B131" i="8"/>
  <c r="I130" i="8"/>
  <c r="H130" i="8"/>
  <c r="G130" i="8"/>
  <c r="F130" i="8"/>
  <c r="E130" i="8"/>
  <c r="D130" i="8"/>
  <c r="C130" i="8"/>
  <c r="B130" i="8"/>
  <c r="I129" i="8"/>
  <c r="H129" i="8"/>
  <c r="G129" i="8"/>
  <c r="F129" i="8"/>
  <c r="E129" i="8"/>
  <c r="D129" i="8"/>
  <c r="C129" i="8"/>
  <c r="B129" i="8"/>
  <c r="I128" i="8"/>
  <c r="H128" i="8"/>
  <c r="G128" i="8"/>
  <c r="F128" i="8"/>
  <c r="E128" i="8"/>
  <c r="D128" i="8"/>
  <c r="C128" i="8"/>
  <c r="B128" i="8"/>
  <c r="I127" i="8"/>
  <c r="H127" i="8"/>
  <c r="G127" i="8"/>
  <c r="F127" i="8"/>
  <c r="E127" i="8"/>
  <c r="D127" i="8"/>
  <c r="C127" i="8"/>
  <c r="B127" i="8"/>
  <c r="I126" i="8"/>
  <c r="H126" i="8"/>
  <c r="G126" i="8"/>
  <c r="F126" i="8"/>
  <c r="E126" i="8"/>
  <c r="D126" i="8"/>
  <c r="C126" i="8"/>
  <c r="B126" i="8"/>
  <c r="I125" i="8"/>
  <c r="H125" i="8"/>
  <c r="G125" i="8"/>
  <c r="F125" i="8"/>
  <c r="E125" i="8"/>
  <c r="D125" i="8"/>
  <c r="C125" i="8"/>
  <c r="B125" i="8"/>
  <c r="I124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I115" i="8"/>
  <c r="H115" i="8"/>
  <c r="G115" i="8"/>
  <c r="F115" i="8"/>
  <c r="E115" i="8"/>
  <c r="D115" i="8"/>
  <c r="C115" i="8"/>
  <c r="B115" i="8"/>
  <c r="I114" i="8"/>
  <c r="H114" i="8"/>
  <c r="G114" i="8"/>
  <c r="F114" i="8"/>
  <c r="E114" i="8"/>
  <c r="D114" i="8"/>
  <c r="C114" i="8"/>
  <c r="B114" i="8"/>
  <c r="I113" i="8"/>
  <c r="H113" i="8"/>
  <c r="G113" i="8"/>
  <c r="F113" i="8"/>
  <c r="E113" i="8"/>
  <c r="D113" i="8"/>
  <c r="C113" i="8"/>
  <c r="B113" i="8"/>
  <c r="I112" i="8"/>
  <c r="H112" i="8"/>
  <c r="G112" i="8"/>
  <c r="F112" i="8"/>
  <c r="E112" i="8"/>
  <c r="D112" i="8"/>
  <c r="C112" i="8"/>
  <c r="B112" i="8"/>
  <c r="I111" i="8"/>
  <c r="H111" i="8"/>
  <c r="G111" i="8"/>
  <c r="F111" i="8"/>
  <c r="E111" i="8"/>
  <c r="D111" i="8"/>
  <c r="C111" i="8"/>
  <c r="B111" i="8"/>
  <c r="I110" i="8"/>
  <c r="H110" i="8"/>
  <c r="G110" i="8"/>
  <c r="F110" i="8"/>
  <c r="E110" i="8"/>
  <c r="D110" i="8"/>
  <c r="C110" i="8"/>
  <c r="B110" i="8"/>
  <c r="I109" i="8"/>
  <c r="H109" i="8"/>
  <c r="G109" i="8"/>
  <c r="F109" i="8"/>
  <c r="E109" i="8"/>
  <c r="D109" i="8"/>
  <c r="C109" i="8"/>
  <c r="B109" i="8"/>
  <c r="I108" i="8"/>
  <c r="H108" i="8"/>
  <c r="G108" i="8"/>
  <c r="F108" i="8"/>
  <c r="E108" i="8"/>
  <c r="D108" i="8"/>
  <c r="C108" i="8"/>
  <c r="B108" i="8"/>
  <c r="I107" i="8"/>
  <c r="H107" i="8"/>
  <c r="G107" i="8"/>
  <c r="F107" i="8"/>
  <c r="E107" i="8"/>
  <c r="D107" i="8"/>
  <c r="C107" i="8"/>
  <c r="B107" i="8"/>
  <c r="I106" i="8"/>
  <c r="H106" i="8"/>
  <c r="G106" i="8"/>
  <c r="F106" i="8"/>
  <c r="E106" i="8"/>
  <c r="D106" i="8"/>
  <c r="C106" i="8"/>
  <c r="B106" i="8"/>
  <c r="I105" i="8"/>
  <c r="H105" i="8"/>
  <c r="G105" i="8"/>
  <c r="F105" i="8"/>
  <c r="E105" i="8"/>
  <c r="D105" i="8"/>
  <c r="C105" i="8"/>
  <c r="B105" i="8"/>
  <c r="I104" i="8"/>
  <c r="H104" i="8"/>
  <c r="G104" i="8"/>
  <c r="F104" i="8"/>
  <c r="E104" i="8"/>
  <c r="D104" i="8"/>
  <c r="C104" i="8"/>
  <c r="B104" i="8"/>
  <c r="I103" i="8"/>
  <c r="H103" i="8"/>
  <c r="G103" i="8"/>
  <c r="F103" i="8"/>
  <c r="E103" i="8"/>
  <c r="D103" i="8"/>
  <c r="C103" i="8"/>
  <c r="B103" i="8"/>
  <c r="I102" i="8"/>
  <c r="H102" i="8"/>
  <c r="G102" i="8"/>
  <c r="F102" i="8"/>
  <c r="E102" i="8"/>
  <c r="D102" i="8"/>
  <c r="C102" i="8"/>
  <c r="B102" i="8"/>
  <c r="I101" i="8"/>
  <c r="H101" i="8"/>
  <c r="G101" i="8"/>
  <c r="F101" i="8"/>
  <c r="E101" i="8"/>
  <c r="D101" i="8"/>
  <c r="C101" i="8"/>
  <c r="B101" i="8"/>
  <c r="I100" i="8"/>
  <c r="H100" i="8"/>
  <c r="G100" i="8"/>
  <c r="F100" i="8"/>
  <c r="E100" i="8"/>
  <c r="D100" i="8"/>
  <c r="C100" i="8"/>
  <c r="B100" i="8"/>
  <c r="I99" i="8"/>
  <c r="H99" i="8"/>
  <c r="G99" i="8"/>
  <c r="F99" i="8"/>
  <c r="E99" i="8"/>
  <c r="D99" i="8"/>
  <c r="C99" i="8"/>
  <c r="B99" i="8"/>
  <c r="I98" i="8"/>
  <c r="H98" i="8"/>
  <c r="G98" i="8"/>
  <c r="F98" i="8"/>
  <c r="E98" i="8"/>
  <c r="D98" i="8"/>
  <c r="C98" i="8"/>
  <c r="B98" i="8"/>
  <c r="I97" i="8"/>
  <c r="H97" i="8"/>
  <c r="G97" i="8"/>
  <c r="F97" i="8"/>
  <c r="E97" i="8"/>
  <c r="D97" i="8"/>
  <c r="C97" i="8"/>
  <c r="B97" i="8"/>
  <c r="I96" i="8"/>
  <c r="H96" i="8"/>
  <c r="G96" i="8"/>
  <c r="F96" i="8"/>
  <c r="E96" i="8"/>
  <c r="D96" i="8"/>
  <c r="C96" i="8"/>
  <c r="B96" i="8"/>
  <c r="I95" i="8"/>
  <c r="H95" i="8"/>
  <c r="G95" i="8"/>
  <c r="F95" i="8"/>
  <c r="E95" i="8"/>
  <c r="D95" i="8"/>
  <c r="C95" i="8"/>
  <c r="B95" i="8"/>
  <c r="I94" i="8"/>
  <c r="H94" i="8"/>
  <c r="G94" i="8"/>
  <c r="F94" i="8"/>
  <c r="E94" i="8"/>
  <c r="D94" i="8"/>
  <c r="C94" i="8"/>
  <c r="B94" i="8"/>
  <c r="I93" i="8"/>
  <c r="H93" i="8"/>
  <c r="G93" i="8"/>
  <c r="F93" i="8"/>
  <c r="E93" i="8"/>
  <c r="D93" i="8"/>
  <c r="C93" i="8"/>
  <c r="B93" i="8"/>
  <c r="I92" i="8"/>
  <c r="H92" i="8"/>
  <c r="G92" i="8"/>
  <c r="F92" i="8"/>
  <c r="E92" i="8"/>
  <c r="D92" i="8"/>
  <c r="C92" i="8"/>
  <c r="B92" i="8"/>
  <c r="I91" i="8"/>
  <c r="H91" i="8"/>
  <c r="G91" i="8"/>
  <c r="F91" i="8"/>
  <c r="E91" i="8"/>
  <c r="D91" i="8"/>
  <c r="C91" i="8"/>
  <c r="B91" i="8"/>
  <c r="I90" i="8"/>
  <c r="H90" i="8"/>
  <c r="G90" i="8"/>
  <c r="F90" i="8"/>
  <c r="E90" i="8"/>
  <c r="D90" i="8"/>
  <c r="C90" i="8"/>
  <c r="B90" i="8"/>
  <c r="I89" i="8"/>
  <c r="H89" i="8"/>
  <c r="G89" i="8"/>
  <c r="F89" i="8"/>
  <c r="E89" i="8"/>
  <c r="D89" i="8"/>
  <c r="C89" i="8"/>
  <c r="B89" i="8"/>
  <c r="I88" i="8"/>
  <c r="H88" i="8"/>
  <c r="G88" i="8"/>
  <c r="F88" i="8"/>
  <c r="E88" i="8"/>
  <c r="D88" i="8"/>
  <c r="C88" i="8"/>
  <c r="B88" i="8"/>
  <c r="I87" i="8"/>
  <c r="H87" i="8"/>
  <c r="G87" i="8"/>
  <c r="F87" i="8"/>
  <c r="E87" i="8"/>
  <c r="D87" i="8"/>
  <c r="C87" i="8"/>
  <c r="B87" i="8"/>
  <c r="I86" i="8"/>
  <c r="H86" i="8"/>
  <c r="G86" i="8"/>
  <c r="F86" i="8"/>
  <c r="E86" i="8"/>
  <c r="D86" i="8"/>
  <c r="C86" i="8"/>
  <c r="B86" i="8"/>
  <c r="I85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I73" i="8"/>
  <c r="H73" i="8"/>
  <c r="G73" i="8"/>
  <c r="F73" i="8"/>
  <c r="E73" i="8"/>
  <c r="D73" i="8"/>
  <c r="C73" i="8"/>
  <c r="B73" i="8"/>
  <c r="I72" i="8"/>
  <c r="H72" i="8"/>
  <c r="G72" i="8"/>
  <c r="F72" i="8"/>
  <c r="E72" i="8"/>
  <c r="D72" i="8"/>
  <c r="C72" i="8"/>
  <c r="B72" i="8"/>
  <c r="I71" i="8"/>
  <c r="H71" i="8"/>
  <c r="G71" i="8"/>
  <c r="F71" i="8"/>
  <c r="E71" i="8"/>
  <c r="D71" i="8"/>
  <c r="C71" i="8"/>
  <c r="B71" i="8"/>
  <c r="I70" i="8"/>
  <c r="H70" i="8"/>
  <c r="G70" i="8"/>
  <c r="F70" i="8"/>
  <c r="E70" i="8"/>
  <c r="D70" i="8"/>
  <c r="C70" i="8"/>
  <c r="B70" i="8"/>
  <c r="I69" i="8"/>
  <c r="H69" i="8"/>
  <c r="G69" i="8"/>
  <c r="F69" i="8"/>
  <c r="E69" i="8"/>
  <c r="D69" i="8"/>
  <c r="C69" i="8"/>
  <c r="B69" i="8"/>
  <c r="I68" i="8"/>
  <c r="H68" i="8"/>
  <c r="G68" i="8"/>
  <c r="F68" i="8"/>
  <c r="E68" i="8"/>
  <c r="D68" i="8"/>
  <c r="C68" i="8"/>
  <c r="B68" i="8"/>
  <c r="I67" i="8"/>
  <c r="H67" i="8"/>
  <c r="G67" i="8"/>
  <c r="F67" i="8"/>
  <c r="E67" i="8"/>
  <c r="D67" i="8"/>
  <c r="C67" i="8"/>
  <c r="B67" i="8"/>
  <c r="I66" i="8"/>
  <c r="H66" i="8"/>
  <c r="G66" i="8"/>
  <c r="F66" i="8"/>
  <c r="E66" i="8"/>
  <c r="D66" i="8"/>
  <c r="C66" i="8"/>
  <c r="B66" i="8"/>
  <c r="I65" i="8"/>
  <c r="H65" i="8"/>
  <c r="G65" i="8"/>
  <c r="F65" i="8"/>
  <c r="E65" i="8"/>
  <c r="D65" i="8"/>
  <c r="C65" i="8"/>
  <c r="B65" i="8"/>
  <c r="I64" i="8"/>
  <c r="H64" i="8"/>
  <c r="G64" i="8"/>
  <c r="F64" i="8"/>
  <c r="E64" i="8"/>
  <c r="D64" i="8"/>
  <c r="C64" i="8"/>
  <c r="B64" i="8"/>
  <c r="I63" i="8"/>
  <c r="H63" i="8"/>
  <c r="G63" i="8"/>
  <c r="F63" i="8"/>
  <c r="E63" i="8"/>
  <c r="D63" i="8"/>
  <c r="C63" i="8"/>
  <c r="B63" i="8"/>
  <c r="I62" i="8"/>
  <c r="H62" i="8"/>
  <c r="G62" i="8"/>
  <c r="F62" i="8"/>
  <c r="E62" i="8"/>
  <c r="D62" i="8"/>
  <c r="C62" i="8"/>
  <c r="B62" i="8"/>
  <c r="I61" i="8"/>
  <c r="H61" i="8"/>
  <c r="G61" i="8"/>
  <c r="F61" i="8"/>
  <c r="E61" i="8"/>
  <c r="D61" i="8"/>
  <c r="C61" i="8"/>
  <c r="B61" i="8"/>
  <c r="I60" i="8"/>
  <c r="H60" i="8"/>
  <c r="G60" i="8"/>
  <c r="F60" i="8"/>
  <c r="E60" i="8"/>
  <c r="D60" i="8"/>
  <c r="C60" i="8"/>
  <c r="B60" i="8"/>
  <c r="I59" i="8"/>
  <c r="H59" i="8"/>
  <c r="G59" i="8"/>
  <c r="F59" i="8"/>
  <c r="E59" i="8"/>
  <c r="D59" i="8"/>
  <c r="C59" i="8"/>
  <c r="B59" i="8"/>
  <c r="I58" i="8"/>
  <c r="H58" i="8"/>
  <c r="G58" i="8"/>
  <c r="F58" i="8"/>
  <c r="E58" i="8"/>
  <c r="D58" i="8"/>
  <c r="C58" i="8"/>
  <c r="B58" i="8"/>
  <c r="I57" i="8"/>
  <c r="H57" i="8"/>
  <c r="G57" i="8"/>
  <c r="F57" i="8"/>
  <c r="E57" i="8"/>
  <c r="D57" i="8"/>
  <c r="C57" i="8"/>
  <c r="B57" i="8"/>
  <c r="I56" i="8"/>
  <c r="H56" i="8"/>
  <c r="G56" i="8"/>
  <c r="F56" i="8"/>
  <c r="E56" i="8"/>
  <c r="D56" i="8"/>
  <c r="C56" i="8"/>
  <c r="B56" i="8"/>
  <c r="I55" i="8"/>
  <c r="H55" i="8"/>
  <c r="G55" i="8"/>
  <c r="F55" i="8"/>
  <c r="E55" i="8"/>
  <c r="D55" i="8"/>
  <c r="C55" i="8"/>
  <c r="B55" i="8"/>
  <c r="I54" i="8"/>
  <c r="H54" i="8"/>
  <c r="G54" i="8"/>
  <c r="F54" i="8"/>
  <c r="E54" i="8"/>
  <c r="D54" i="8"/>
  <c r="C54" i="8"/>
  <c r="B54" i="8"/>
  <c r="I53" i="8"/>
  <c r="H53" i="8"/>
  <c r="G53" i="8"/>
  <c r="F53" i="8"/>
  <c r="E53" i="8"/>
  <c r="D53" i="8"/>
  <c r="C53" i="8"/>
  <c r="B53" i="8"/>
  <c r="I52" i="8"/>
  <c r="H52" i="8"/>
  <c r="G52" i="8"/>
  <c r="F52" i="8"/>
  <c r="E52" i="8"/>
  <c r="D52" i="8"/>
  <c r="C52" i="8"/>
  <c r="B52" i="8"/>
  <c r="I51" i="8"/>
  <c r="H51" i="8"/>
  <c r="G51" i="8"/>
  <c r="F51" i="8"/>
  <c r="E51" i="8"/>
  <c r="D51" i="8"/>
  <c r="C51" i="8"/>
  <c r="B51" i="8"/>
  <c r="I50" i="8"/>
  <c r="H50" i="8"/>
  <c r="G50" i="8"/>
  <c r="F50" i="8"/>
  <c r="E50" i="8"/>
  <c r="D50" i="8"/>
  <c r="C50" i="8"/>
  <c r="B50" i="8"/>
  <c r="I49" i="8"/>
  <c r="H49" i="8"/>
  <c r="G49" i="8"/>
  <c r="F49" i="8"/>
  <c r="E49" i="8"/>
  <c r="D49" i="8"/>
  <c r="C49" i="8"/>
  <c r="B49" i="8"/>
  <c r="I48" i="8"/>
  <c r="H48" i="8"/>
  <c r="G48" i="8"/>
  <c r="F48" i="8"/>
  <c r="E48" i="8"/>
  <c r="D48" i="8"/>
  <c r="C48" i="8"/>
  <c r="B48" i="8"/>
  <c r="I47" i="8"/>
  <c r="H47" i="8"/>
  <c r="G47" i="8"/>
  <c r="F47" i="8"/>
  <c r="E47" i="8"/>
  <c r="D47" i="8"/>
  <c r="C47" i="8"/>
  <c r="B47" i="8"/>
  <c r="I46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I37" i="8"/>
  <c r="H37" i="8"/>
  <c r="G37" i="8"/>
  <c r="F37" i="8"/>
  <c r="E37" i="8"/>
  <c r="D37" i="8"/>
  <c r="C37" i="8"/>
  <c r="B37" i="8"/>
  <c r="I36" i="8"/>
  <c r="H36" i="8"/>
  <c r="G36" i="8"/>
  <c r="F36" i="8"/>
  <c r="E36" i="8"/>
  <c r="D36" i="8"/>
  <c r="C36" i="8"/>
  <c r="B36" i="8"/>
  <c r="I35" i="8"/>
  <c r="H35" i="8"/>
  <c r="G35" i="8"/>
  <c r="F35" i="8"/>
  <c r="E35" i="8"/>
  <c r="D35" i="8"/>
  <c r="C35" i="8"/>
  <c r="B35" i="8"/>
  <c r="I34" i="8"/>
  <c r="H34" i="8"/>
  <c r="G34" i="8"/>
  <c r="F34" i="8"/>
  <c r="E34" i="8"/>
  <c r="D34" i="8"/>
  <c r="C34" i="8"/>
  <c r="B34" i="8"/>
  <c r="I33" i="8"/>
  <c r="H33" i="8"/>
  <c r="G33" i="8"/>
  <c r="F33" i="8"/>
  <c r="E33" i="8"/>
  <c r="D33" i="8"/>
  <c r="C33" i="8"/>
  <c r="B33" i="8"/>
  <c r="I32" i="8"/>
  <c r="H32" i="8"/>
  <c r="G32" i="8"/>
  <c r="F32" i="8"/>
  <c r="E32" i="8"/>
  <c r="D32" i="8"/>
  <c r="C32" i="8"/>
  <c r="B32" i="8"/>
  <c r="I31" i="8"/>
  <c r="H31" i="8"/>
  <c r="G31" i="8"/>
  <c r="F31" i="8"/>
  <c r="E31" i="8"/>
  <c r="D31" i="8"/>
  <c r="C31" i="8"/>
  <c r="B31" i="8"/>
  <c r="I30" i="8"/>
  <c r="H30" i="8"/>
  <c r="G30" i="8"/>
  <c r="F30" i="8"/>
  <c r="E30" i="8"/>
  <c r="D30" i="8"/>
  <c r="C30" i="8"/>
  <c r="B30" i="8"/>
  <c r="I29" i="8"/>
  <c r="H29" i="8"/>
  <c r="G29" i="8"/>
  <c r="F29" i="8"/>
  <c r="E29" i="8"/>
  <c r="D29" i="8"/>
  <c r="C29" i="8"/>
  <c r="B29" i="8"/>
  <c r="I28" i="8"/>
  <c r="H28" i="8"/>
  <c r="G28" i="8"/>
  <c r="F28" i="8"/>
  <c r="E28" i="8"/>
  <c r="D28" i="8"/>
  <c r="C28" i="8"/>
  <c r="B28" i="8"/>
  <c r="I27" i="8"/>
  <c r="H27" i="8"/>
  <c r="G27" i="8"/>
  <c r="F27" i="8"/>
  <c r="E27" i="8"/>
  <c r="D27" i="8"/>
  <c r="C27" i="8"/>
  <c r="B27" i="8"/>
  <c r="I26" i="8"/>
  <c r="H26" i="8"/>
  <c r="G26" i="8"/>
  <c r="F26" i="8"/>
  <c r="E26" i="8"/>
  <c r="D26" i="8"/>
  <c r="C26" i="8"/>
  <c r="B26" i="8"/>
  <c r="I25" i="8"/>
  <c r="H25" i="8"/>
  <c r="G25" i="8"/>
  <c r="F25" i="8"/>
  <c r="E25" i="8"/>
  <c r="D25" i="8"/>
  <c r="C25" i="8"/>
  <c r="B25" i="8"/>
  <c r="I24" i="8"/>
  <c r="H24" i="8"/>
  <c r="G24" i="8"/>
  <c r="F24" i="8"/>
  <c r="E24" i="8"/>
  <c r="D24" i="8"/>
  <c r="C24" i="8"/>
  <c r="B24" i="8"/>
  <c r="I23" i="8"/>
  <c r="H23" i="8"/>
  <c r="G23" i="8"/>
  <c r="F23" i="8"/>
  <c r="E23" i="8"/>
  <c r="D23" i="8"/>
  <c r="C23" i="8"/>
  <c r="B23" i="8"/>
  <c r="I22" i="8"/>
  <c r="H22" i="8"/>
  <c r="G22" i="8"/>
  <c r="F22" i="8"/>
  <c r="E22" i="8"/>
  <c r="D22" i="8"/>
  <c r="C22" i="8"/>
  <c r="B22" i="8"/>
  <c r="I21" i="8"/>
  <c r="H21" i="8"/>
  <c r="G21" i="8"/>
  <c r="F21" i="8"/>
  <c r="E21" i="8"/>
  <c r="D21" i="8"/>
  <c r="C21" i="8"/>
  <c r="B21" i="8"/>
  <c r="I20" i="8"/>
  <c r="H20" i="8"/>
  <c r="G20" i="8"/>
  <c r="F20" i="8"/>
  <c r="E20" i="8"/>
  <c r="D20" i="8"/>
  <c r="C20" i="8"/>
  <c r="B20" i="8"/>
  <c r="I19" i="8"/>
  <c r="H19" i="8"/>
  <c r="G19" i="8"/>
  <c r="F19" i="8"/>
  <c r="E19" i="8"/>
  <c r="D19" i="8"/>
  <c r="C19" i="8"/>
  <c r="B19" i="8"/>
  <c r="I18" i="8"/>
  <c r="H18" i="8"/>
  <c r="G18" i="8"/>
  <c r="F18" i="8"/>
  <c r="E18" i="8"/>
  <c r="D18" i="8"/>
  <c r="C18" i="8"/>
  <c r="B18" i="8"/>
  <c r="I17" i="8"/>
  <c r="H17" i="8"/>
  <c r="G17" i="8"/>
  <c r="F17" i="8"/>
  <c r="E17" i="8"/>
  <c r="D17" i="8"/>
  <c r="C17" i="8"/>
  <c r="B17" i="8"/>
  <c r="I16" i="8"/>
  <c r="H16" i="8"/>
  <c r="G16" i="8"/>
  <c r="F16" i="8"/>
  <c r="E16" i="8"/>
  <c r="D16" i="8"/>
  <c r="C16" i="8"/>
  <c r="B16" i="8"/>
  <c r="I15" i="8"/>
  <c r="H15" i="8"/>
  <c r="G15" i="8"/>
  <c r="F15" i="8"/>
  <c r="E15" i="8"/>
  <c r="D15" i="8"/>
  <c r="C15" i="8"/>
  <c r="B15" i="8"/>
  <c r="I14" i="8"/>
  <c r="H14" i="8"/>
  <c r="G14" i="8"/>
  <c r="F14" i="8"/>
  <c r="E14" i="8"/>
  <c r="D14" i="8"/>
  <c r="C14" i="8"/>
  <c r="B14" i="8"/>
  <c r="I13" i="8"/>
  <c r="H13" i="8"/>
  <c r="G13" i="8"/>
  <c r="F13" i="8"/>
  <c r="E13" i="8"/>
  <c r="D13" i="8"/>
  <c r="C13" i="8"/>
  <c r="B13" i="8"/>
  <c r="I12" i="8"/>
  <c r="H12" i="8"/>
  <c r="G12" i="8"/>
  <c r="F12" i="8"/>
  <c r="E12" i="8"/>
  <c r="D12" i="8"/>
  <c r="C12" i="8"/>
  <c r="B12" i="8"/>
  <c r="I11" i="8"/>
  <c r="H11" i="8"/>
  <c r="G11" i="8"/>
  <c r="F11" i="8"/>
  <c r="E11" i="8"/>
  <c r="D11" i="8"/>
  <c r="C11" i="8"/>
  <c r="B11" i="8"/>
  <c r="I10" i="8"/>
  <c r="H10" i="8"/>
  <c r="G10" i="8"/>
  <c r="F10" i="8"/>
  <c r="E10" i="8"/>
  <c r="D10" i="8"/>
  <c r="C10" i="8"/>
  <c r="B10" i="8"/>
  <c r="I9" i="8"/>
  <c r="H9" i="8"/>
  <c r="G9" i="8"/>
  <c r="F9" i="8"/>
  <c r="E9" i="8"/>
  <c r="D9" i="8"/>
  <c r="C9" i="8"/>
  <c r="B9" i="8"/>
  <c r="I8" i="8"/>
  <c r="H8" i="8"/>
  <c r="G8" i="8"/>
  <c r="F8" i="8"/>
  <c r="E8" i="8"/>
  <c r="D8" i="8"/>
  <c r="C8" i="8"/>
  <c r="B8" i="8"/>
  <c r="I7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I466" i="7"/>
  <c r="H466" i="7"/>
  <c r="G466" i="7"/>
  <c r="F466" i="7"/>
  <c r="E466" i="7"/>
  <c r="D466" i="7"/>
  <c r="C466" i="7"/>
  <c r="B466" i="7"/>
  <c r="I465" i="7"/>
  <c r="H465" i="7"/>
  <c r="G465" i="7"/>
  <c r="F465" i="7"/>
  <c r="E465" i="7"/>
  <c r="D465" i="7"/>
  <c r="C465" i="7"/>
  <c r="B465" i="7"/>
  <c r="I464" i="7"/>
  <c r="H464" i="7"/>
  <c r="G464" i="7"/>
  <c r="F464" i="7"/>
  <c r="E464" i="7"/>
  <c r="D464" i="7"/>
  <c r="C464" i="7"/>
  <c r="B464" i="7"/>
  <c r="I463" i="7"/>
  <c r="H463" i="7"/>
  <c r="G463" i="7"/>
  <c r="F463" i="7"/>
  <c r="E463" i="7"/>
  <c r="D463" i="7"/>
  <c r="C463" i="7"/>
  <c r="B463" i="7"/>
  <c r="I462" i="7"/>
  <c r="H462" i="7"/>
  <c r="G462" i="7"/>
  <c r="F462" i="7"/>
  <c r="E462" i="7"/>
  <c r="D462" i="7"/>
  <c r="C462" i="7"/>
  <c r="B462" i="7"/>
  <c r="I461" i="7"/>
  <c r="H461" i="7"/>
  <c r="G461" i="7"/>
  <c r="F461" i="7"/>
  <c r="E461" i="7"/>
  <c r="D461" i="7"/>
  <c r="C461" i="7"/>
  <c r="B461" i="7"/>
  <c r="I460" i="7"/>
  <c r="H460" i="7"/>
  <c r="G460" i="7"/>
  <c r="F460" i="7"/>
  <c r="E460" i="7"/>
  <c r="D460" i="7"/>
  <c r="C460" i="7"/>
  <c r="B460" i="7"/>
  <c r="I459" i="7"/>
  <c r="H459" i="7"/>
  <c r="G459" i="7"/>
  <c r="F459" i="7"/>
  <c r="E459" i="7"/>
  <c r="D459" i="7"/>
  <c r="C459" i="7"/>
  <c r="B459" i="7"/>
  <c r="I458" i="7"/>
  <c r="H458" i="7"/>
  <c r="G458" i="7"/>
  <c r="F458" i="7"/>
  <c r="E458" i="7"/>
  <c r="D458" i="7"/>
  <c r="C458" i="7"/>
  <c r="B458" i="7"/>
  <c r="I457" i="7"/>
  <c r="H457" i="7"/>
  <c r="G457" i="7"/>
  <c r="F457" i="7"/>
  <c r="E457" i="7"/>
  <c r="D457" i="7"/>
  <c r="C457" i="7"/>
  <c r="B457" i="7"/>
  <c r="I456" i="7"/>
  <c r="H456" i="7"/>
  <c r="G456" i="7"/>
  <c r="F456" i="7"/>
  <c r="E456" i="7"/>
  <c r="D456" i="7"/>
  <c r="C456" i="7"/>
  <c r="B456" i="7"/>
  <c r="I455" i="7"/>
  <c r="H455" i="7"/>
  <c r="G455" i="7"/>
  <c r="F455" i="7"/>
  <c r="E455" i="7"/>
  <c r="D455" i="7"/>
  <c r="C455" i="7"/>
  <c r="B455" i="7"/>
  <c r="I454" i="7"/>
  <c r="H454" i="7"/>
  <c r="G454" i="7"/>
  <c r="F454" i="7"/>
  <c r="E454" i="7"/>
  <c r="D454" i="7"/>
  <c r="C454" i="7"/>
  <c r="B454" i="7"/>
  <c r="I453" i="7"/>
  <c r="H453" i="7"/>
  <c r="G453" i="7"/>
  <c r="F453" i="7"/>
  <c r="E453" i="7"/>
  <c r="D453" i="7"/>
  <c r="C453" i="7"/>
  <c r="B453" i="7"/>
  <c r="I452" i="7"/>
  <c r="H452" i="7"/>
  <c r="G452" i="7"/>
  <c r="F452" i="7"/>
  <c r="E452" i="7"/>
  <c r="D452" i="7"/>
  <c r="C452" i="7"/>
  <c r="B452" i="7"/>
  <c r="I451" i="7"/>
  <c r="H451" i="7"/>
  <c r="G451" i="7"/>
  <c r="F451" i="7"/>
  <c r="E451" i="7"/>
  <c r="D451" i="7"/>
  <c r="C451" i="7"/>
  <c r="B451" i="7"/>
  <c r="I450" i="7"/>
  <c r="H450" i="7"/>
  <c r="G450" i="7"/>
  <c r="F450" i="7"/>
  <c r="E450" i="7"/>
  <c r="D450" i="7"/>
  <c r="C450" i="7"/>
  <c r="B450" i="7"/>
  <c r="I449" i="7"/>
  <c r="H449" i="7"/>
  <c r="G449" i="7"/>
  <c r="F449" i="7"/>
  <c r="E449" i="7"/>
  <c r="D449" i="7"/>
  <c r="C449" i="7"/>
  <c r="B449" i="7"/>
  <c r="I448" i="7"/>
  <c r="H448" i="7"/>
  <c r="G448" i="7"/>
  <c r="F448" i="7"/>
  <c r="E448" i="7"/>
  <c r="D448" i="7"/>
  <c r="C448" i="7"/>
  <c r="B448" i="7"/>
  <c r="I447" i="7"/>
  <c r="H447" i="7"/>
  <c r="G447" i="7"/>
  <c r="F447" i="7"/>
  <c r="E447" i="7"/>
  <c r="D447" i="7"/>
  <c r="C447" i="7"/>
  <c r="B447" i="7"/>
  <c r="I446" i="7"/>
  <c r="H446" i="7"/>
  <c r="G446" i="7"/>
  <c r="F446" i="7"/>
  <c r="E446" i="7"/>
  <c r="D446" i="7"/>
  <c r="C446" i="7"/>
  <c r="B446" i="7"/>
  <c r="I445" i="7"/>
  <c r="H445" i="7"/>
  <c r="G445" i="7"/>
  <c r="F445" i="7"/>
  <c r="E445" i="7"/>
  <c r="D445" i="7"/>
  <c r="C445" i="7"/>
  <c r="B445" i="7"/>
  <c r="I444" i="7"/>
  <c r="H444" i="7"/>
  <c r="G444" i="7"/>
  <c r="F444" i="7"/>
  <c r="E444" i="7"/>
  <c r="D444" i="7"/>
  <c r="C444" i="7"/>
  <c r="B444" i="7"/>
  <c r="I443" i="7"/>
  <c r="H443" i="7"/>
  <c r="G443" i="7"/>
  <c r="F443" i="7"/>
  <c r="E443" i="7"/>
  <c r="D443" i="7"/>
  <c r="C443" i="7"/>
  <c r="B443" i="7"/>
  <c r="I442" i="7"/>
  <c r="H442" i="7"/>
  <c r="G442" i="7"/>
  <c r="F442" i="7"/>
  <c r="E442" i="7"/>
  <c r="D442" i="7"/>
  <c r="C442" i="7"/>
  <c r="B442" i="7"/>
  <c r="I441" i="7"/>
  <c r="H441" i="7"/>
  <c r="G441" i="7"/>
  <c r="F441" i="7"/>
  <c r="E441" i="7"/>
  <c r="D441" i="7"/>
  <c r="C441" i="7"/>
  <c r="B441" i="7"/>
  <c r="I440" i="7"/>
  <c r="H440" i="7"/>
  <c r="G440" i="7"/>
  <c r="F440" i="7"/>
  <c r="E440" i="7"/>
  <c r="D440" i="7"/>
  <c r="C440" i="7"/>
  <c r="B440" i="7"/>
  <c r="I439" i="7"/>
  <c r="H439" i="7"/>
  <c r="G439" i="7"/>
  <c r="F439" i="7"/>
  <c r="E439" i="7"/>
  <c r="D439" i="7"/>
  <c r="C439" i="7"/>
  <c r="B439" i="7"/>
  <c r="I438" i="7"/>
  <c r="H438" i="7"/>
  <c r="G438" i="7"/>
  <c r="F438" i="7"/>
  <c r="E438" i="7"/>
  <c r="D438" i="7"/>
  <c r="C438" i="7"/>
  <c r="B438" i="7"/>
  <c r="I437" i="7"/>
  <c r="H437" i="7"/>
  <c r="G437" i="7"/>
  <c r="F437" i="7"/>
  <c r="E437" i="7"/>
  <c r="D437" i="7"/>
  <c r="C437" i="7"/>
  <c r="B437" i="7"/>
  <c r="I436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I426" i="7"/>
  <c r="H426" i="7"/>
  <c r="G426" i="7"/>
  <c r="F426" i="7"/>
  <c r="E426" i="7"/>
  <c r="D426" i="7"/>
  <c r="C426" i="7"/>
  <c r="B426" i="7"/>
  <c r="I425" i="7"/>
  <c r="H425" i="7"/>
  <c r="G425" i="7"/>
  <c r="F425" i="7"/>
  <c r="E425" i="7"/>
  <c r="D425" i="7"/>
  <c r="C425" i="7"/>
  <c r="B425" i="7"/>
  <c r="I424" i="7"/>
  <c r="H424" i="7"/>
  <c r="G424" i="7"/>
  <c r="F424" i="7"/>
  <c r="E424" i="7"/>
  <c r="D424" i="7"/>
  <c r="C424" i="7"/>
  <c r="B424" i="7"/>
  <c r="I423" i="7"/>
  <c r="H423" i="7"/>
  <c r="G423" i="7"/>
  <c r="F423" i="7"/>
  <c r="E423" i="7"/>
  <c r="D423" i="7"/>
  <c r="C423" i="7"/>
  <c r="B423" i="7"/>
  <c r="I422" i="7"/>
  <c r="H422" i="7"/>
  <c r="G422" i="7"/>
  <c r="F422" i="7"/>
  <c r="E422" i="7"/>
  <c r="D422" i="7"/>
  <c r="C422" i="7"/>
  <c r="B422" i="7"/>
  <c r="I421" i="7"/>
  <c r="H421" i="7"/>
  <c r="G421" i="7"/>
  <c r="F421" i="7"/>
  <c r="E421" i="7"/>
  <c r="D421" i="7"/>
  <c r="C421" i="7"/>
  <c r="B421" i="7"/>
  <c r="I420" i="7"/>
  <c r="H420" i="7"/>
  <c r="G420" i="7"/>
  <c r="F420" i="7"/>
  <c r="E420" i="7"/>
  <c r="D420" i="7"/>
  <c r="C420" i="7"/>
  <c r="B420" i="7"/>
  <c r="I419" i="7"/>
  <c r="H419" i="7"/>
  <c r="G419" i="7"/>
  <c r="F419" i="7"/>
  <c r="E419" i="7"/>
  <c r="D419" i="7"/>
  <c r="C419" i="7"/>
  <c r="B419" i="7"/>
  <c r="I418" i="7"/>
  <c r="H418" i="7"/>
  <c r="G418" i="7"/>
  <c r="F418" i="7"/>
  <c r="E418" i="7"/>
  <c r="D418" i="7"/>
  <c r="C418" i="7"/>
  <c r="B418" i="7"/>
  <c r="I417" i="7"/>
  <c r="H417" i="7"/>
  <c r="G417" i="7"/>
  <c r="F417" i="7"/>
  <c r="E417" i="7"/>
  <c r="D417" i="7"/>
  <c r="C417" i="7"/>
  <c r="B417" i="7"/>
  <c r="I416" i="7"/>
  <c r="H416" i="7"/>
  <c r="G416" i="7"/>
  <c r="F416" i="7"/>
  <c r="E416" i="7"/>
  <c r="D416" i="7"/>
  <c r="C416" i="7"/>
  <c r="B416" i="7"/>
  <c r="I415" i="7"/>
  <c r="H415" i="7"/>
  <c r="G415" i="7"/>
  <c r="F415" i="7"/>
  <c r="E415" i="7"/>
  <c r="D415" i="7"/>
  <c r="C415" i="7"/>
  <c r="B415" i="7"/>
  <c r="I414" i="7"/>
  <c r="H414" i="7"/>
  <c r="G414" i="7"/>
  <c r="F414" i="7"/>
  <c r="E414" i="7"/>
  <c r="D414" i="7"/>
  <c r="C414" i="7"/>
  <c r="B414" i="7"/>
  <c r="I413" i="7"/>
  <c r="H413" i="7"/>
  <c r="G413" i="7"/>
  <c r="F413" i="7"/>
  <c r="E413" i="7"/>
  <c r="D413" i="7"/>
  <c r="C413" i="7"/>
  <c r="B413" i="7"/>
  <c r="I412" i="7"/>
  <c r="H412" i="7"/>
  <c r="G412" i="7"/>
  <c r="F412" i="7"/>
  <c r="E412" i="7"/>
  <c r="D412" i="7"/>
  <c r="C412" i="7"/>
  <c r="B412" i="7"/>
  <c r="I411" i="7"/>
  <c r="H411" i="7"/>
  <c r="G411" i="7"/>
  <c r="F411" i="7"/>
  <c r="E411" i="7"/>
  <c r="D411" i="7"/>
  <c r="C411" i="7"/>
  <c r="B411" i="7"/>
  <c r="I410" i="7"/>
  <c r="H410" i="7"/>
  <c r="G410" i="7"/>
  <c r="F410" i="7"/>
  <c r="E410" i="7"/>
  <c r="D410" i="7"/>
  <c r="C410" i="7"/>
  <c r="B410" i="7"/>
  <c r="I409" i="7"/>
  <c r="H409" i="7"/>
  <c r="G409" i="7"/>
  <c r="F409" i="7"/>
  <c r="E409" i="7"/>
  <c r="D409" i="7"/>
  <c r="C409" i="7"/>
  <c r="B409" i="7"/>
  <c r="I408" i="7"/>
  <c r="H408" i="7"/>
  <c r="G408" i="7"/>
  <c r="F408" i="7"/>
  <c r="E408" i="7"/>
  <c r="D408" i="7"/>
  <c r="C408" i="7"/>
  <c r="B408" i="7"/>
  <c r="I407" i="7"/>
  <c r="H407" i="7"/>
  <c r="G407" i="7"/>
  <c r="F407" i="7"/>
  <c r="E407" i="7"/>
  <c r="D407" i="7"/>
  <c r="C407" i="7"/>
  <c r="B407" i="7"/>
  <c r="I406" i="7"/>
  <c r="H406" i="7"/>
  <c r="G406" i="7"/>
  <c r="F406" i="7"/>
  <c r="E406" i="7"/>
  <c r="D406" i="7"/>
  <c r="C406" i="7"/>
  <c r="B406" i="7"/>
  <c r="I405" i="7"/>
  <c r="H405" i="7"/>
  <c r="G405" i="7"/>
  <c r="F405" i="7"/>
  <c r="E405" i="7"/>
  <c r="D405" i="7"/>
  <c r="C405" i="7"/>
  <c r="B405" i="7"/>
  <c r="I404" i="7"/>
  <c r="H404" i="7"/>
  <c r="G404" i="7"/>
  <c r="F404" i="7"/>
  <c r="E404" i="7"/>
  <c r="D404" i="7"/>
  <c r="C404" i="7"/>
  <c r="B404" i="7"/>
  <c r="I403" i="7"/>
  <c r="H403" i="7"/>
  <c r="G403" i="7"/>
  <c r="F403" i="7"/>
  <c r="E403" i="7"/>
  <c r="D403" i="7"/>
  <c r="C403" i="7"/>
  <c r="B403" i="7"/>
  <c r="I402" i="7"/>
  <c r="H402" i="7"/>
  <c r="G402" i="7"/>
  <c r="F402" i="7"/>
  <c r="E402" i="7"/>
  <c r="D402" i="7"/>
  <c r="C402" i="7"/>
  <c r="B402" i="7"/>
  <c r="I401" i="7"/>
  <c r="H401" i="7"/>
  <c r="G401" i="7"/>
  <c r="F401" i="7"/>
  <c r="E401" i="7"/>
  <c r="D401" i="7"/>
  <c r="C401" i="7"/>
  <c r="B401" i="7"/>
  <c r="I400" i="7"/>
  <c r="H400" i="7"/>
  <c r="G400" i="7"/>
  <c r="F400" i="7"/>
  <c r="E400" i="7"/>
  <c r="D400" i="7"/>
  <c r="C400" i="7"/>
  <c r="B400" i="7"/>
  <c r="I399" i="7"/>
  <c r="H399" i="7"/>
  <c r="G399" i="7"/>
  <c r="F399" i="7"/>
  <c r="E399" i="7"/>
  <c r="D399" i="7"/>
  <c r="C399" i="7"/>
  <c r="B399" i="7"/>
  <c r="I398" i="7"/>
  <c r="H398" i="7"/>
  <c r="G398" i="7"/>
  <c r="F398" i="7"/>
  <c r="E398" i="7"/>
  <c r="D398" i="7"/>
  <c r="C398" i="7"/>
  <c r="B398" i="7"/>
  <c r="I397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I388" i="7"/>
  <c r="H388" i="7"/>
  <c r="G388" i="7"/>
  <c r="F388" i="7"/>
  <c r="E388" i="7"/>
  <c r="D388" i="7"/>
  <c r="C388" i="7"/>
  <c r="B388" i="7"/>
  <c r="I387" i="7"/>
  <c r="H387" i="7"/>
  <c r="G387" i="7"/>
  <c r="F387" i="7"/>
  <c r="E387" i="7"/>
  <c r="D387" i="7"/>
  <c r="C387" i="7"/>
  <c r="B387" i="7"/>
  <c r="I386" i="7"/>
  <c r="H386" i="7"/>
  <c r="G386" i="7"/>
  <c r="F386" i="7"/>
  <c r="E386" i="7"/>
  <c r="D386" i="7"/>
  <c r="C386" i="7"/>
  <c r="B386" i="7"/>
  <c r="I385" i="7"/>
  <c r="H385" i="7"/>
  <c r="G385" i="7"/>
  <c r="F385" i="7"/>
  <c r="E385" i="7"/>
  <c r="D385" i="7"/>
  <c r="C385" i="7"/>
  <c r="B385" i="7"/>
  <c r="I384" i="7"/>
  <c r="H384" i="7"/>
  <c r="G384" i="7"/>
  <c r="F384" i="7"/>
  <c r="E384" i="7"/>
  <c r="D384" i="7"/>
  <c r="C384" i="7"/>
  <c r="B384" i="7"/>
  <c r="I383" i="7"/>
  <c r="H383" i="7"/>
  <c r="G383" i="7"/>
  <c r="F383" i="7"/>
  <c r="E383" i="7"/>
  <c r="D383" i="7"/>
  <c r="C383" i="7"/>
  <c r="B383" i="7"/>
  <c r="I382" i="7"/>
  <c r="H382" i="7"/>
  <c r="G382" i="7"/>
  <c r="F382" i="7"/>
  <c r="E382" i="7"/>
  <c r="D382" i="7"/>
  <c r="C382" i="7"/>
  <c r="B382" i="7"/>
  <c r="I381" i="7"/>
  <c r="H381" i="7"/>
  <c r="G381" i="7"/>
  <c r="F381" i="7"/>
  <c r="E381" i="7"/>
  <c r="D381" i="7"/>
  <c r="C381" i="7"/>
  <c r="B381" i="7"/>
  <c r="I380" i="7"/>
  <c r="H380" i="7"/>
  <c r="G380" i="7"/>
  <c r="F380" i="7"/>
  <c r="E380" i="7"/>
  <c r="D380" i="7"/>
  <c r="C380" i="7"/>
  <c r="B380" i="7"/>
  <c r="I379" i="7"/>
  <c r="H379" i="7"/>
  <c r="G379" i="7"/>
  <c r="F379" i="7"/>
  <c r="E379" i="7"/>
  <c r="D379" i="7"/>
  <c r="C379" i="7"/>
  <c r="B379" i="7"/>
  <c r="I378" i="7"/>
  <c r="H378" i="7"/>
  <c r="G378" i="7"/>
  <c r="F378" i="7"/>
  <c r="E378" i="7"/>
  <c r="D378" i="7"/>
  <c r="C378" i="7"/>
  <c r="B378" i="7"/>
  <c r="I377" i="7"/>
  <c r="H377" i="7"/>
  <c r="G377" i="7"/>
  <c r="F377" i="7"/>
  <c r="E377" i="7"/>
  <c r="D377" i="7"/>
  <c r="C377" i="7"/>
  <c r="B377" i="7"/>
  <c r="I376" i="7"/>
  <c r="H376" i="7"/>
  <c r="G376" i="7"/>
  <c r="F376" i="7"/>
  <c r="E376" i="7"/>
  <c r="D376" i="7"/>
  <c r="C376" i="7"/>
  <c r="B376" i="7"/>
  <c r="I375" i="7"/>
  <c r="H375" i="7"/>
  <c r="G375" i="7"/>
  <c r="F375" i="7"/>
  <c r="E375" i="7"/>
  <c r="D375" i="7"/>
  <c r="C375" i="7"/>
  <c r="B375" i="7"/>
  <c r="I374" i="7"/>
  <c r="H374" i="7"/>
  <c r="G374" i="7"/>
  <c r="F374" i="7"/>
  <c r="E374" i="7"/>
  <c r="D374" i="7"/>
  <c r="C374" i="7"/>
  <c r="B374" i="7"/>
  <c r="I373" i="7"/>
  <c r="H373" i="7"/>
  <c r="G373" i="7"/>
  <c r="F373" i="7"/>
  <c r="E373" i="7"/>
  <c r="D373" i="7"/>
  <c r="C373" i="7"/>
  <c r="B373" i="7"/>
  <c r="I372" i="7"/>
  <c r="H372" i="7"/>
  <c r="G372" i="7"/>
  <c r="F372" i="7"/>
  <c r="E372" i="7"/>
  <c r="D372" i="7"/>
  <c r="C372" i="7"/>
  <c r="B372" i="7"/>
  <c r="I371" i="7"/>
  <c r="H371" i="7"/>
  <c r="G371" i="7"/>
  <c r="F371" i="7"/>
  <c r="E371" i="7"/>
  <c r="D371" i="7"/>
  <c r="C371" i="7"/>
  <c r="B371" i="7"/>
  <c r="I370" i="7"/>
  <c r="H370" i="7"/>
  <c r="G370" i="7"/>
  <c r="F370" i="7"/>
  <c r="E370" i="7"/>
  <c r="D370" i="7"/>
  <c r="C370" i="7"/>
  <c r="B370" i="7"/>
  <c r="I369" i="7"/>
  <c r="H369" i="7"/>
  <c r="G369" i="7"/>
  <c r="F369" i="7"/>
  <c r="E369" i="7"/>
  <c r="D369" i="7"/>
  <c r="C369" i="7"/>
  <c r="B369" i="7"/>
  <c r="I368" i="7"/>
  <c r="H368" i="7"/>
  <c r="G368" i="7"/>
  <c r="F368" i="7"/>
  <c r="E368" i="7"/>
  <c r="D368" i="7"/>
  <c r="C368" i="7"/>
  <c r="B368" i="7"/>
  <c r="I367" i="7"/>
  <c r="H367" i="7"/>
  <c r="G367" i="7"/>
  <c r="F367" i="7"/>
  <c r="E367" i="7"/>
  <c r="D367" i="7"/>
  <c r="C367" i="7"/>
  <c r="B367" i="7"/>
  <c r="I366" i="7"/>
  <c r="H366" i="7"/>
  <c r="G366" i="7"/>
  <c r="F366" i="7"/>
  <c r="E366" i="7"/>
  <c r="D366" i="7"/>
  <c r="C366" i="7"/>
  <c r="B366" i="7"/>
  <c r="I365" i="7"/>
  <c r="H365" i="7"/>
  <c r="G365" i="7"/>
  <c r="F365" i="7"/>
  <c r="E365" i="7"/>
  <c r="D365" i="7"/>
  <c r="C365" i="7"/>
  <c r="B365" i="7"/>
  <c r="I364" i="7"/>
  <c r="H364" i="7"/>
  <c r="G364" i="7"/>
  <c r="F364" i="7"/>
  <c r="E364" i="7"/>
  <c r="D364" i="7"/>
  <c r="C364" i="7"/>
  <c r="B364" i="7"/>
  <c r="I363" i="7"/>
  <c r="H363" i="7"/>
  <c r="G363" i="7"/>
  <c r="F363" i="7"/>
  <c r="E363" i="7"/>
  <c r="D363" i="7"/>
  <c r="C363" i="7"/>
  <c r="B363" i="7"/>
  <c r="I362" i="7"/>
  <c r="H362" i="7"/>
  <c r="G362" i="7"/>
  <c r="F362" i="7"/>
  <c r="E362" i="7"/>
  <c r="D362" i="7"/>
  <c r="C362" i="7"/>
  <c r="B362" i="7"/>
  <c r="I361" i="7"/>
  <c r="H361" i="7"/>
  <c r="G361" i="7"/>
  <c r="F361" i="7"/>
  <c r="E361" i="7"/>
  <c r="D361" i="7"/>
  <c r="C361" i="7"/>
  <c r="B361" i="7"/>
  <c r="I360" i="7"/>
  <c r="H360" i="7"/>
  <c r="G360" i="7"/>
  <c r="F360" i="7"/>
  <c r="E360" i="7"/>
  <c r="D360" i="7"/>
  <c r="C360" i="7"/>
  <c r="B360" i="7"/>
  <c r="I359" i="7"/>
  <c r="H359" i="7"/>
  <c r="G359" i="7"/>
  <c r="F359" i="7"/>
  <c r="E359" i="7"/>
  <c r="D359" i="7"/>
  <c r="C359" i="7"/>
  <c r="B359" i="7"/>
  <c r="I358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I348" i="7"/>
  <c r="H348" i="7"/>
  <c r="G348" i="7"/>
  <c r="F348" i="7"/>
  <c r="E348" i="7"/>
  <c r="D348" i="7"/>
  <c r="C348" i="7"/>
  <c r="B348" i="7"/>
  <c r="I347" i="7"/>
  <c r="H347" i="7"/>
  <c r="G347" i="7"/>
  <c r="F347" i="7"/>
  <c r="E347" i="7"/>
  <c r="D347" i="7"/>
  <c r="C347" i="7"/>
  <c r="B347" i="7"/>
  <c r="I346" i="7"/>
  <c r="H346" i="7"/>
  <c r="G346" i="7"/>
  <c r="F346" i="7"/>
  <c r="E346" i="7"/>
  <c r="D346" i="7"/>
  <c r="C346" i="7"/>
  <c r="B346" i="7"/>
  <c r="I345" i="7"/>
  <c r="H345" i="7"/>
  <c r="G345" i="7"/>
  <c r="F345" i="7"/>
  <c r="E345" i="7"/>
  <c r="D345" i="7"/>
  <c r="C345" i="7"/>
  <c r="B345" i="7"/>
  <c r="I344" i="7"/>
  <c r="H344" i="7"/>
  <c r="G344" i="7"/>
  <c r="F344" i="7"/>
  <c r="E344" i="7"/>
  <c r="D344" i="7"/>
  <c r="C344" i="7"/>
  <c r="B344" i="7"/>
  <c r="I343" i="7"/>
  <c r="H343" i="7"/>
  <c r="G343" i="7"/>
  <c r="F343" i="7"/>
  <c r="E343" i="7"/>
  <c r="D343" i="7"/>
  <c r="C343" i="7"/>
  <c r="B343" i="7"/>
  <c r="I342" i="7"/>
  <c r="H342" i="7"/>
  <c r="G342" i="7"/>
  <c r="F342" i="7"/>
  <c r="E342" i="7"/>
  <c r="D342" i="7"/>
  <c r="C342" i="7"/>
  <c r="B342" i="7"/>
  <c r="I341" i="7"/>
  <c r="H341" i="7"/>
  <c r="G341" i="7"/>
  <c r="F341" i="7"/>
  <c r="E341" i="7"/>
  <c r="D341" i="7"/>
  <c r="C341" i="7"/>
  <c r="B341" i="7"/>
  <c r="I340" i="7"/>
  <c r="H340" i="7"/>
  <c r="G340" i="7"/>
  <c r="F340" i="7"/>
  <c r="E340" i="7"/>
  <c r="D340" i="7"/>
  <c r="C340" i="7"/>
  <c r="B340" i="7"/>
  <c r="I339" i="7"/>
  <c r="H339" i="7"/>
  <c r="G339" i="7"/>
  <c r="F339" i="7"/>
  <c r="E339" i="7"/>
  <c r="D339" i="7"/>
  <c r="C339" i="7"/>
  <c r="B339" i="7"/>
  <c r="I338" i="7"/>
  <c r="H338" i="7"/>
  <c r="G338" i="7"/>
  <c r="F338" i="7"/>
  <c r="E338" i="7"/>
  <c r="D338" i="7"/>
  <c r="C338" i="7"/>
  <c r="B338" i="7"/>
  <c r="I337" i="7"/>
  <c r="H337" i="7"/>
  <c r="G337" i="7"/>
  <c r="F337" i="7"/>
  <c r="E337" i="7"/>
  <c r="D337" i="7"/>
  <c r="C337" i="7"/>
  <c r="B337" i="7"/>
  <c r="I336" i="7"/>
  <c r="H336" i="7"/>
  <c r="G336" i="7"/>
  <c r="F336" i="7"/>
  <c r="E336" i="7"/>
  <c r="D336" i="7"/>
  <c r="C336" i="7"/>
  <c r="B336" i="7"/>
  <c r="I335" i="7"/>
  <c r="H335" i="7"/>
  <c r="G335" i="7"/>
  <c r="F335" i="7"/>
  <c r="E335" i="7"/>
  <c r="D335" i="7"/>
  <c r="C335" i="7"/>
  <c r="B335" i="7"/>
  <c r="I334" i="7"/>
  <c r="H334" i="7"/>
  <c r="G334" i="7"/>
  <c r="F334" i="7"/>
  <c r="E334" i="7"/>
  <c r="D334" i="7"/>
  <c r="C334" i="7"/>
  <c r="B334" i="7"/>
  <c r="I333" i="7"/>
  <c r="H333" i="7"/>
  <c r="G333" i="7"/>
  <c r="F333" i="7"/>
  <c r="E333" i="7"/>
  <c r="D333" i="7"/>
  <c r="C333" i="7"/>
  <c r="B333" i="7"/>
  <c r="I332" i="7"/>
  <c r="H332" i="7"/>
  <c r="G332" i="7"/>
  <c r="F332" i="7"/>
  <c r="E332" i="7"/>
  <c r="D332" i="7"/>
  <c r="C332" i="7"/>
  <c r="B332" i="7"/>
  <c r="I331" i="7"/>
  <c r="H331" i="7"/>
  <c r="G331" i="7"/>
  <c r="F331" i="7"/>
  <c r="E331" i="7"/>
  <c r="D331" i="7"/>
  <c r="C331" i="7"/>
  <c r="B331" i="7"/>
  <c r="I330" i="7"/>
  <c r="H330" i="7"/>
  <c r="G330" i="7"/>
  <c r="F330" i="7"/>
  <c r="E330" i="7"/>
  <c r="D330" i="7"/>
  <c r="C330" i="7"/>
  <c r="B330" i="7"/>
  <c r="I329" i="7"/>
  <c r="H329" i="7"/>
  <c r="G329" i="7"/>
  <c r="F329" i="7"/>
  <c r="E329" i="7"/>
  <c r="D329" i="7"/>
  <c r="C329" i="7"/>
  <c r="B329" i="7"/>
  <c r="I328" i="7"/>
  <c r="H328" i="7"/>
  <c r="G328" i="7"/>
  <c r="F328" i="7"/>
  <c r="E328" i="7"/>
  <c r="D328" i="7"/>
  <c r="C328" i="7"/>
  <c r="B328" i="7"/>
  <c r="I327" i="7"/>
  <c r="H327" i="7"/>
  <c r="G327" i="7"/>
  <c r="F327" i="7"/>
  <c r="E327" i="7"/>
  <c r="D327" i="7"/>
  <c r="C327" i="7"/>
  <c r="B327" i="7"/>
  <c r="I326" i="7"/>
  <c r="H326" i="7"/>
  <c r="G326" i="7"/>
  <c r="F326" i="7"/>
  <c r="E326" i="7"/>
  <c r="D326" i="7"/>
  <c r="C326" i="7"/>
  <c r="B326" i="7"/>
  <c r="I325" i="7"/>
  <c r="H325" i="7"/>
  <c r="G325" i="7"/>
  <c r="F325" i="7"/>
  <c r="E325" i="7"/>
  <c r="D325" i="7"/>
  <c r="C325" i="7"/>
  <c r="B325" i="7"/>
  <c r="I324" i="7"/>
  <c r="H324" i="7"/>
  <c r="G324" i="7"/>
  <c r="F324" i="7"/>
  <c r="E324" i="7"/>
  <c r="D324" i="7"/>
  <c r="C324" i="7"/>
  <c r="B324" i="7"/>
  <c r="I323" i="7"/>
  <c r="H323" i="7"/>
  <c r="G323" i="7"/>
  <c r="F323" i="7"/>
  <c r="E323" i="7"/>
  <c r="D323" i="7"/>
  <c r="C323" i="7"/>
  <c r="B323" i="7"/>
  <c r="I322" i="7"/>
  <c r="H322" i="7"/>
  <c r="G322" i="7"/>
  <c r="F322" i="7"/>
  <c r="E322" i="7"/>
  <c r="D322" i="7"/>
  <c r="C322" i="7"/>
  <c r="B322" i="7"/>
  <c r="I321" i="7"/>
  <c r="H321" i="7"/>
  <c r="G321" i="7"/>
  <c r="F321" i="7"/>
  <c r="E321" i="7"/>
  <c r="D321" i="7"/>
  <c r="C321" i="7"/>
  <c r="B321" i="7"/>
  <c r="I320" i="7"/>
  <c r="H320" i="7"/>
  <c r="G320" i="7"/>
  <c r="F320" i="7"/>
  <c r="E320" i="7"/>
  <c r="D320" i="7"/>
  <c r="C320" i="7"/>
  <c r="B320" i="7"/>
  <c r="I319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I310" i="7"/>
  <c r="H310" i="7"/>
  <c r="G310" i="7"/>
  <c r="F310" i="7"/>
  <c r="E310" i="7"/>
  <c r="D310" i="7"/>
  <c r="C310" i="7"/>
  <c r="B310" i="7"/>
  <c r="I309" i="7"/>
  <c r="H309" i="7"/>
  <c r="G309" i="7"/>
  <c r="F309" i="7"/>
  <c r="E309" i="7"/>
  <c r="D309" i="7"/>
  <c r="C309" i="7"/>
  <c r="B309" i="7"/>
  <c r="I308" i="7"/>
  <c r="H308" i="7"/>
  <c r="G308" i="7"/>
  <c r="F308" i="7"/>
  <c r="E308" i="7"/>
  <c r="D308" i="7"/>
  <c r="C308" i="7"/>
  <c r="B308" i="7"/>
  <c r="I307" i="7"/>
  <c r="H307" i="7"/>
  <c r="G307" i="7"/>
  <c r="F307" i="7"/>
  <c r="E307" i="7"/>
  <c r="D307" i="7"/>
  <c r="C307" i="7"/>
  <c r="B307" i="7"/>
  <c r="I306" i="7"/>
  <c r="H306" i="7"/>
  <c r="G306" i="7"/>
  <c r="F306" i="7"/>
  <c r="E306" i="7"/>
  <c r="D306" i="7"/>
  <c r="C306" i="7"/>
  <c r="B306" i="7"/>
  <c r="I305" i="7"/>
  <c r="H305" i="7"/>
  <c r="G305" i="7"/>
  <c r="F305" i="7"/>
  <c r="E305" i="7"/>
  <c r="D305" i="7"/>
  <c r="C305" i="7"/>
  <c r="B305" i="7"/>
  <c r="I304" i="7"/>
  <c r="H304" i="7"/>
  <c r="G304" i="7"/>
  <c r="F304" i="7"/>
  <c r="E304" i="7"/>
  <c r="D304" i="7"/>
  <c r="C304" i="7"/>
  <c r="B304" i="7"/>
  <c r="I303" i="7"/>
  <c r="H303" i="7"/>
  <c r="G303" i="7"/>
  <c r="F303" i="7"/>
  <c r="E303" i="7"/>
  <c r="D303" i="7"/>
  <c r="C303" i="7"/>
  <c r="B303" i="7"/>
  <c r="I302" i="7"/>
  <c r="H302" i="7"/>
  <c r="G302" i="7"/>
  <c r="F302" i="7"/>
  <c r="E302" i="7"/>
  <c r="D302" i="7"/>
  <c r="C302" i="7"/>
  <c r="B302" i="7"/>
  <c r="I301" i="7"/>
  <c r="H301" i="7"/>
  <c r="G301" i="7"/>
  <c r="F301" i="7"/>
  <c r="E301" i="7"/>
  <c r="D301" i="7"/>
  <c r="C301" i="7"/>
  <c r="B301" i="7"/>
  <c r="I300" i="7"/>
  <c r="H300" i="7"/>
  <c r="G300" i="7"/>
  <c r="F300" i="7"/>
  <c r="E300" i="7"/>
  <c r="D300" i="7"/>
  <c r="C300" i="7"/>
  <c r="B300" i="7"/>
  <c r="I299" i="7"/>
  <c r="H299" i="7"/>
  <c r="G299" i="7"/>
  <c r="F299" i="7"/>
  <c r="E299" i="7"/>
  <c r="D299" i="7"/>
  <c r="C299" i="7"/>
  <c r="B299" i="7"/>
  <c r="I298" i="7"/>
  <c r="H298" i="7"/>
  <c r="G298" i="7"/>
  <c r="F298" i="7"/>
  <c r="E298" i="7"/>
  <c r="D298" i="7"/>
  <c r="C298" i="7"/>
  <c r="B298" i="7"/>
  <c r="I297" i="7"/>
  <c r="H297" i="7"/>
  <c r="G297" i="7"/>
  <c r="F297" i="7"/>
  <c r="E297" i="7"/>
  <c r="D297" i="7"/>
  <c r="C297" i="7"/>
  <c r="B297" i="7"/>
  <c r="I296" i="7"/>
  <c r="H296" i="7"/>
  <c r="G296" i="7"/>
  <c r="F296" i="7"/>
  <c r="E296" i="7"/>
  <c r="D296" i="7"/>
  <c r="C296" i="7"/>
  <c r="B296" i="7"/>
  <c r="I295" i="7"/>
  <c r="H295" i="7"/>
  <c r="G295" i="7"/>
  <c r="F295" i="7"/>
  <c r="E295" i="7"/>
  <c r="D295" i="7"/>
  <c r="C295" i="7"/>
  <c r="B295" i="7"/>
  <c r="I294" i="7"/>
  <c r="H294" i="7"/>
  <c r="G294" i="7"/>
  <c r="F294" i="7"/>
  <c r="E294" i="7"/>
  <c r="D294" i="7"/>
  <c r="C294" i="7"/>
  <c r="B294" i="7"/>
  <c r="I293" i="7"/>
  <c r="H293" i="7"/>
  <c r="G293" i="7"/>
  <c r="F293" i="7"/>
  <c r="E293" i="7"/>
  <c r="D293" i="7"/>
  <c r="C293" i="7"/>
  <c r="B293" i="7"/>
  <c r="I292" i="7"/>
  <c r="H292" i="7"/>
  <c r="G292" i="7"/>
  <c r="F292" i="7"/>
  <c r="E292" i="7"/>
  <c r="D292" i="7"/>
  <c r="C292" i="7"/>
  <c r="B292" i="7"/>
  <c r="I291" i="7"/>
  <c r="H291" i="7"/>
  <c r="G291" i="7"/>
  <c r="F291" i="7"/>
  <c r="E291" i="7"/>
  <c r="D291" i="7"/>
  <c r="C291" i="7"/>
  <c r="B291" i="7"/>
  <c r="I290" i="7"/>
  <c r="H290" i="7"/>
  <c r="G290" i="7"/>
  <c r="F290" i="7"/>
  <c r="E290" i="7"/>
  <c r="D290" i="7"/>
  <c r="C290" i="7"/>
  <c r="B290" i="7"/>
  <c r="I289" i="7"/>
  <c r="H289" i="7"/>
  <c r="G289" i="7"/>
  <c r="F289" i="7"/>
  <c r="E289" i="7"/>
  <c r="D289" i="7"/>
  <c r="C289" i="7"/>
  <c r="B289" i="7"/>
  <c r="I288" i="7"/>
  <c r="H288" i="7"/>
  <c r="G288" i="7"/>
  <c r="F288" i="7"/>
  <c r="E288" i="7"/>
  <c r="D288" i="7"/>
  <c r="C288" i="7"/>
  <c r="B288" i="7"/>
  <c r="I287" i="7"/>
  <c r="H287" i="7"/>
  <c r="G287" i="7"/>
  <c r="F287" i="7"/>
  <c r="E287" i="7"/>
  <c r="D287" i="7"/>
  <c r="C287" i="7"/>
  <c r="B287" i="7"/>
  <c r="I286" i="7"/>
  <c r="H286" i="7"/>
  <c r="G286" i="7"/>
  <c r="F286" i="7"/>
  <c r="E286" i="7"/>
  <c r="D286" i="7"/>
  <c r="C286" i="7"/>
  <c r="B286" i="7"/>
  <c r="I285" i="7"/>
  <c r="H285" i="7"/>
  <c r="G285" i="7"/>
  <c r="F285" i="7"/>
  <c r="E285" i="7"/>
  <c r="D285" i="7"/>
  <c r="C285" i="7"/>
  <c r="B285" i="7"/>
  <c r="I284" i="7"/>
  <c r="H284" i="7"/>
  <c r="G284" i="7"/>
  <c r="F284" i="7"/>
  <c r="E284" i="7"/>
  <c r="D284" i="7"/>
  <c r="C284" i="7"/>
  <c r="B284" i="7"/>
  <c r="I283" i="7"/>
  <c r="H283" i="7"/>
  <c r="G283" i="7"/>
  <c r="F283" i="7"/>
  <c r="E283" i="7"/>
  <c r="D283" i="7"/>
  <c r="C283" i="7"/>
  <c r="B283" i="7"/>
  <c r="I282" i="7"/>
  <c r="H282" i="7"/>
  <c r="G282" i="7"/>
  <c r="F282" i="7"/>
  <c r="E282" i="7"/>
  <c r="D282" i="7"/>
  <c r="C282" i="7"/>
  <c r="B282" i="7"/>
  <c r="I281" i="7"/>
  <c r="H281" i="7"/>
  <c r="G281" i="7"/>
  <c r="F281" i="7"/>
  <c r="E281" i="7"/>
  <c r="D281" i="7"/>
  <c r="C281" i="7"/>
  <c r="B281" i="7"/>
  <c r="I280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I271" i="7"/>
  <c r="H271" i="7"/>
  <c r="G271" i="7"/>
  <c r="F271" i="7"/>
  <c r="E271" i="7"/>
  <c r="D271" i="7"/>
  <c r="C271" i="7"/>
  <c r="B271" i="7"/>
  <c r="I270" i="7"/>
  <c r="H270" i="7"/>
  <c r="G270" i="7"/>
  <c r="F270" i="7"/>
  <c r="E270" i="7"/>
  <c r="D270" i="7"/>
  <c r="C270" i="7"/>
  <c r="B270" i="7"/>
  <c r="I269" i="7"/>
  <c r="H269" i="7"/>
  <c r="G269" i="7"/>
  <c r="F269" i="7"/>
  <c r="E269" i="7"/>
  <c r="D269" i="7"/>
  <c r="C269" i="7"/>
  <c r="B269" i="7"/>
  <c r="I268" i="7"/>
  <c r="H268" i="7"/>
  <c r="G268" i="7"/>
  <c r="F268" i="7"/>
  <c r="E268" i="7"/>
  <c r="D268" i="7"/>
  <c r="C268" i="7"/>
  <c r="B268" i="7"/>
  <c r="I267" i="7"/>
  <c r="H267" i="7"/>
  <c r="G267" i="7"/>
  <c r="F267" i="7"/>
  <c r="E267" i="7"/>
  <c r="D267" i="7"/>
  <c r="C267" i="7"/>
  <c r="B267" i="7"/>
  <c r="I266" i="7"/>
  <c r="H266" i="7"/>
  <c r="G266" i="7"/>
  <c r="F266" i="7"/>
  <c r="E266" i="7"/>
  <c r="D266" i="7"/>
  <c r="C266" i="7"/>
  <c r="B266" i="7"/>
  <c r="I265" i="7"/>
  <c r="H265" i="7"/>
  <c r="G265" i="7"/>
  <c r="F265" i="7"/>
  <c r="E265" i="7"/>
  <c r="D265" i="7"/>
  <c r="C265" i="7"/>
  <c r="B265" i="7"/>
  <c r="I264" i="7"/>
  <c r="H264" i="7"/>
  <c r="G264" i="7"/>
  <c r="F264" i="7"/>
  <c r="E264" i="7"/>
  <c r="D264" i="7"/>
  <c r="C264" i="7"/>
  <c r="B264" i="7"/>
  <c r="I263" i="7"/>
  <c r="H263" i="7"/>
  <c r="G263" i="7"/>
  <c r="F263" i="7"/>
  <c r="E263" i="7"/>
  <c r="D263" i="7"/>
  <c r="C263" i="7"/>
  <c r="B263" i="7"/>
  <c r="I262" i="7"/>
  <c r="H262" i="7"/>
  <c r="G262" i="7"/>
  <c r="F262" i="7"/>
  <c r="E262" i="7"/>
  <c r="D262" i="7"/>
  <c r="C262" i="7"/>
  <c r="B262" i="7"/>
  <c r="I261" i="7"/>
  <c r="H261" i="7"/>
  <c r="G261" i="7"/>
  <c r="F261" i="7"/>
  <c r="E261" i="7"/>
  <c r="D261" i="7"/>
  <c r="C261" i="7"/>
  <c r="B261" i="7"/>
  <c r="I260" i="7"/>
  <c r="H260" i="7"/>
  <c r="G260" i="7"/>
  <c r="F260" i="7"/>
  <c r="E260" i="7"/>
  <c r="D260" i="7"/>
  <c r="C260" i="7"/>
  <c r="B260" i="7"/>
  <c r="I259" i="7"/>
  <c r="H259" i="7"/>
  <c r="G259" i="7"/>
  <c r="F259" i="7"/>
  <c r="E259" i="7"/>
  <c r="D259" i="7"/>
  <c r="C259" i="7"/>
  <c r="B259" i="7"/>
  <c r="I258" i="7"/>
  <c r="H258" i="7"/>
  <c r="G258" i="7"/>
  <c r="F258" i="7"/>
  <c r="E258" i="7"/>
  <c r="D258" i="7"/>
  <c r="C258" i="7"/>
  <c r="B258" i="7"/>
  <c r="I257" i="7"/>
  <c r="H257" i="7"/>
  <c r="G257" i="7"/>
  <c r="F257" i="7"/>
  <c r="E257" i="7"/>
  <c r="D257" i="7"/>
  <c r="C257" i="7"/>
  <c r="B257" i="7"/>
  <c r="I256" i="7"/>
  <c r="H256" i="7"/>
  <c r="G256" i="7"/>
  <c r="F256" i="7"/>
  <c r="E256" i="7"/>
  <c r="D256" i="7"/>
  <c r="C256" i="7"/>
  <c r="B256" i="7"/>
  <c r="I255" i="7"/>
  <c r="H255" i="7"/>
  <c r="G255" i="7"/>
  <c r="F255" i="7"/>
  <c r="E255" i="7"/>
  <c r="D255" i="7"/>
  <c r="C255" i="7"/>
  <c r="B255" i="7"/>
  <c r="I254" i="7"/>
  <c r="H254" i="7"/>
  <c r="G254" i="7"/>
  <c r="F254" i="7"/>
  <c r="E254" i="7"/>
  <c r="D254" i="7"/>
  <c r="C254" i="7"/>
  <c r="B254" i="7"/>
  <c r="I253" i="7"/>
  <c r="H253" i="7"/>
  <c r="G253" i="7"/>
  <c r="F253" i="7"/>
  <c r="E253" i="7"/>
  <c r="D253" i="7"/>
  <c r="C253" i="7"/>
  <c r="B253" i="7"/>
  <c r="I252" i="7"/>
  <c r="H252" i="7"/>
  <c r="G252" i="7"/>
  <c r="F252" i="7"/>
  <c r="E252" i="7"/>
  <c r="D252" i="7"/>
  <c r="C252" i="7"/>
  <c r="B252" i="7"/>
  <c r="I251" i="7"/>
  <c r="H251" i="7"/>
  <c r="G251" i="7"/>
  <c r="F251" i="7"/>
  <c r="E251" i="7"/>
  <c r="D251" i="7"/>
  <c r="C251" i="7"/>
  <c r="B251" i="7"/>
  <c r="I250" i="7"/>
  <c r="H250" i="7"/>
  <c r="G250" i="7"/>
  <c r="F250" i="7"/>
  <c r="E250" i="7"/>
  <c r="D250" i="7"/>
  <c r="C250" i="7"/>
  <c r="B250" i="7"/>
  <c r="I249" i="7"/>
  <c r="H249" i="7"/>
  <c r="G249" i="7"/>
  <c r="F249" i="7"/>
  <c r="E249" i="7"/>
  <c r="D249" i="7"/>
  <c r="C249" i="7"/>
  <c r="B249" i="7"/>
  <c r="I248" i="7"/>
  <c r="H248" i="7"/>
  <c r="G248" i="7"/>
  <c r="F248" i="7"/>
  <c r="E248" i="7"/>
  <c r="D248" i="7"/>
  <c r="C248" i="7"/>
  <c r="B248" i="7"/>
  <c r="I247" i="7"/>
  <c r="H247" i="7"/>
  <c r="G247" i="7"/>
  <c r="F247" i="7"/>
  <c r="E247" i="7"/>
  <c r="D247" i="7"/>
  <c r="C247" i="7"/>
  <c r="B247" i="7"/>
  <c r="I246" i="7"/>
  <c r="H246" i="7"/>
  <c r="G246" i="7"/>
  <c r="F246" i="7"/>
  <c r="E246" i="7"/>
  <c r="D246" i="7"/>
  <c r="C246" i="7"/>
  <c r="B246" i="7"/>
  <c r="I245" i="7"/>
  <c r="H245" i="7"/>
  <c r="G245" i="7"/>
  <c r="F245" i="7"/>
  <c r="E245" i="7"/>
  <c r="D245" i="7"/>
  <c r="C245" i="7"/>
  <c r="B245" i="7"/>
  <c r="I244" i="7"/>
  <c r="H244" i="7"/>
  <c r="G244" i="7"/>
  <c r="F244" i="7"/>
  <c r="E244" i="7"/>
  <c r="D244" i="7"/>
  <c r="C244" i="7"/>
  <c r="B244" i="7"/>
  <c r="I243" i="7"/>
  <c r="H243" i="7"/>
  <c r="G243" i="7"/>
  <c r="F243" i="7"/>
  <c r="E243" i="7"/>
  <c r="D243" i="7"/>
  <c r="C243" i="7"/>
  <c r="B243" i="7"/>
  <c r="I242" i="7"/>
  <c r="H242" i="7"/>
  <c r="G242" i="7"/>
  <c r="F242" i="7"/>
  <c r="E242" i="7"/>
  <c r="D242" i="7"/>
  <c r="C242" i="7"/>
  <c r="B242" i="7"/>
  <c r="I241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I231" i="7"/>
  <c r="H231" i="7"/>
  <c r="G231" i="7"/>
  <c r="F231" i="7"/>
  <c r="E231" i="7"/>
  <c r="D231" i="7"/>
  <c r="C231" i="7"/>
  <c r="B231" i="7"/>
  <c r="I230" i="7"/>
  <c r="H230" i="7"/>
  <c r="G230" i="7"/>
  <c r="F230" i="7"/>
  <c r="E230" i="7"/>
  <c r="D230" i="7"/>
  <c r="C230" i="7"/>
  <c r="B230" i="7"/>
  <c r="I229" i="7"/>
  <c r="H229" i="7"/>
  <c r="G229" i="7"/>
  <c r="F229" i="7"/>
  <c r="E229" i="7"/>
  <c r="D229" i="7"/>
  <c r="C229" i="7"/>
  <c r="B229" i="7"/>
  <c r="I228" i="7"/>
  <c r="H228" i="7"/>
  <c r="G228" i="7"/>
  <c r="F228" i="7"/>
  <c r="E228" i="7"/>
  <c r="D228" i="7"/>
  <c r="C228" i="7"/>
  <c r="B228" i="7"/>
  <c r="I227" i="7"/>
  <c r="H227" i="7"/>
  <c r="G227" i="7"/>
  <c r="F227" i="7"/>
  <c r="E227" i="7"/>
  <c r="D227" i="7"/>
  <c r="C227" i="7"/>
  <c r="B227" i="7"/>
  <c r="I226" i="7"/>
  <c r="H226" i="7"/>
  <c r="G226" i="7"/>
  <c r="F226" i="7"/>
  <c r="E226" i="7"/>
  <c r="D226" i="7"/>
  <c r="C226" i="7"/>
  <c r="B226" i="7"/>
  <c r="I225" i="7"/>
  <c r="H225" i="7"/>
  <c r="G225" i="7"/>
  <c r="F225" i="7"/>
  <c r="E225" i="7"/>
  <c r="D225" i="7"/>
  <c r="C225" i="7"/>
  <c r="B225" i="7"/>
  <c r="I224" i="7"/>
  <c r="H224" i="7"/>
  <c r="G224" i="7"/>
  <c r="F224" i="7"/>
  <c r="E224" i="7"/>
  <c r="D224" i="7"/>
  <c r="C224" i="7"/>
  <c r="B224" i="7"/>
  <c r="I223" i="7"/>
  <c r="H223" i="7"/>
  <c r="G223" i="7"/>
  <c r="F223" i="7"/>
  <c r="E223" i="7"/>
  <c r="D223" i="7"/>
  <c r="C223" i="7"/>
  <c r="B223" i="7"/>
  <c r="I222" i="7"/>
  <c r="H222" i="7"/>
  <c r="G222" i="7"/>
  <c r="F222" i="7"/>
  <c r="E222" i="7"/>
  <c r="D222" i="7"/>
  <c r="C222" i="7"/>
  <c r="B222" i="7"/>
  <c r="I221" i="7"/>
  <c r="H221" i="7"/>
  <c r="G221" i="7"/>
  <c r="F221" i="7"/>
  <c r="E221" i="7"/>
  <c r="D221" i="7"/>
  <c r="C221" i="7"/>
  <c r="B221" i="7"/>
  <c r="I220" i="7"/>
  <c r="H220" i="7"/>
  <c r="G220" i="7"/>
  <c r="F220" i="7"/>
  <c r="E220" i="7"/>
  <c r="D220" i="7"/>
  <c r="C220" i="7"/>
  <c r="B220" i="7"/>
  <c r="I219" i="7"/>
  <c r="H219" i="7"/>
  <c r="G219" i="7"/>
  <c r="F219" i="7"/>
  <c r="E219" i="7"/>
  <c r="D219" i="7"/>
  <c r="C219" i="7"/>
  <c r="B219" i="7"/>
  <c r="I218" i="7"/>
  <c r="H218" i="7"/>
  <c r="G218" i="7"/>
  <c r="F218" i="7"/>
  <c r="E218" i="7"/>
  <c r="D218" i="7"/>
  <c r="C218" i="7"/>
  <c r="B218" i="7"/>
  <c r="I217" i="7"/>
  <c r="H217" i="7"/>
  <c r="G217" i="7"/>
  <c r="F217" i="7"/>
  <c r="E217" i="7"/>
  <c r="D217" i="7"/>
  <c r="C217" i="7"/>
  <c r="B217" i="7"/>
  <c r="I216" i="7"/>
  <c r="H216" i="7"/>
  <c r="G216" i="7"/>
  <c r="F216" i="7"/>
  <c r="E216" i="7"/>
  <c r="D216" i="7"/>
  <c r="C216" i="7"/>
  <c r="B216" i="7"/>
  <c r="I215" i="7"/>
  <c r="H215" i="7"/>
  <c r="G215" i="7"/>
  <c r="F215" i="7"/>
  <c r="E215" i="7"/>
  <c r="D215" i="7"/>
  <c r="C215" i="7"/>
  <c r="B215" i="7"/>
  <c r="I214" i="7"/>
  <c r="H214" i="7"/>
  <c r="G214" i="7"/>
  <c r="F214" i="7"/>
  <c r="E214" i="7"/>
  <c r="D214" i="7"/>
  <c r="C214" i="7"/>
  <c r="B214" i="7"/>
  <c r="I213" i="7"/>
  <c r="H213" i="7"/>
  <c r="G213" i="7"/>
  <c r="F213" i="7"/>
  <c r="E213" i="7"/>
  <c r="D213" i="7"/>
  <c r="C213" i="7"/>
  <c r="B213" i="7"/>
  <c r="I212" i="7"/>
  <c r="H212" i="7"/>
  <c r="G212" i="7"/>
  <c r="F212" i="7"/>
  <c r="E212" i="7"/>
  <c r="D212" i="7"/>
  <c r="C212" i="7"/>
  <c r="B212" i="7"/>
  <c r="I211" i="7"/>
  <c r="H211" i="7"/>
  <c r="G211" i="7"/>
  <c r="F211" i="7"/>
  <c r="E211" i="7"/>
  <c r="D211" i="7"/>
  <c r="C211" i="7"/>
  <c r="B211" i="7"/>
  <c r="I210" i="7"/>
  <c r="H210" i="7"/>
  <c r="G210" i="7"/>
  <c r="F210" i="7"/>
  <c r="E210" i="7"/>
  <c r="D210" i="7"/>
  <c r="C210" i="7"/>
  <c r="B210" i="7"/>
  <c r="I209" i="7"/>
  <c r="H209" i="7"/>
  <c r="G209" i="7"/>
  <c r="F209" i="7"/>
  <c r="E209" i="7"/>
  <c r="D209" i="7"/>
  <c r="C209" i="7"/>
  <c r="B209" i="7"/>
  <c r="I208" i="7"/>
  <c r="H208" i="7"/>
  <c r="G208" i="7"/>
  <c r="F208" i="7"/>
  <c r="E208" i="7"/>
  <c r="D208" i="7"/>
  <c r="C208" i="7"/>
  <c r="B208" i="7"/>
  <c r="I207" i="7"/>
  <c r="H207" i="7"/>
  <c r="G207" i="7"/>
  <c r="F207" i="7"/>
  <c r="E207" i="7"/>
  <c r="D207" i="7"/>
  <c r="C207" i="7"/>
  <c r="B207" i="7"/>
  <c r="I206" i="7"/>
  <c r="H206" i="7"/>
  <c r="G206" i="7"/>
  <c r="F206" i="7"/>
  <c r="E206" i="7"/>
  <c r="D206" i="7"/>
  <c r="C206" i="7"/>
  <c r="B206" i="7"/>
  <c r="I205" i="7"/>
  <c r="H205" i="7"/>
  <c r="G205" i="7"/>
  <c r="F205" i="7"/>
  <c r="E205" i="7"/>
  <c r="D205" i="7"/>
  <c r="C205" i="7"/>
  <c r="B205" i="7"/>
  <c r="I204" i="7"/>
  <c r="H204" i="7"/>
  <c r="G204" i="7"/>
  <c r="F204" i="7"/>
  <c r="E204" i="7"/>
  <c r="D204" i="7"/>
  <c r="C204" i="7"/>
  <c r="B204" i="7"/>
  <c r="I203" i="7"/>
  <c r="H203" i="7"/>
  <c r="G203" i="7"/>
  <c r="F203" i="7"/>
  <c r="E203" i="7"/>
  <c r="D203" i="7"/>
  <c r="C203" i="7"/>
  <c r="B203" i="7"/>
  <c r="I202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I193" i="7"/>
  <c r="H193" i="7"/>
  <c r="G193" i="7"/>
  <c r="F193" i="7"/>
  <c r="E193" i="7"/>
  <c r="D193" i="7"/>
  <c r="C193" i="7"/>
  <c r="B193" i="7"/>
  <c r="I192" i="7"/>
  <c r="H192" i="7"/>
  <c r="G192" i="7"/>
  <c r="F192" i="7"/>
  <c r="E192" i="7"/>
  <c r="D192" i="7"/>
  <c r="C192" i="7"/>
  <c r="B192" i="7"/>
  <c r="I191" i="7"/>
  <c r="H191" i="7"/>
  <c r="G191" i="7"/>
  <c r="F191" i="7"/>
  <c r="E191" i="7"/>
  <c r="D191" i="7"/>
  <c r="C191" i="7"/>
  <c r="B191" i="7"/>
  <c r="I190" i="7"/>
  <c r="H190" i="7"/>
  <c r="G190" i="7"/>
  <c r="F190" i="7"/>
  <c r="E190" i="7"/>
  <c r="D190" i="7"/>
  <c r="C190" i="7"/>
  <c r="B190" i="7"/>
  <c r="I189" i="7"/>
  <c r="H189" i="7"/>
  <c r="G189" i="7"/>
  <c r="F189" i="7"/>
  <c r="E189" i="7"/>
  <c r="D189" i="7"/>
  <c r="C189" i="7"/>
  <c r="B189" i="7"/>
  <c r="I188" i="7"/>
  <c r="H188" i="7"/>
  <c r="G188" i="7"/>
  <c r="F188" i="7"/>
  <c r="E188" i="7"/>
  <c r="D188" i="7"/>
  <c r="C188" i="7"/>
  <c r="B188" i="7"/>
  <c r="I187" i="7"/>
  <c r="H187" i="7"/>
  <c r="G187" i="7"/>
  <c r="F187" i="7"/>
  <c r="E187" i="7"/>
  <c r="D187" i="7"/>
  <c r="C187" i="7"/>
  <c r="B187" i="7"/>
  <c r="I186" i="7"/>
  <c r="H186" i="7"/>
  <c r="G186" i="7"/>
  <c r="F186" i="7"/>
  <c r="E186" i="7"/>
  <c r="D186" i="7"/>
  <c r="C186" i="7"/>
  <c r="B186" i="7"/>
  <c r="I185" i="7"/>
  <c r="H185" i="7"/>
  <c r="G185" i="7"/>
  <c r="F185" i="7"/>
  <c r="E185" i="7"/>
  <c r="D185" i="7"/>
  <c r="C185" i="7"/>
  <c r="B185" i="7"/>
  <c r="I184" i="7"/>
  <c r="H184" i="7"/>
  <c r="G184" i="7"/>
  <c r="F184" i="7"/>
  <c r="E184" i="7"/>
  <c r="D184" i="7"/>
  <c r="C184" i="7"/>
  <c r="B184" i="7"/>
  <c r="I183" i="7"/>
  <c r="H183" i="7"/>
  <c r="G183" i="7"/>
  <c r="F183" i="7"/>
  <c r="E183" i="7"/>
  <c r="D183" i="7"/>
  <c r="C183" i="7"/>
  <c r="B183" i="7"/>
  <c r="I182" i="7"/>
  <c r="H182" i="7"/>
  <c r="G182" i="7"/>
  <c r="F182" i="7"/>
  <c r="E182" i="7"/>
  <c r="D182" i="7"/>
  <c r="C182" i="7"/>
  <c r="B182" i="7"/>
  <c r="I181" i="7"/>
  <c r="H181" i="7"/>
  <c r="G181" i="7"/>
  <c r="F181" i="7"/>
  <c r="E181" i="7"/>
  <c r="D181" i="7"/>
  <c r="C181" i="7"/>
  <c r="B181" i="7"/>
  <c r="I180" i="7"/>
  <c r="H180" i="7"/>
  <c r="G180" i="7"/>
  <c r="F180" i="7"/>
  <c r="E180" i="7"/>
  <c r="D180" i="7"/>
  <c r="C180" i="7"/>
  <c r="B180" i="7"/>
  <c r="I179" i="7"/>
  <c r="H179" i="7"/>
  <c r="G179" i="7"/>
  <c r="F179" i="7"/>
  <c r="E179" i="7"/>
  <c r="D179" i="7"/>
  <c r="C179" i="7"/>
  <c r="B179" i="7"/>
  <c r="I178" i="7"/>
  <c r="H178" i="7"/>
  <c r="G178" i="7"/>
  <c r="F178" i="7"/>
  <c r="E178" i="7"/>
  <c r="D178" i="7"/>
  <c r="C178" i="7"/>
  <c r="B178" i="7"/>
  <c r="I177" i="7"/>
  <c r="H177" i="7"/>
  <c r="G177" i="7"/>
  <c r="F177" i="7"/>
  <c r="E177" i="7"/>
  <c r="D177" i="7"/>
  <c r="C177" i="7"/>
  <c r="B177" i="7"/>
  <c r="I176" i="7"/>
  <c r="H176" i="7"/>
  <c r="G176" i="7"/>
  <c r="F176" i="7"/>
  <c r="E176" i="7"/>
  <c r="D176" i="7"/>
  <c r="C176" i="7"/>
  <c r="B176" i="7"/>
  <c r="I175" i="7"/>
  <c r="H175" i="7"/>
  <c r="G175" i="7"/>
  <c r="F175" i="7"/>
  <c r="E175" i="7"/>
  <c r="D175" i="7"/>
  <c r="C175" i="7"/>
  <c r="B175" i="7"/>
  <c r="I174" i="7"/>
  <c r="H174" i="7"/>
  <c r="G174" i="7"/>
  <c r="F174" i="7"/>
  <c r="E174" i="7"/>
  <c r="D174" i="7"/>
  <c r="C174" i="7"/>
  <c r="B174" i="7"/>
  <c r="I173" i="7"/>
  <c r="H173" i="7"/>
  <c r="G173" i="7"/>
  <c r="F173" i="7"/>
  <c r="E173" i="7"/>
  <c r="D173" i="7"/>
  <c r="C173" i="7"/>
  <c r="B173" i="7"/>
  <c r="I172" i="7"/>
  <c r="H172" i="7"/>
  <c r="G172" i="7"/>
  <c r="F172" i="7"/>
  <c r="E172" i="7"/>
  <c r="D172" i="7"/>
  <c r="C172" i="7"/>
  <c r="B172" i="7"/>
  <c r="I171" i="7"/>
  <c r="H171" i="7"/>
  <c r="G171" i="7"/>
  <c r="F171" i="7"/>
  <c r="E171" i="7"/>
  <c r="D171" i="7"/>
  <c r="C171" i="7"/>
  <c r="B171" i="7"/>
  <c r="I170" i="7"/>
  <c r="H170" i="7"/>
  <c r="G170" i="7"/>
  <c r="F170" i="7"/>
  <c r="E170" i="7"/>
  <c r="D170" i="7"/>
  <c r="C170" i="7"/>
  <c r="B170" i="7"/>
  <c r="I169" i="7"/>
  <c r="H169" i="7"/>
  <c r="G169" i="7"/>
  <c r="F169" i="7"/>
  <c r="E169" i="7"/>
  <c r="D169" i="7"/>
  <c r="C169" i="7"/>
  <c r="B169" i="7"/>
  <c r="I168" i="7"/>
  <c r="H168" i="7"/>
  <c r="G168" i="7"/>
  <c r="F168" i="7"/>
  <c r="E168" i="7"/>
  <c r="D168" i="7"/>
  <c r="C168" i="7"/>
  <c r="B168" i="7"/>
  <c r="I167" i="7"/>
  <c r="H167" i="7"/>
  <c r="G167" i="7"/>
  <c r="F167" i="7"/>
  <c r="E167" i="7"/>
  <c r="D167" i="7"/>
  <c r="C167" i="7"/>
  <c r="B167" i="7"/>
  <c r="I166" i="7"/>
  <c r="H166" i="7"/>
  <c r="G166" i="7"/>
  <c r="F166" i="7"/>
  <c r="E166" i="7"/>
  <c r="D166" i="7"/>
  <c r="C166" i="7"/>
  <c r="B166" i="7"/>
  <c r="I165" i="7"/>
  <c r="H165" i="7"/>
  <c r="G165" i="7"/>
  <c r="F165" i="7"/>
  <c r="E165" i="7"/>
  <c r="D165" i="7"/>
  <c r="C165" i="7"/>
  <c r="B165" i="7"/>
  <c r="I164" i="7"/>
  <c r="H164" i="7"/>
  <c r="G164" i="7"/>
  <c r="F164" i="7"/>
  <c r="E164" i="7"/>
  <c r="D164" i="7"/>
  <c r="C164" i="7"/>
  <c r="B164" i="7"/>
  <c r="I163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I153" i="7"/>
  <c r="H153" i="7"/>
  <c r="G153" i="7"/>
  <c r="F153" i="7"/>
  <c r="E153" i="7"/>
  <c r="D153" i="7"/>
  <c r="C153" i="7"/>
  <c r="B153" i="7"/>
  <c r="I152" i="7"/>
  <c r="H152" i="7"/>
  <c r="G152" i="7"/>
  <c r="F152" i="7"/>
  <c r="E152" i="7"/>
  <c r="D152" i="7"/>
  <c r="C152" i="7"/>
  <c r="B152" i="7"/>
  <c r="I151" i="7"/>
  <c r="H151" i="7"/>
  <c r="G151" i="7"/>
  <c r="F151" i="7"/>
  <c r="E151" i="7"/>
  <c r="D151" i="7"/>
  <c r="C151" i="7"/>
  <c r="B151" i="7"/>
  <c r="I150" i="7"/>
  <c r="H150" i="7"/>
  <c r="G150" i="7"/>
  <c r="F150" i="7"/>
  <c r="E150" i="7"/>
  <c r="D150" i="7"/>
  <c r="C150" i="7"/>
  <c r="B150" i="7"/>
  <c r="I149" i="7"/>
  <c r="H149" i="7"/>
  <c r="G149" i="7"/>
  <c r="F149" i="7"/>
  <c r="E149" i="7"/>
  <c r="D149" i="7"/>
  <c r="C149" i="7"/>
  <c r="B149" i="7"/>
  <c r="I148" i="7"/>
  <c r="H148" i="7"/>
  <c r="G148" i="7"/>
  <c r="F148" i="7"/>
  <c r="E148" i="7"/>
  <c r="D148" i="7"/>
  <c r="C148" i="7"/>
  <c r="B148" i="7"/>
  <c r="I147" i="7"/>
  <c r="H147" i="7"/>
  <c r="G147" i="7"/>
  <c r="F147" i="7"/>
  <c r="E147" i="7"/>
  <c r="D147" i="7"/>
  <c r="C147" i="7"/>
  <c r="B147" i="7"/>
  <c r="I146" i="7"/>
  <c r="H146" i="7"/>
  <c r="G146" i="7"/>
  <c r="F146" i="7"/>
  <c r="E146" i="7"/>
  <c r="D146" i="7"/>
  <c r="C146" i="7"/>
  <c r="B146" i="7"/>
  <c r="I145" i="7"/>
  <c r="H145" i="7"/>
  <c r="G145" i="7"/>
  <c r="F145" i="7"/>
  <c r="E145" i="7"/>
  <c r="D145" i="7"/>
  <c r="C145" i="7"/>
  <c r="B145" i="7"/>
  <c r="I144" i="7"/>
  <c r="H144" i="7"/>
  <c r="G144" i="7"/>
  <c r="F144" i="7"/>
  <c r="E144" i="7"/>
  <c r="D144" i="7"/>
  <c r="C144" i="7"/>
  <c r="B144" i="7"/>
  <c r="I143" i="7"/>
  <c r="H143" i="7"/>
  <c r="G143" i="7"/>
  <c r="F143" i="7"/>
  <c r="E143" i="7"/>
  <c r="D143" i="7"/>
  <c r="C143" i="7"/>
  <c r="B143" i="7"/>
  <c r="I142" i="7"/>
  <c r="H142" i="7"/>
  <c r="G142" i="7"/>
  <c r="F142" i="7"/>
  <c r="E142" i="7"/>
  <c r="D142" i="7"/>
  <c r="C142" i="7"/>
  <c r="B142" i="7"/>
  <c r="I141" i="7"/>
  <c r="H141" i="7"/>
  <c r="G141" i="7"/>
  <c r="F141" i="7"/>
  <c r="E141" i="7"/>
  <c r="D141" i="7"/>
  <c r="C141" i="7"/>
  <c r="B141" i="7"/>
  <c r="I140" i="7"/>
  <c r="H140" i="7"/>
  <c r="G140" i="7"/>
  <c r="F140" i="7"/>
  <c r="E140" i="7"/>
  <c r="D140" i="7"/>
  <c r="C140" i="7"/>
  <c r="B140" i="7"/>
  <c r="I139" i="7"/>
  <c r="H139" i="7"/>
  <c r="G139" i="7"/>
  <c r="F139" i="7"/>
  <c r="E139" i="7"/>
  <c r="D139" i="7"/>
  <c r="C139" i="7"/>
  <c r="B139" i="7"/>
  <c r="I138" i="7"/>
  <c r="H138" i="7"/>
  <c r="G138" i="7"/>
  <c r="F138" i="7"/>
  <c r="E138" i="7"/>
  <c r="D138" i="7"/>
  <c r="C138" i="7"/>
  <c r="B138" i="7"/>
  <c r="I137" i="7"/>
  <c r="H137" i="7"/>
  <c r="G137" i="7"/>
  <c r="F137" i="7"/>
  <c r="E137" i="7"/>
  <c r="D137" i="7"/>
  <c r="C137" i="7"/>
  <c r="B137" i="7"/>
  <c r="I136" i="7"/>
  <c r="H136" i="7"/>
  <c r="G136" i="7"/>
  <c r="F136" i="7"/>
  <c r="E136" i="7"/>
  <c r="D136" i="7"/>
  <c r="C136" i="7"/>
  <c r="B136" i="7"/>
  <c r="I135" i="7"/>
  <c r="H135" i="7"/>
  <c r="G135" i="7"/>
  <c r="F135" i="7"/>
  <c r="E135" i="7"/>
  <c r="D135" i="7"/>
  <c r="C135" i="7"/>
  <c r="B135" i="7"/>
  <c r="I134" i="7"/>
  <c r="H134" i="7"/>
  <c r="G134" i="7"/>
  <c r="F134" i="7"/>
  <c r="E134" i="7"/>
  <c r="D134" i="7"/>
  <c r="C134" i="7"/>
  <c r="B134" i="7"/>
  <c r="I133" i="7"/>
  <c r="H133" i="7"/>
  <c r="G133" i="7"/>
  <c r="F133" i="7"/>
  <c r="E133" i="7"/>
  <c r="D133" i="7"/>
  <c r="C133" i="7"/>
  <c r="B133" i="7"/>
  <c r="I132" i="7"/>
  <c r="H132" i="7"/>
  <c r="G132" i="7"/>
  <c r="F132" i="7"/>
  <c r="E132" i="7"/>
  <c r="D132" i="7"/>
  <c r="C132" i="7"/>
  <c r="B132" i="7"/>
  <c r="I131" i="7"/>
  <c r="H131" i="7"/>
  <c r="G131" i="7"/>
  <c r="F131" i="7"/>
  <c r="E131" i="7"/>
  <c r="D131" i="7"/>
  <c r="C131" i="7"/>
  <c r="B131" i="7"/>
  <c r="I130" i="7"/>
  <c r="H130" i="7"/>
  <c r="G130" i="7"/>
  <c r="F130" i="7"/>
  <c r="E130" i="7"/>
  <c r="D130" i="7"/>
  <c r="C130" i="7"/>
  <c r="B130" i="7"/>
  <c r="I129" i="7"/>
  <c r="H129" i="7"/>
  <c r="G129" i="7"/>
  <c r="F129" i="7"/>
  <c r="E129" i="7"/>
  <c r="D129" i="7"/>
  <c r="C129" i="7"/>
  <c r="B129" i="7"/>
  <c r="I128" i="7"/>
  <c r="H128" i="7"/>
  <c r="G128" i="7"/>
  <c r="F128" i="7"/>
  <c r="E128" i="7"/>
  <c r="D128" i="7"/>
  <c r="C128" i="7"/>
  <c r="B128" i="7"/>
  <c r="I127" i="7"/>
  <c r="H127" i="7"/>
  <c r="G127" i="7"/>
  <c r="F127" i="7"/>
  <c r="E127" i="7"/>
  <c r="D127" i="7"/>
  <c r="C127" i="7"/>
  <c r="B127" i="7"/>
  <c r="I126" i="7"/>
  <c r="H126" i="7"/>
  <c r="G126" i="7"/>
  <c r="F126" i="7"/>
  <c r="E126" i="7"/>
  <c r="D126" i="7"/>
  <c r="C126" i="7"/>
  <c r="B126" i="7"/>
  <c r="I125" i="7"/>
  <c r="H125" i="7"/>
  <c r="G125" i="7"/>
  <c r="F125" i="7"/>
  <c r="E125" i="7"/>
  <c r="D125" i="7"/>
  <c r="C125" i="7"/>
  <c r="B125" i="7"/>
  <c r="I124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I115" i="7"/>
  <c r="H115" i="7"/>
  <c r="G115" i="7"/>
  <c r="F115" i="7"/>
  <c r="E115" i="7"/>
  <c r="D115" i="7"/>
  <c r="C115" i="7"/>
  <c r="B115" i="7"/>
  <c r="I114" i="7"/>
  <c r="H114" i="7"/>
  <c r="G114" i="7"/>
  <c r="F114" i="7"/>
  <c r="E114" i="7"/>
  <c r="D114" i="7"/>
  <c r="C114" i="7"/>
  <c r="B114" i="7"/>
  <c r="I113" i="7"/>
  <c r="H113" i="7"/>
  <c r="G113" i="7"/>
  <c r="F113" i="7"/>
  <c r="E113" i="7"/>
  <c r="D113" i="7"/>
  <c r="C113" i="7"/>
  <c r="B113" i="7"/>
  <c r="I112" i="7"/>
  <c r="H112" i="7"/>
  <c r="G112" i="7"/>
  <c r="F112" i="7"/>
  <c r="E112" i="7"/>
  <c r="D112" i="7"/>
  <c r="C112" i="7"/>
  <c r="B112" i="7"/>
  <c r="I111" i="7"/>
  <c r="H111" i="7"/>
  <c r="G111" i="7"/>
  <c r="F111" i="7"/>
  <c r="E111" i="7"/>
  <c r="D111" i="7"/>
  <c r="C111" i="7"/>
  <c r="B111" i="7"/>
  <c r="I110" i="7"/>
  <c r="H110" i="7"/>
  <c r="G110" i="7"/>
  <c r="F110" i="7"/>
  <c r="E110" i="7"/>
  <c r="D110" i="7"/>
  <c r="C110" i="7"/>
  <c r="B110" i="7"/>
  <c r="I109" i="7"/>
  <c r="H109" i="7"/>
  <c r="G109" i="7"/>
  <c r="F109" i="7"/>
  <c r="E109" i="7"/>
  <c r="D109" i="7"/>
  <c r="C109" i="7"/>
  <c r="B109" i="7"/>
  <c r="I108" i="7"/>
  <c r="H108" i="7"/>
  <c r="G108" i="7"/>
  <c r="F108" i="7"/>
  <c r="E108" i="7"/>
  <c r="D108" i="7"/>
  <c r="C108" i="7"/>
  <c r="B108" i="7"/>
  <c r="I107" i="7"/>
  <c r="H107" i="7"/>
  <c r="G107" i="7"/>
  <c r="F107" i="7"/>
  <c r="E107" i="7"/>
  <c r="D107" i="7"/>
  <c r="C107" i="7"/>
  <c r="B107" i="7"/>
  <c r="I106" i="7"/>
  <c r="H106" i="7"/>
  <c r="G106" i="7"/>
  <c r="F106" i="7"/>
  <c r="E106" i="7"/>
  <c r="D106" i="7"/>
  <c r="C106" i="7"/>
  <c r="B106" i="7"/>
  <c r="I105" i="7"/>
  <c r="H105" i="7"/>
  <c r="G105" i="7"/>
  <c r="F105" i="7"/>
  <c r="E105" i="7"/>
  <c r="D105" i="7"/>
  <c r="C105" i="7"/>
  <c r="B105" i="7"/>
  <c r="I104" i="7"/>
  <c r="H104" i="7"/>
  <c r="G104" i="7"/>
  <c r="F104" i="7"/>
  <c r="E104" i="7"/>
  <c r="D104" i="7"/>
  <c r="C104" i="7"/>
  <c r="B104" i="7"/>
  <c r="I103" i="7"/>
  <c r="H103" i="7"/>
  <c r="G103" i="7"/>
  <c r="F103" i="7"/>
  <c r="E103" i="7"/>
  <c r="D103" i="7"/>
  <c r="C103" i="7"/>
  <c r="B103" i="7"/>
  <c r="I102" i="7"/>
  <c r="H102" i="7"/>
  <c r="G102" i="7"/>
  <c r="F102" i="7"/>
  <c r="E102" i="7"/>
  <c r="D102" i="7"/>
  <c r="C102" i="7"/>
  <c r="B102" i="7"/>
  <c r="I101" i="7"/>
  <c r="H101" i="7"/>
  <c r="G101" i="7"/>
  <c r="F101" i="7"/>
  <c r="E101" i="7"/>
  <c r="D101" i="7"/>
  <c r="C101" i="7"/>
  <c r="B101" i="7"/>
  <c r="I100" i="7"/>
  <c r="H100" i="7"/>
  <c r="G100" i="7"/>
  <c r="F100" i="7"/>
  <c r="E100" i="7"/>
  <c r="D100" i="7"/>
  <c r="C100" i="7"/>
  <c r="B100" i="7"/>
  <c r="I99" i="7"/>
  <c r="H99" i="7"/>
  <c r="G99" i="7"/>
  <c r="F99" i="7"/>
  <c r="E99" i="7"/>
  <c r="D99" i="7"/>
  <c r="C99" i="7"/>
  <c r="B99" i="7"/>
  <c r="I98" i="7"/>
  <c r="H98" i="7"/>
  <c r="G98" i="7"/>
  <c r="F98" i="7"/>
  <c r="E98" i="7"/>
  <c r="D98" i="7"/>
  <c r="C98" i="7"/>
  <c r="B98" i="7"/>
  <c r="I97" i="7"/>
  <c r="H97" i="7"/>
  <c r="G97" i="7"/>
  <c r="F97" i="7"/>
  <c r="E97" i="7"/>
  <c r="D97" i="7"/>
  <c r="C97" i="7"/>
  <c r="B97" i="7"/>
  <c r="I96" i="7"/>
  <c r="H96" i="7"/>
  <c r="G96" i="7"/>
  <c r="F96" i="7"/>
  <c r="E96" i="7"/>
  <c r="D96" i="7"/>
  <c r="C96" i="7"/>
  <c r="B96" i="7"/>
  <c r="I95" i="7"/>
  <c r="H95" i="7"/>
  <c r="G95" i="7"/>
  <c r="F95" i="7"/>
  <c r="E95" i="7"/>
  <c r="D95" i="7"/>
  <c r="C95" i="7"/>
  <c r="B95" i="7"/>
  <c r="I94" i="7"/>
  <c r="H94" i="7"/>
  <c r="G94" i="7"/>
  <c r="F94" i="7"/>
  <c r="E94" i="7"/>
  <c r="D94" i="7"/>
  <c r="C94" i="7"/>
  <c r="B94" i="7"/>
  <c r="I93" i="7"/>
  <c r="H93" i="7"/>
  <c r="G93" i="7"/>
  <c r="F93" i="7"/>
  <c r="E93" i="7"/>
  <c r="D93" i="7"/>
  <c r="C93" i="7"/>
  <c r="B93" i="7"/>
  <c r="I92" i="7"/>
  <c r="H92" i="7"/>
  <c r="G92" i="7"/>
  <c r="F92" i="7"/>
  <c r="E92" i="7"/>
  <c r="D92" i="7"/>
  <c r="C92" i="7"/>
  <c r="B92" i="7"/>
  <c r="I91" i="7"/>
  <c r="H91" i="7"/>
  <c r="G91" i="7"/>
  <c r="F91" i="7"/>
  <c r="E91" i="7"/>
  <c r="D91" i="7"/>
  <c r="C91" i="7"/>
  <c r="B91" i="7"/>
  <c r="I90" i="7"/>
  <c r="H90" i="7"/>
  <c r="G90" i="7"/>
  <c r="F90" i="7"/>
  <c r="E90" i="7"/>
  <c r="D90" i="7"/>
  <c r="C90" i="7"/>
  <c r="B90" i="7"/>
  <c r="I89" i="7"/>
  <c r="H89" i="7"/>
  <c r="G89" i="7"/>
  <c r="F89" i="7"/>
  <c r="E89" i="7"/>
  <c r="D89" i="7"/>
  <c r="C89" i="7"/>
  <c r="B89" i="7"/>
  <c r="I88" i="7"/>
  <c r="H88" i="7"/>
  <c r="G88" i="7"/>
  <c r="F88" i="7"/>
  <c r="E88" i="7"/>
  <c r="D88" i="7"/>
  <c r="C88" i="7"/>
  <c r="B88" i="7"/>
  <c r="I87" i="7"/>
  <c r="H87" i="7"/>
  <c r="G87" i="7"/>
  <c r="F87" i="7"/>
  <c r="E87" i="7"/>
  <c r="D87" i="7"/>
  <c r="C87" i="7"/>
  <c r="B87" i="7"/>
  <c r="I86" i="7"/>
  <c r="H86" i="7"/>
  <c r="G86" i="7"/>
  <c r="F86" i="7"/>
  <c r="E86" i="7"/>
  <c r="D86" i="7"/>
  <c r="C86" i="7"/>
  <c r="B86" i="7"/>
  <c r="I85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I73" i="7"/>
  <c r="H73" i="7"/>
  <c r="G73" i="7"/>
  <c r="F73" i="7"/>
  <c r="E73" i="7"/>
  <c r="D73" i="7"/>
  <c r="C73" i="7"/>
  <c r="B73" i="7"/>
  <c r="I72" i="7"/>
  <c r="H72" i="7"/>
  <c r="G72" i="7"/>
  <c r="F72" i="7"/>
  <c r="E72" i="7"/>
  <c r="D72" i="7"/>
  <c r="C72" i="7"/>
  <c r="B72" i="7"/>
  <c r="I71" i="7"/>
  <c r="H71" i="7"/>
  <c r="G71" i="7"/>
  <c r="F71" i="7"/>
  <c r="E71" i="7"/>
  <c r="D71" i="7"/>
  <c r="C71" i="7"/>
  <c r="B71" i="7"/>
  <c r="I70" i="7"/>
  <c r="H70" i="7"/>
  <c r="G70" i="7"/>
  <c r="F70" i="7"/>
  <c r="E70" i="7"/>
  <c r="D70" i="7"/>
  <c r="C70" i="7"/>
  <c r="B70" i="7"/>
  <c r="I69" i="7"/>
  <c r="H69" i="7"/>
  <c r="G69" i="7"/>
  <c r="F69" i="7"/>
  <c r="E69" i="7"/>
  <c r="D69" i="7"/>
  <c r="C69" i="7"/>
  <c r="B69" i="7"/>
  <c r="I68" i="7"/>
  <c r="H68" i="7"/>
  <c r="G68" i="7"/>
  <c r="F68" i="7"/>
  <c r="E68" i="7"/>
  <c r="D68" i="7"/>
  <c r="C68" i="7"/>
  <c r="B68" i="7"/>
  <c r="I67" i="7"/>
  <c r="H67" i="7"/>
  <c r="G67" i="7"/>
  <c r="F67" i="7"/>
  <c r="E67" i="7"/>
  <c r="D67" i="7"/>
  <c r="C67" i="7"/>
  <c r="B67" i="7"/>
  <c r="I66" i="7"/>
  <c r="H66" i="7"/>
  <c r="G66" i="7"/>
  <c r="F66" i="7"/>
  <c r="E66" i="7"/>
  <c r="D66" i="7"/>
  <c r="C66" i="7"/>
  <c r="B66" i="7"/>
  <c r="I65" i="7"/>
  <c r="H65" i="7"/>
  <c r="G65" i="7"/>
  <c r="F65" i="7"/>
  <c r="E65" i="7"/>
  <c r="D65" i="7"/>
  <c r="C65" i="7"/>
  <c r="B65" i="7"/>
  <c r="I64" i="7"/>
  <c r="H64" i="7"/>
  <c r="G64" i="7"/>
  <c r="F64" i="7"/>
  <c r="E64" i="7"/>
  <c r="D64" i="7"/>
  <c r="C64" i="7"/>
  <c r="B64" i="7"/>
  <c r="I63" i="7"/>
  <c r="H63" i="7"/>
  <c r="G63" i="7"/>
  <c r="F63" i="7"/>
  <c r="E63" i="7"/>
  <c r="D63" i="7"/>
  <c r="C63" i="7"/>
  <c r="B63" i="7"/>
  <c r="I62" i="7"/>
  <c r="H62" i="7"/>
  <c r="G62" i="7"/>
  <c r="F62" i="7"/>
  <c r="E62" i="7"/>
  <c r="D62" i="7"/>
  <c r="C62" i="7"/>
  <c r="B62" i="7"/>
  <c r="I61" i="7"/>
  <c r="H61" i="7"/>
  <c r="G61" i="7"/>
  <c r="F61" i="7"/>
  <c r="E61" i="7"/>
  <c r="D61" i="7"/>
  <c r="C61" i="7"/>
  <c r="B61" i="7"/>
  <c r="I60" i="7"/>
  <c r="H60" i="7"/>
  <c r="G60" i="7"/>
  <c r="F60" i="7"/>
  <c r="E60" i="7"/>
  <c r="D60" i="7"/>
  <c r="C60" i="7"/>
  <c r="B60" i="7"/>
  <c r="I59" i="7"/>
  <c r="H59" i="7"/>
  <c r="G59" i="7"/>
  <c r="F59" i="7"/>
  <c r="E59" i="7"/>
  <c r="D59" i="7"/>
  <c r="C59" i="7"/>
  <c r="B59" i="7"/>
  <c r="I58" i="7"/>
  <c r="H58" i="7"/>
  <c r="G58" i="7"/>
  <c r="F58" i="7"/>
  <c r="E58" i="7"/>
  <c r="D58" i="7"/>
  <c r="C58" i="7"/>
  <c r="B58" i="7"/>
  <c r="I57" i="7"/>
  <c r="H57" i="7"/>
  <c r="G57" i="7"/>
  <c r="F57" i="7"/>
  <c r="E57" i="7"/>
  <c r="D57" i="7"/>
  <c r="C57" i="7"/>
  <c r="B57" i="7"/>
  <c r="I56" i="7"/>
  <c r="H56" i="7"/>
  <c r="G56" i="7"/>
  <c r="F56" i="7"/>
  <c r="E56" i="7"/>
  <c r="D56" i="7"/>
  <c r="C56" i="7"/>
  <c r="B56" i="7"/>
  <c r="I55" i="7"/>
  <c r="H55" i="7"/>
  <c r="G55" i="7"/>
  <c r="F55" i="7"/>
  <c r="E55" i="7"/>
  <c r="D55" i="7"/>
  <c r="C55" i="7"/>
  <c r="B55" i="7"/>
  <c r="I54" i="7"/>
  <c r="H54" i="7"/>
  <c r="G54" i="7"/>
  <c r="F54" i="7"/>
  <c r="E54" i="7"/>
  <c r="D54" i="7"/>
  <c r="C54" i="7"/>
  <c r="B54" i="7"/>
  <c r="I53" i="7"/>
  <c r="H53" i="7"/>
  <c r="G53" i="7"/>
  <c r="F53" i="7"/>
  <c r="E53" i="7"/>
  <c r="D53" i="7"/>
  <c r="C53" i="7"/>
  <c r="B53" i="7"/>
  <c r="I52" i="7"/>
  <c r="H52" i="7"/>
  <c r="G52" i="7"/>
  <c r="F52" i="7"/>
  <c r="E52" i="7"/>
  <c r="D52" i="7"/>
  <c r="C52" i="7"/>
  <c r="B52" i="7"/>
  <c r="I51" i="7"/>
  <c r="H51" i="7"/>
  <c r="G51" i="7"/>
  <c r="F51" i="7"/>
  <c r="E51" i="7"/>
  <c r="D51" i="7"/>
  <c r="C51" i="7"/>
  <c r="B51" i="7"/>
  <c r="I50" i="7"/>
  <c r="H50" i="7"/>
  <c r="G50" i="7"/>
  <c r="F50" i="7"/>
  <c r="E50" i="7"/>
  <c r="D50" i="7"/>
  <c r="C50" i="7"/>
  <c r="B50" i="7"/>
  <c r="I49" i="7"/>
  <c r="H49" i="7"/>
  <c r="G49" i="7"/>
  <c r="F49" i="7"/>
  <c r="E49" i="7"/>
  <c r="D49" i="7"/>
  <c r="C49" i="7"/>
  <c r="B49" i="7"/>
  <c r="I48" i="7"/>
  <c r="H48" i="7"/>
  <c r="G48" i="7"/>
  <c r="F48" i="7"/>
  <c r="E48" i="7"/>
  <c r="D48" i="7"/>
  <c r="C48" i="7"/>
  <c r="B48" i="7"/>
  <c r="I47" i="7"/>
  <c r="H47" i="7"/>
  <c r="G47" i="7"/>
  <c r="F47" i="7"/>
  <c r="E47" i="7"/>
  <c r="D47" i="7"/>
  <c r="C47" i="7"/>
  <c r="B47" i="7"/>
  <c r="I46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I37" i="7"/>
  <c r="H37" i="7"/>
  <c r="G37" i="7"/>
  <c r="F37" i="7"/>
  <c r="E37" i="7"/>
  <c r="D37" i="7"/>
  <c r="C37" i="7"/>
  <c r="B37" i="7"/>
  <c r="I36" i="7"/>
  <c r="H36" i="7"/>
  <c r="G36" i="7"/>
  <c r="F36" i="7"/>
  <c r="E36" i="7"/>
  <c r="D36" i="7"/>
  <c r="C36" i="7"/>
  <c r="B36" i="7"/>
  <c r="I35" i="7"/>
  <c r="H35" i="7"/>
  <c r="G35" i="7"/>
  <c r="F35" i="7"/>
  <c r="E35" i="7"/>
  <c r="D35" i="7"/>
  <c r="C35" i="7"/>
  <c r="B35" i="7"/>
  <c r="I34" i="7"/>
  <c r="H34" i="7"/>
  <c r="G34" i="7"/>
  <c r="F34" i="7"/>
  <c r="E34" i="7"/>
  <c r="D34" i="7"/>
  <c r="C34" i="7"/>
  <c r="B34" i="7"/>
  <c r="I33" i="7"/>
  <c r="H33" i="7"/>
  <c r="G33" i="7"/>
  <c r="F33" i="7"/>
  <c r="E33" i="7"/>
  <c r="D33" i="7"/>
  <c r="C33" i="7"/>
  <c r="B33" i="7"/>
  <c r="I32" i="7"/>
  <c r="H32" i="7"/>
  <c r="G32" i="7"/>
  <c r="F32" i="7"/>
  <c r="E32" i="7"/>
  <c r="D32" i="7"/>
  <c r="C32" i="7"/>
  <c r="B32" i="7"/>
  <c r="I31" i="7"/>
  <c r="H31" i="7"/>
  <c r="G31" i="7"/>
  <c r="F31" i="7"/>
  <c r="E31" i="7"/>
  <c r="D31" i="7"/>
  <c r="C31" i="7"/>
  <c r="B31" i="7"/>
  <c r="I30" i="7"/>
  <c r="H30" i="7"/>
  <c r="G30" i="7"/>
  <c r="F30" i="7"/>
  <c r="E30" i="7"/>
  <c r="D30" i="7"/>
  <c r="C30" i="7"/>
  <c r="B30" i="7"/>
  <c r="I29" i="7"/>
  <c r="H29" i="7"/>
  <c r="G29" i="7"/>
  <c r="F29" i="7"/>
  <c r="E29" i="7"/>
  <c r="D29" i="7"/>
  <c r="C29" i="7"/>
  <c r="B29" i="7"/>
  <c r="I28" i="7"/>
  <c r="H28" i="7"/>
  <c r="G28" i="7"/>
  <c r="F28" i="7"/>
  <c r="E28" i="7"/>
  <c r="D28" i="7"/>
  <c r="C28" i="7"/>
  <c r="B28" i="7"/>
  <c r="I27" i="7"/>
  <c r="H27" i="7"/>
  <c r="G27" i="7"/>
  <c r="F27" i="7"/>
  <c r="E27" i="7"/>
  <c r="D27" i="7"/>
  <c r="C27" i="7"/>
  <c r="B27" i="7"/>
  <c r="I26" i="7"/>
  <c r="H26" i="7"/>
  <c r="G26" i="7"/>
  <c r="F26" i="7"/>
  <c r="E26" i="7"/>
  <c r="D26" i="7"/>
  <c r="C26" i="7"/>
  <c r="B26" i="7"/>
  <c r="I25" i="7"/>
  <c r="H25" i="7"/>
  <c r="G25" i="7"/>
  <c r="F25" i="7"/>
  <c r="E25" i="7"/>
  <c r="D25" i="7"/>
  <c r="C25" i="7"/>
  <c r="B25" i="7"/>
  <c r="I24" i="7"/>
  <c r="H24" i="7"/>
  <c r="G24" i="7"/>
  <c r="F24" i="7"/>
  <c r="E24" i="7"/>
  <c r="D24" i="7"/>
  <c r="C24" i="7"/>
  <c r="B24" i="7"/>
  <c r="I23" i="7"/>
  <c r="H23" i="7"/>
  <c r="G23" i="7"/>
  <c r="F23" i="7"/>
  <c r="E23" i="7"/>
  <c r="D23" i="7"/>
  <c r="C23" i="7"/>
  <c r="B23" i="7"/>
  <c r="I22" i="7"/>
  <c r="H22" i="7"/>
  <c r="G22" i="7"/>
  <c r="F22" i="7"/>
  <c r="E22" i="7"/>
  <c r="D22" i="7"/>
  <c r="C22" i="7"/>
  <c r="B22" i="7"/>
  <c r="I21" i="7"/>
  <c r="H21" i="7"/>
  <c r="G21" i="7"/>
  <c r="F21" i="7"/>
  <c r="E21" i="7"/>
  <c r="D21" i="7"/>
  <c r="C21" i="7"/>
  <c r="B21" i="7"/>
  <c r="I20" i="7"/>
  <c r="H20" i="7"/>
  <c r="G20" i="7"/>
  <c r="F20" i="7"/>
  <c r="E20" i="7"/>
  <c r="D20" i="7"/>
  <c r="C20" i="7"/>
  <c r="B20" i="7"/>
  <c r="I19" i="7"/>
  <c r="H19" i="7"/>
  <c r="G19" i="7"/>
  <c r="F19" i="7"/>
  <c r="E19" i="7"/>
  <c r="D19" i="7"/>
  <c r="C19" i="7"/>
  <c r="B19" i="7"/>
  <c r="I18" i="7"/>
  <c r="H18" i="7"/>
  <c r="G18" i="7"/>
  <c r="F18" i="7"/>
  <c r="E18" i="7"/>
  <c r="D18" i="7"/>
  <c r="C18" i="7"/>
  <c r="B18" i="7"/>
  <c r="I17" i="7"/>
  <c r="H17" i="7"/>
  <c r="G17" i="7"/>
  <c r="F17" i="7"/>
  <c r="E17" i="7"/>
  <c r="D17" i="7"/>
  <c r="C17" i="7"/>
  <c r="B17" i="7"/>
  <c r="I16" i="7"/>
  <c r="H16" i="7"/>
  <c r="G16" i="7"/>
  <c r="F16" i="7"/>
  <c r="E16" i="7"/>
  <c r="D16" i="7"/>
  <c r="C16" i="7"/>
  <c r="B16" i="7"/>
  <c r="I15" i="7"/>
  <c r="H15" i="7"/>
  <c r="G15" i="7"/>
  <c r="F15" i="7"/>
  <c r="E15" i="7"/>
  <c r="D15" i="7"/>
  <c r="C15" i="7"/>
  <c r="B15" i="7"/>
  <c r="I14" i="7"/>
  <c r="H14" i="7"/>
  <c r="G14" i="7"/>
  <c r="F14" i="7"/>
  <c r="E14" i="7"/>
  <c r="D14" i="7"/>
  <c r="C14" i="7"/>
  <c r="B14" i="7"/>
  <c r="I13" i="7"/>
  <c r="H13" i="7"/>
  <c r="G13" i="7"/>
  <c r="F13" i="7"/>
  <c r="E13" i="7"/>
  <c r="D13" i="7"/>
  <c r="C13" i="7"/>
  <c r="B13" i="7"/>
  <c r="I12" i="7"/>
  <c r="H12" i="7"/>
  <c r="G12" i="7"/>
  <c r="F12" i="7"/>
  <c r="E12" i="7"/>
  <c r="D12" i="7"/>
  <c r="C12" i="7"/>
  <c r="B12" i="7"/>
  <c r="I11" i="7"/>
  <c r="H11" i="7"/>
  <c r="G11" i="7"/>
  <c r="F11" i="7"/>
  <c r="E11" i="7"/>
  <c r="D11" i="7"/>
  <c r="C11" i="7"/>
  <c r="B11" i="7"/>
  <c r="I10" i="7"/>
  <c r="H10" i="7"/>
  <c r="G10" i="7"/>
  <c r="F10" i="7"/>
  <c r="E10" i="7"/>
  <c r="D10" i="7"/>
  <c r="C10" i="7"/>
  <c r="B10" i="7"/>
  <c r="I9" i="7"/>
  <c r="H9" i="7"/>
  <c r="G9" i="7"/>
  <c r="F9" i="7"/>
  <c r="E9" i="7"/>
  <c r="D9" i="7"/>
  <c r="C9" i="7"/>
  <c r="B9" i="7"/>
  <c r="I8" i="7"/>
  <c r="H8" i="7"/>
  <c r="G8" i="7"/>
  <c r="F8" i="7"/>
  <c r="E8" i="7"/>
  <c r="D8" i="7"/>
  <c r="C8" i="7"/>
  <c r="B8" i="7"/>
  <c r="I7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I466" i="6"/>
  <c r="H466" i="6"/>
  <c r="G466" i="6"/>
  <c r="F466" i="6"/>
  <c r="E466" i="6"/>
  <c r="D466" i="6"/>
  <c r="C466" i="6"/>
  <c r="B466" i="6"/>
  <c r="I465" i="6"/>
  <c r="H465" i="6"/>
  <c r="G465" i="6"/>
  <c r="F465" i="6"/>
  <c r="E465" i="6"/>
  <c r="D465" i="6"/>
  <c r="C465" i="6"/>
  <c r="B465" i="6"/>
  <c r="I464" i="6"/>
  <c r="H464" i="6"/>
  <c r="G464" i="6"/>
  <c r="F464" i="6"/>
  <c r="E464" i="6"/>
  <c r="D464" i="6"/>
  <c r="C464" i="6"/>
  <c r="B464" i="6"/>
  <c r="I463" i="6"/>
  <c r="H463" i="6"/>
  <c r="G463" i="6"/>
  <c r="F463" i="6"/>
  <c r="E463" i="6"/>
  <c r="D463" i="6"/>
  <c r="C463" i="6"/>
  <c r="B463" i="6"/>
  <c r="I462" i="6"/>
  <c r="H462" i="6"/>
  <c r="G462" i="6"/>
  <c r="F462" i="6"/>
  <c r="E462" i="6"/>
  <c r="D462" i="6"/>
  <c r="C462" i="6"/>
  <c r="B462" i="6"/>
  <c r="I461" i="6"/>
  <c r="H461" i="6"/>
  <c r="G461" i="6"/>
  <c r="F461" i="6"/>
  <c r="E461" i="6"/>
  <c r="D461" i="6"/>
  <c r="C461" i="6"/>
  <c r="B461" i="6"/>
  <c r="I460" i="6"/>
  <c r="H460" i="6"/>
  <c r="G460" i="6"/>
  <c r="F460" i="6"/>
  <c r="E460" i="6"/>
  <c r="D460" i="6"/>
  <c r="C460" i="6"/>
  <c r="B460" i="6"/>
  <c r="I459" i="6"/>
  <c r="H459" i="6"/>
  <c r="G459" i="6"/>
  <c r="F459" i="6"/>
  <c r="E459" i="6"/>
  <c r="D459" i="6"/>
  <c r="C459" i="6"/>
  <c r="B459" i="6"/>
  <c r="I458" i="6"/>
  <c r="H458" i="6"/>
  <c r="G458" i="6"/>
  <c r="F458" i="6"/>
  <c r="E458" i="6"/>
  <c r="D458" i="6"/>
  <c r="C458" i="6"/>
  <c r="B458" i="6"/>
  <c r="I457" i="6"/>
  <c r="H457" i="6"/>
  <c r="G457" i="6"/>
  <c r="F457" i="6"/>
  <c r="E457" i="6"/>
  <c r="D457" i="6"/>
  <c r="C457" i="6"/>
  <c r="B457" i="6"/>
  <c r="I456" i="6"/>
  <c r="H456" i="6"/>
  <c r="G456" i="6"/>
  <c r="F456" i="6"/>
  <c r="E456" i="6"/>
  <c r="D456" i="6"/>
  <c r="C456" i="6"/>
  <c r="B456" i="6"/>
  <c r="I455" i="6"/>
  <c r="H455" i="6"/>
  <c r="G455" i="6"/>
  <c r="F455" i="6"/>
  <c r="E455" i="6"/>
  <c r="D455" i="6"/>
  <c r="C455" i="6"/>
  <c r="B455" i="6"/>
  <c r="I454" i="6"/>
  <c r="H454" i="6"/>
  <c r="G454" i="6"/>
  <c r="F454" i="6"/>
  <c r="E454" i="6"/>
  <c r="D454" i="6"/>
  <c r="C454" i="6"/>
  <c r="B454" i="6"/>
  <c r="I453" i="6"/>
  <c r="H453" i="6"/>
  <c r="G453" i="6"/>
  <c r="F453" i="6"/>
  <c r="E453" i="6"/>
  <c r="D453" i="6"/>
  <c r="C453" i="6"/>
  <c r="B453" i="6"/>
  <c r="I452" i="6"/>
  <c r="H452" i="6"/>
  <c r="G452" i="6"/>
  <c r="F452" i="6"/>
  <c r="E452" i="6"/>
  <c r="D452" i="6"/>
  <c r="C452" i="6"/>
  <c r="B452" i="6"/>
  <c r="I451" i="6"/>
  <c r="H451" i="6"/>
  <c r="G451" i="6"/>
  <c r="F451" i="6"/>
  <c r="E451" i="6"/>
  <c r="D451" i="6"/>
  <c r="C451" i="6"/>
  <c r="B451" i="6"/>
  <c r="I450" i="6"/>
  <c r="H450" i="6"/>
  <c r="G450" i="6"/>
  <c r="F450" i="6"/>
  <c r="E450" i="6"/>
  <c r="D450" i="6"/>
  <c r="C450" i="6"/>
  <c r="B450" i="6"/>
  <c r="I449" i="6"/>
  <c r="H449" i="6"/>
  <c r="G449" i="6"/>
  <c r="F449" i="6"/>
  <c r="E449" i="6"/>
  <c r="D449" i="6"/>
  <c r="C449" i="6"/>
  <c r="B449" i="6"/>
  <c r="I448" i="6"/>
  <c r="H448" i="6"/>
  <c r="G448" i="6"/>
  <c r="F448" i="6"/>
  <c r="E448" i="6"/>
  <c r="D448" i="6"/>
  <c r="C448" i="6"/>
  <c r="B448" i="6"/>
  <c r="I447" i="6"/>
  <c r="H447" i="6"/>
  <c r="G447" i="6"/>
  <c r="F447" i="6"/>
  <c r="E447" i="6"/>
  <c r="D447" i="6"/>
  <c r="C447" i="6"/>
  <c r="B447" i="6"/>
  <c r="I446" i="6"/>
  <c r="H446" i="6"/>
  <c r="G446" i="6"/>
  <c r="F446" i="6"/>
  <c r="E446" i="6"/>
  <c r="D446" i="6"/>
  <c r="C446" i="6"/>
  <c r="B446" i="6"/>
  <c r="I445" i="6"/>
  <c r="H445" i="6"/>
  <c r="G445" i="6"/>
  <c r="F445" i="6"/>
  <c r="E445" i="6"/>
  <c r="D445" i="6"/>
  <c r="C445" i="6"/>
  <c r="B445" i="6"/>
  <c r="I444" i="6"/>
  <c r="H444" i="6"/>
  <c r="G444" i="6"/>
  <c r="F444" i="6"/>
  <c r="E444" i="6"/>
  <c r="D444" i="6"/>
  <c r="C444" i="6"/>
  <c r="B444" i="6"/>
  <c r="I443" i="6"/>
  <c r="H443" i="6"/>
  <c r="G443" i="6"/>
  <c r="F443" i="6"/>
  <c r="E443" i="6"/>
  <c r="D443" i="6"/>
  <c r="C443" i="6"/>
  <c r="B443" i="6"/>
  <c r="I442" i="6"/>
  <c r="H442" i="6"/>
  <c r="G442" i="6"/>
  <c r="F442" i="6"/>
  <c r="E442" i="6"/>
  <c r="D442" i="6"/>
  <c r="C442" i="6"/>
  <c r="B442" i="6"/>
  <c r="I441" i="6"/>
  <c r="H441" i="6"/>
  <c r="G441" i="6"/>
  <c r="F441" i="6"/>
  <c r="E441" i="6"/>
  <c r="D441" i="6"/>
  <c r="C441" i="6"/>
  <c r="B441" i="6"/>
  <c r="I440" i="6"/>
  <c r="H440" i="6"/>
  <c r="G440" i="6"/>
  <c r="F440" i="6"/>
  <c r="E440" i="6"/>
  <c r="D440" i="6"/>
  <c r="C440" i="6"/>
  <c r="B440" i="6"/>
  <c r="I439" i="6"/>
  <c r="H439" i="6"/>
  <c r="G439" i="6"/>
  <c r="F439" i="6"/>
  <c r="E439" i="6"/>
  <c r="D439" i="6"/>
  <c r="C439" i="6"/>
  <c r="B439" i="6"/>
  <c r="I438" i="6"/>
  <c r="H438" i="6"/>
  <c r="G438" i="6"/>
  <c r="F438" i="6"/>
  <c r="E438" i="6"/>
  <c r="D438" i="6"/>
  <c r="C438" i="6"/>
  <c r="B438" i="6"/>
  <c r="I437" i="6"/>
  <c r="H437" i="6"/>
  <c r="G437" i="6"/>
  <c r="F437" i="6"/>
  <c r="E437" i="6"/>
  <c r="D437" i="6"/>
  <c r="C437" i="6"/>
  <c r="B437" i="6"/>
  <c r="I436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I426" i="6"/>
  <c r="H426" i="6"/>
  <c r="G426" i="6"/>
  <c r="F426" i="6"/>
  <c r="E426" i="6"/>
  <c r="D426" i="6"/>
  <c r="C426" i="6"/>
  <c r="B426" i="6"/>
  <c r="I425" i="6"/>
  <c r="H425" i="6"/>
  <c r="G425" i="6"/>
  <c r="F425" i="6"/>
  <c r="E425" i="6"/>
  <c r="D425" i="6"/>
  <c r="C425" i="6"/>
  <c r="B425" i="6"/>
  <c r="I424" i="6"/>
  <c r="H424" i="6"/>
  <c r="G424" i="6"/>
  <c r="F424" i="6"/>
  <c r="E424" i="6"/>
  <c r="D424" i="6"/>
  <c r="C424" i="6"/>
  <c r="B424" i="6"/>
  <c r="I423" i="6"/>
  <c r="H423" i="6"/>
  <c r="G423" i="6"/>
  <c r="F423" i="6"/>
  <c r="E423" i="6"/>
  <c r="D423" i="6"/>
  <c r="C423" i="6"/>
  <c r="B423" i="6"/>
  <c r="I422" i="6"/>
  <c r="H422" i="6"/>
  <c r="G422" i="6"/>
  <c r="F422" i="6"/>
  <c r="E422" i="6"/>
  <c r="D422" i="6"/>
  <c r="C422" i="6"/>
  <c r="B422" i="6"/>
  <c r="I421" i="6"/>
  <c r="H421" i="6"/>
  <c r="G421" i="6"/>
  <c r="F421" i="6"/>
  <c r="E421" i="6"/>
  <c r="D421" i="6"/>
  <c r="C421" i="6"/>
  <c r="B421" i="6"/>
  <c r="I420" i="6"/>
  <c r="H420" i="6"/>
  <c r="G420" i="6"/>
  <c r="F420" i="6"/>
  <c r="E420" i="6"/>
  <c r="D420" i="6"/>
  <c r="C420" i="6"/>
  <c r="B420" i="6"/>
  <c r="I419" i="6"/>
  <c r="H419" i="6"/>
  <c r="G419" i="6"/>
  <c r="F419" i="6"/>
  <c r="E419" i="6"/>
  <c r="D419" i="6"/>
  <c r="C419" i="6"/>
  <c r="B419" i="6"/>
  <c r="I418" i="6"/>
  <c r="H418" i="6"/>
  <c r="G418" i="6"/>
  <c r="F418" i="6"/>
  <c r="E418" i="6"/>
  <c r="D418" i="6"/>
  <c r="C418" i="6"/>
  <c r="B418" i="6"/>
  <c r="I417" i="6"/>
  <c r="H417" i="6"/>
  <c r="G417" i="6"/>
  <c r="F417" i="6"/>
  <c r="E417" i="6"/>
  <c r="D417" i="6"/>
  <c r="C417" i="6"/>
  <c r="B417" i="6"/>
  <c r="I416" i="6"/>
  <c r="H416" i="6"/>
  <c r="G416" i="6"/>
  <c r="F416" i="6"/>
  <c r="E416" i="6"/>
  <c r="D416" i="6"/>
  <c r="C416" i="6"/>
  <c r="B416" i="6"/>
  <c r="I415" i="6"/>
  <c r="H415" i="6"/>
  <c r="G415" i="6"/>
  <c r="F415" i="6"/>
  <c r="E415" i="6"/>
  <c r="D415" i="6"/>
  <c r="C415" i="6"/>
  <c r="B415" i="6"/>
  <c r="I414" i="6"/>
  <c r="H414" i="6"/>
  <c r="G414" i="6"/>
  <c r="F414" i="6"/>
  <c r="E414" i="6"/>
  <c r="D414" i="6"/>
  <c r="C414" i="6"/>
  <c r="B414" i="6"/>
  <c r="I413" i="6"/>
  <c r="H413" i="6"/>
  <c r="G413" i="6"/>
  <c r="F413" i="6"/>
  <c r="E413" i="6"/>
  <c r="D413" i="6"/>
  <c r="C413" i="6"/>
  <c r="B413" i="6"/>
  <c r="I412" i="6"/>
  <c r="H412" i="6"/>
  <c r="G412" i="6"/>
  <c r="F412" i="6"/>
  <c r="E412" i="6"/>
  <c r="D412" i="6"/>
  <c r="C412" i="6"/>
  <c r="B412" i="6"/>
  <c r="I411" i="6"/>
  <c r="H411" i="6"/>
  <c r="G411" i="6"/>
  <c r="F411" i="6"/>
  <c r="E411" i="6"/>
  <c r="D411" i="6"/>
  <c r="C411" i="6"/>
  <c r="B411" i="6"/>
  <c r="I410" i="6"/>
  <c r="H410" i="6"/>
  <c r="G410" i="6"/>
  <c r="F410" i="6"/>
  <c r="E410" i="6"/>
  <c r="D410" i="6"/>
  <c r="C410" i="6"/>
  <c r="B410" i="6"/>
  <c r="I409" i="6"/>
  <c r="H409" i="6"/>
  <c r="G409" i="6"/>
  <c r="F409" i="6"/>
  <c r="E409" i="6"/>
  <c r="D409" i="6"/>
  <c r="C409" i="6"/>
  <c r="B409" i="6"/>
  <c r="I408" i="6"/>
  <c r="H408" i="6"/>
  <c r="G408" i="6"/>
  <c r="F408" i="6"/>
  <c r="E408" i="6"/>
  <c r="D408" i="6"/>
  <c r="C408" i="6"/>
  <c r="B408" i="6"/>
  <c r="I407" i="6"/>
  <c r="H407" i="6"/>
  <c r="G407" i="6"/>
  <c r="F407" i="6"/>
  <c r="E407" i="6"/>
  <c r="D407" i="6"/>
  <c r="C407" i="6"/>
  <c r="B407" i="6"/>
  <c r="I406" i="6"/>
  <c r="H406" i="6"/>
  <c r="G406" i="6"/>
  <c r="F406" i="6"/>
  <c r="E406" i="6"/>
  <c r="D406" i="6"/>
  <c r="C406" i="6"/>
  <c r="B406" i="6"/>
  <c r="I405" i="6"/>
  <c r="H405" i="6"/>
  <c r="G405" i="6"/>
  <c r="F405" i="6"/>
  <c r="E405" i="6"/>
  <c r="D405" i="6"/>
  <c r="C405" i="6"/>
  <c r="B405" i="6"/>
  <c r="I404" i="6"/>
  <c r="H404" i="6"/>
  <c r="G404" i="6"/>
  <c r="F404" i="6"/>
  <c r="E404" i="6"/>
  <c r="D404" i="6"/>
  <c r="C404" i="6"/>
  <c r="B404" i="6"/>
  <c r="I403" i="6"/>
  <c r="H403" i="6"/>
  <c r="G403" i="6"/>
  <c r="F403" i="6"/>
  <c r="E403" i="6"/>
  <c r="D403" i="6"/>
  <c r="C403" i="6"/>
  <c r="B403" i="6"/>
  <c r="I402" i="6"/>
  <c r="H402" i="6"/>
  <c r="G402" i="6"/>
  <c r="F402" i="6"/>
  <c r="E402" i="6"/>
  <c r="D402" i="6"/>
  <c r="C402" i="6"/>
  <c r="B402" i="6"/>
  <c r="I401" i="6"/>
  <c r="H401" i="6"/>
  <c r="G401" i="6"/>
  <c r="F401" i="6"/>
  <c r="E401" i="6"/>
  <c r="D401" i="6"/>
  <c r="C401" i="6"/>
  <c r="B401" i="6"/>
  <c r="I400" i="6"/>
  <c r="H400" i="6"/>
  <c r="G400" i="6"/>
  <c r="F400" i="6"/>
  <c r="E400" i="6"/>
  <c r="D400" i="6"/>
  <c r="C400" i="6"/>
  <c r="B400" i="6"/>
  <c r="I399" i="6"/>
  <c r="H399" i="6"/>
  <c r="G399" i="6"/>
  <c r="F399" i="6"/>
  <c r="E399" i="6"/>
  <c r="D399" i="6"/>
  <c r="C399" i="6"/>
  <c r="B399" i="6"/>
  <c r="I398" i="6"/>
  <c r="H398" i="6"/>
  <c r="G398" i="6"/>
  <c r="F398" i="6"/>
  <c r="E398" i="6"/>
  <c r="D398" i="6"/>
  <c r="C398" i="6"/>
  <c r="B398" i="6"/>
  <c r="I397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I388" i="6"/>
  <c r="H388" i="6"/>
  <c r="G388" i="6"/>
  <c r="F388" i="6"/>
  <c r="E388" i="6"/>
  <c r="D388" i="6"/>
  <c r="C388" i="6"/>
  <c r="B388" i="6"/>
  <c r="I387" i="6"/>
  <c r="H387" i="6"/>
  <c r="G387" i="6"/>
  <c r="F387" i="6"/>
  <c r="E387" i="6"/>
  <c r="D387" i="6"/>
  <c r="C387" i="6"/>
  <c r="B387" i="6"/>
  <c r="I386" i="6"/>
  <c r="H386" i="6"/>
  <c r="G386" i="6"/>
  <c r="F386" i="6"/>
  <c r="E386" i="6"/>
  <c r="D386" i="6"/>
  <c r="C386" i="6"/>
  <c r="B386" i="6"/>
  <c r="I385" i="6"/>
  <c r="H385" i="6"/>
  <c r="G385" i="6"/>
  <c r="F385" i="6"/>
  <c r="E385" i="6"/>
  <c r="D385" i="6"/>
  <c r="C385" i="6"/>
  <c r="B385" i="6"/>
  <c r="I384" i="6"/>
  <c r="H384" i="6"/>
  <c r="G384" i="6"/>
  <c r="F384" i="6"/>
  <c r="E384" i="6"/>
  <c r="D384" i="6"/>
  <c r="C384" i="6"/>
  <c r="B384" i="6"/>
  <c r="I383" i="6"/>
  <c r="H383" i="6"/>
  <c r="G383" i="6"/>
  <c r="F383" i="6"/>
  <c r="E383" i="6"/>
  <c r="D383" i="6"/>
  <c r="C383" i="6"/>
  <c r="B383" i="6"/>
  <c r="I382" i="6"/>
  <c r="H382" i="6"/>
  <c r="G382" i="6"/>
  <c r="F382" i="6"/>
  <c r="E382" i="6"/>
  <c r="D382" i="6"/>
  <c r="C382" i="6"/>
  <c r="B382" i="6"/>
  <c r="I381" i="6"/>
  <c r="H381" i="6"/>
  <c r="G381" i="6"/>
  <c r="F381" i="6"/>
  <c r="E381" i="6"/>
  <c r="D381" i="6"/>
  <c r="C381" i="6"/>
  <c r="B381" i="6"/>
  <c r="I380" i="6"/>
  <c r="H380" i="6"/>
  <c r="G380" i="6"/>
  <c r="F380" i="6"/>
  <c r="E380" i="6"/>
  <c r="D380" i="6"/>
  <c r="C380" i="6"/>
  <c r="B380" i="6"/>
  <c r="I379" i="6"/>
  <c r="H379" i="6"/>
  <c r="G379" i="6"/>
  <c r="F379" i="6"/>
  <c r="E379" i="6"/>
  <c r="D379" i="6"/>
  <c r="C379" i="6"/>
  <c r="B379" i="6"/>
  <c r="I378" i="6"/>
  <c r="H378" i="6"/>
  <c r="G378" i="6"/>
  <c r="F378" i="6"/>
  <c r="E378" i="6"/>
  <c r="D378" i="6"/>
  <c r="C378" i="6"/>
  <c r="B378" i="6"/>
  <c r="I377" i="6"/>
  <c r="H377" i="6"/>
  <c r="G377" i="6"/>
  <c r="F377" i="6"/>
  <c r="E377" i="6"/>
  <c r="D377" i="6"/>
  <c r="C377" i="6"/>
  <c r="B377" i="6"/>
  <c r="I376" i="6"/>
  <c r="H376" i="6"/>
  <c r="G376" i="6"/>
  <c r="F376" i="6"/>
  <c r="E376" i="6"/>
  <c r="D376" i="6"/>
  <c r="C376" i="6"/>
  <c r="B376" i="6"/>
  <c r="I375" i="6"/>
  <c r="H375" i="6"/>
  <c r="G375" i="6"/>
  <c r="F375" i="6"/>
  <c r="E375" i="6"/>
  <c r="D375" i="6"/>
  <c r="C375" i="6"/>
  <c r="B375" i="6"/>
  <c r="I374" i="6"/>
  <c r="H374" i="6"/>
  <c r="G374" i="6"/>
  <c r="F374" i="6"/>
  <c r="E374" i="6"/>
  <c r="D374" i="6"/>
  <c r="C374" i="6"/>
  <c r="B374" i="6"/>
  <c r="I373" i="6"/>
  <c r="H373" i="6"/>
  <c r="G373" i="6"/>
  <c r="F373" i="6"/>
  <c r="E373" i="6"/>
  <c r="D373" i="6"/>
  <c r="C373" i="6"/>
  <c r="B373" i="6"/>
  <c r="I372" i="6"/>
  <c r="H372" i="6"/>
  <c r="G372" i="6"/>
  <c r="F372" i="6"/>
  <c r="E372" i="6"/>
  <c r="D372" i="6"/>
  <c r="C372" i="6"/>
  <c r="B372" i="6"/>
  <c r="I371" i="6"/>
  <c r="H371" i="6"/>
  <c r="G371" i="6"/>
  <c r="F371" i="6"/>
  <c r="E371" i="6"/>
  <c r="D371" i="6"/>
  <c r="C371" i="6"/>
  <c r="B371" i="6"/>
  <c r="I370" i="6"/>
  <c r="H370" i="6"/>
  <c r="G370" i="6"/>
  <c r="F370" i="6"/>
  <c r="E370" i="6"/>
  <c r="D370" i="6"/>
  <c r="C370" i="6"/>
  <c r="B370" i="6"/>
  <c r="I369" i="6"/>
  <c r="H369" i="6"/>
  <c r="G369" i="6"/>
  <c r="F369" i="6"/>
  <c r="E369" i="6"/>
  <c r="D369" i="6"/>
  <c r="C369" i="6"/>
  <c r="B369" i="6"/>
  <c r="I368" i="6"/>
  <c r="H368" i="6"/>
  <c r="G368" i="6"/>
  <c r="F368" i="6"/>
  <c r="E368" i="6"/>
  <c r="D368" i="6"/>
  <c r="C368" i="6"/>
  <c r="B368" i="6"/>
  <c r="I367" i="6"/>
  <c r="H367" i="6"/>
  <c r="G367" i="6"/>
  <c r="F367" i="6"/>
  <c r="E367" i="6"/>
  <c r="D367" i="6"/>
  <c r="C367" i="6"/>
  <c r="B367" i="6"/>
  <c r="I366" i="6"/>
  <c r="H366" i="6"/>
  <c r="G366" i="6"/>
  <c r="F366" i="6"/>
  <c r="E366" i="6"/>
  <c r="D366" i="6"/>
  <c r="C366" i="6"/>
  <c r="B366" i="6"/>
  <c r="I365" i="6"/>
  <c r="H365" i="6"/>
  <c r="G365" i="6"/>
  <c r="F365" i="6"/>
  <c r="E365" i="6"/>
  <c r="D365" i="6"/>
  <c r="C365" i="6"/>
  <c r="B365" i="6"/>
  <c r="I364" i="6"/>
  <c r="H364" i="6"/>
  <c r="G364" i="6"/>
  <c r="F364" i="6"/>
  <c r="E364" i="6"/>
  <c r="D364" i="6"/>
  <c r="C364" i="6"/>
  <c r="B364" i="6"/>
  <c r="I363" i="6"/>
  <c r="H363" i="6"/>
  <c r="G363" i="6"/>
  <c r="F363" i="6"/>
  <c r="E363" i="6"/>
  <c r="D363" i="6"/>
  <c r="C363" i="6"/>
  <c r="B363" i="6"/>
  <c r="I362" i="6"/>
  <c r="H362" i="6"/>
  <c r="G362" i="6"/>
  <c r="F362" i="6"/>
  <c r="E362" i="6"/>
  <c r="D362" i="6"/>
  <c r="C362" i="6"/>
  <c r="B362" i="6"/>
  <c r="I361" i="6"/>
  <c r="H361" i="6"/>
  <c r="G361" i="6"/>
  <c r="F361" i="6"/>
  <c r="E361" i="6"/>
  <c r="D361" i="6"/>
  <c r="C361" i="6"/>
  <c r="B361" i="6"/>
  <c r="I360" i="6"/>
  <c r="H360" i="6"/>
  <c r="G360" i="6"/>
  <c r="F360" i="6"/>
  <c r="E360" i="6"/>
  <c r="D360" i="6"/>
  <c r="C360" i="6"/>
  <c r="B360" i="6"/>
  <c r="I359" i="6"/>
  <c r="H359" i="6"/>
  <c r="G359" i="6"/>
  <c r="F359" i="6"/>
  <c r="E359" i="6"/>
  <c r="D359" i="6"/>
  <c r="C359" i="6"/>
  <c r="B359" i="6"/>
  <c r="I358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I348" i="6"/>
  <c r="H348" i="6"/>
  <c r="G348" i="6"/>
  <c r="F348" i="6"/>
  <c r="E348" i="6"/>
  <c r="D348" i="6"/>
  <c r="C348" i="6"/>
  <c r="B348" i="6"/>
  <c r="I347" i="6"/>
  <c r="H347" i="6"/>
  <c r="G347" i="6"/>
  <c r="F347" i="6"/>
  <c r="E347" i="6"/>
  <c r="D347" i="6"/>
  <c r="C347" i="6"/>
  <c r="B347" i="6"/>
  <c r="I346" i="6"/>
  <c r="H346" i="6"/>
  <c r="G346" i="6"/>
  <c r="F346" i="6"/>
  <c r="E346" i="6"/>
  <c r="D346" i="6"/>
  <c r="C346" i="6"/>
  <c r="B346" i="6"/>
  <c r="I345" i="6"/>
  <c r="H345" i="6"/>
  <c r="G345" i="6"/>
  <c r="F345" i="6"/>
  <c r="E345" i="6"/>
  <c r="D345" i="6"/>
  <c r="C345" i="6"/>
  <c r="B345" i="6"/>
  <c r="I344" i="6"/>
  <c r="H344" i="6"/>
  <c r="G344" i="6"/>
  <c r="F344" i="6"/>
  <c r="E344" i="6"/>
  <c r="D344" i="6"/>
  <c r="C344" i="6"/>
  <c r="B344" i="6"/>
  <c r="I343" i="6"/>
  <c r="H343" i="6"/>
  <c r="G343" i="6"/>
  <c r="F343" i="6"/>
  <c r="E343" i="6"/>
  <c r="D343" i="6"/>
  <c r="C343" i="6"/>
  <c r="B343" i="6"/>
  <c r="I342" i="6"/>
  <c r="H342" i="6"/>
  <c r="G342" i="6"/>
  <c r="F342" i="6"/>
  <c r="E342" i="6"/>
  <c r="D342" i="6"/>
  <c r="C342" i="6"/>
  <c r="B342" i="6"/>
  <c r="I341" i="6"/>
  <c r="H341" i="6"/>
  <c r="G341" i="6"/>
  <c r="F341" i="6"/>
  <c r="E341" i="6"/>
  <c r="D341" i="6"/>
  <c r="C341" i="6"/>
  <c r="B341" i="6"/>
  <c r="I340" i="6"/>
  <c r="H340" i="6"/>
  <c r="G340" i="6"/>
  <c r="F340" i="6"/>
  <c r="E340" i="6"/>
  <c r="D340" i="6"/>
  <c r="C340" i="6"/>
  <c r="B340" i="6"/>
  <c r="I339" i="6"/>
  <c r="H339" i="6"/>
  <c r="G339" i="6"/>
  <c r="F339" i="6"/>
  <c r="E339" i="6"/>
  <c r="D339" i="6"/>
  <c r="C339" i="6"/>
  <c r="B339" i="6"/>
  <c r="I338" i="6"/>
  <c r="H338" i="6"/>
  <c r="G338" i="6"/>
  <c r="F338" i="6"/>
  <c r="E338" i="6"/>
  <c r="D338" i="6"/>
  <c r="C338" i="6"/>
  <c r="B338" i="6"/>
  <c r="I337" i="6"/>
  <c r="H337" i="6"/>
  <c r="G337" i="6"/>
  <c r="F337" i="6"/>
  <c r="E337" i="6"/>
  <c r="D337" i="6"/>
  <c r="C337" i="6"/>
  <c r="B337" i="6"/>
  <c r="I336" i="6"/>
  <c r="H336" i="6"/>
  <c r="G336" i="6"/>
  <c r="F336" i="6"/>
  <c r="E336" i="6"/>
  <c r="D336" i="6"/>
  <c r="C336" i="6"/>
  <c r="B336" i="6"/>
  <c r="I335" i="6"/>
  <c r="H335" i="6"/>
  <c r="G335" i="6"/>
  <c r="F335" i="6"/>
  <c r="E335" i="6"/>
  <c r="D335" i="6"/>
  <c r="C335" i="6"/>
  <c r="B335" i="6"/>
  <c r="I334" i="6"/>
  <c r="H334" i="6"/>
  <c r="G334" i="6"/>
  <c r="F334" i="6"/>
  <c r="E334" i="6"/>
  <c r="D334" i="6"/>
  <c r="C334" i="6"/>
  <c r="B334" i="6"/>
  <c r="I333" i="6"/>
  <c r="H333" i="6"/>
  <c r="G333" i="6"/>
  <c r="F333" i="6"/>
  <c r="E333" i="6"/>
  <c r="D333" i="6"/>
  <c r="C333" i="6"/>
  <c r="B333" i="6"/>
  <c r="I332" i="6"/>
  <c r="H332" i="6"/>
  <c r="G332" i="6"/>
  <c r="F332" i="6"/>
  <c r="E332" i="6"/>
  <c r="D332" i="6"/>
  <c r="C332" i="6"/>
  <c r="B332" i="6"/>
  <c r="I331" i="6"/>
  <c r="H331" i="6"/>
  <c r="G331" i="6"/>
  <c r="F331" i="6"/>
  <c r="E331" i="6"/>
  <c r="D331" i="6"/>
  <c r="C331" i="6"/>
  <c r="B331" i="6"/>
  <c r="I330" i="6"/>
  <c r="H330" i="6"/>
  <c r="G330" i="6"/>
  <c r="F330" i="6"/>
  <c r="E330" i="6"/>
  <c r="D330" i="6"/>
  <c r="C330" i="6"/>
  <c r="B330" i="6"/>
  <c r="I329" i="6"/>
  <c r="H329" i="6"/>
  <c r="G329" i="6"/>
  <c r="F329" i="6"/>
  <c r="E329" i="6"/>
  <c r="D329" i="6"/>
  <c r="C329" i="6"/>
  <c r="B329" i="6"/>
  <c r="I328" i="6"/>
  <c r="H328" i="6"/>
  <c r="G328" i="6"/>
  <c r="F328" i="6"/>
  <c r="E328" i="6"/>
  <c r="D328" i="6"/>
  <c r="C328" i="6"/>
  <c r="B328" i="6"/>
  <c r="I327" i="6"/>
  <c r="H327" i="6"/>
  <c r="G327" i="6"/>
  <c r="F327" i="6"/>
  <c r="E327" i="6"/>
  <c r="D327" i="6"/>
  <c r="C327" i="6"/>
  <c r="B327" i="6"/>
  <c r="I326" i="6"/>
  <c r="H326" i="6"/>
  <c r="G326" i="6"/>
  <c r="F326" i="6"/>
  <c r="E326" i="6"/>
  <c r="D326" i="6"/>
  <c r="C326" i="6"/>
  <c r="B326" i="6"/>
  <c r="I325" i="6"/>
  <c r="H325" i="6"/>
  <c r="G325" i="6"/>
  <c r="F325" i="6"/>
  <c r="E325" i="6"/>
  <c r="D325" i="6"/>
  <c r="C325" i="6"/>
  <c r="B325" i="6"/>
  <c r="I324" i="6"/>
  <c r="H324" i="6"/>
  <c r="G324" i="6"/>
  <c r="F324" i="6"/>
  <c r="E324" i="6"/>
  <c r="D324" i="6"/>
  <c r="C324" i="6"/>
  <c r="B324" i="6"/>
  <c r="I323" i="6"/>
  <c r="H323" i="6"/>
  <c r="G323" i="6"/>
  <c r="F323" i="6"/>
  <c r="E323" i="6"/>
  <c r="D323" i="6"/>
  <c r="C323" i="6"/>
  <c r="B323" i="6"/>
  <c r="I322" i="6"/>
  <c r="H322" i="6"/>
  <c r="G322" i="6"/>
  <c r="F322" i="6"/>
  <c r="E322" i="6"/>
  <c r="D322" i="6"/>
  <c r="C322" i="6"/>
  <c r="B322" i="6"/>
  <c r="I321" i="6"/>
  <c r="H321" i="6"/>
  <c r="G321" i="6"/>
  <c r="F321" i="6"/>
  <c r="E321" i="6"/>
  <c r="D321" i="6"/>
  <c r="C321" i="6"/>
  <c r="B321" i="6"/>
  <c r="I320" i="6"/>
  <c r="H320" i="6"/>
  <c r="G320" i="6"/>
  <c r="F320" i="6"/>
  <c r="E320" i="6"/>
  <c r="D320" i="6"/>
  <c r="C320" i="6"/>
  <c r="B320" i="6"/>
  <c r="I319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I310" i="6"/>
  <c r="H310" i="6"/>
  <c r="G310" i="6"/>
  <c r="F310" i="6"/>
  <c r="E310" i="6"/>
  <c r="D310" i="6"/>
  <c r="C310" i="6"/>
  <c r="B310" i="6"/>
  <c r="I309" i="6"/>
  <c r="H309" i="6"/>
  <c r="G309" i="6"/>
  <c r="F309" i="6"/>
  <c r="E309" i="6"/>
  <c r="D309" i="6"/>
  <c r="C309" i="6"/>
  <c r="B309" i="6"/>
  <c r="I308" i="6"/>
  <c r="H308" i="6"/>
  <c r="G308" i="6"/>
  <c r="F308" i="6"/>
  <c r="E308" i="6"/>
  <c r="D308" i="6"/>
  <c r="C308" i="6"/>
  <c r="B308" i="6"/>
  <c r="I307" i="6"/>
  <c r="H307" i="6"/>
  <c r="G307" i="6"/>
  <c r="F307" i="6"/>
  <c r="E307" i="6"/>
  <c r="D307" i="6"/>
  <c r="C307" i="6"/>
  <c r="B307" i="6"/>
  <c r="I306" i="6"/>
  <c r="H306" i="6"/>
  <c r="G306" i="6"/>
  <c r="F306" i="6"/>
  <c r="E306" i="6"/>
  <c r="D306" i="6"/>
  <c r="C306" i="6"/>
  <c r="B306" i="6"/>
  <c r="I305" i="6"/>
  <c r="H305" i="6"/>
  <c r="G305" i="6"/>
  <c r="F305" i="6"/>
  <c r="E305" i="6"/>
  <c r="D305" i="6"/>
  <c r="C305" i="6"/>
  <c r="B305" i="6"/>
  <c r="I304" i="6"/>
  <c r="H304" i="6"/>
  <c r="G304" i="6"/>
  <c r="F304" i="6"/>
  <c r="E304" i="6"/>
  <c r="D304" i="6"/>
  <c r="C304" i="6"/>
  <c r="B304" i="6"/>
  <c r="I303" i="6"/>
  <c r="H303" i="6"/>
  <c r="G303" i="6"/>
  <c r="F303" i="6"/>
  <c r="E303" i="6"/>
  <c r="D303" i="6"/>
  <c r="C303" i="6"/>
  <c r="B303" i="6"/>
  <c r="I302" i="6"/>
  <c r="H302" i="6"/>
  <c r="G302" i="6"/>
  <c r="F302" i="6"/>
  <c r="E302" i="6"/>
  <c r="D302" i="6"/>
  <c r="C302" i="6"/>
  <c r="B302" i="6"/>
  <c r="I301" i="6"/>
  <c r="H301" i="6"/>
  <c r="G301" i="6"/>
  <c r="F301" i="6"/>
  <c r="E301" i="6"/>
  <c r="D301" i="6"/>
  <c r="C301" i="6"/>
  <c r="B301" i="6"/>
  <c r="I300" i="6"/>
  <c r="H300" i="6"/>
  <c r="G300" i="6"/>
  <c r="F300" i="6"/>
  <c r="E300" i="6"/>
  <c r="D300" i="6"/>
  <c r="C300" i="6"/>
  <c r="B300" i="6"/>
  <c r="I299" i="6"/>
  <c r="H299" i="6"/>
  <c r="G299" i="6"/>
  <c r="F299" i="6"/>
  <c r="E299" i="6"/>
  <c r="D299" i="6"/>
  <c r="C299" i="6"/>
  <c r="B299" i="6"/>
  <c r="I298" i="6"/>
  <c r="H298" i="6"/>
  <c r="G298" i="6"/>
  <c r="F298" i="6"/>
  <c r="E298" i="6"/>
  <c r="D298" i="6"/>
  <c r="C298" i="6"/>
  <c r="B298" i="6"/>
  <c r="I297" i="6"/>
  <c r="H297" i="6"/>
  <c r="G297" i="6"/>
  <c r="F297" i="6"/>
  <c r="E297" i="6"/>
  <c r="D297" i="6"/>
  <c r="C297" i="6"/>
  <c r="B297" i="6"/>
  <c r="I296" i="6"/>
  <c r="H296" i="6"/>
  <c r="G296" i="6"/>
  <c r="F296" i="6"/>
  <c r="E296" i="6"/>
  <c r="D296" i="6"/>
  <c r="C296" i="6"/>
  <c r="B296" i="6"/>
  <c r="I295" i="6"/>
  <c r="H295" i="6"/>
  <c r="G295" i="6"/>
  <c r="F295" i="6"/>
  <c r="E295" i="6"/>
  <c r="D295" i="6"/>
  <c r="C295" i="6"/>
  <c r="B295" i="6"/>
  <c r="I294" i="6"/>
  <c r="H294" i="6"/>
  <c r="G294" i="6"/>
  <c r="F294" i="6"/>
  <c r="E294" i="6"/>
  <c r="D294" i="6"/>
  <c r="C294" i="6"/>
  <c r="B294" i="6"/>
  <c r="I293" i="6"/>
  <c r="H293" i="6"/>
  <c r="G293" i="6"/>
  <c r="F293" i="6"/>
  <c r="E293" i="6"/>
  <c r="D293" i="6"/>
  <c r="C293" i="6"/>
  <c r="B293" i="6"/>
  <c r="I292" i="6"/>
  <c r="H292" i="6"/>
  <c r="G292" i="6"/>
  <c r="F292" i="6"/>
  <c r="E292" i="6"/>
  <c r="D292" i="6"/>
  <c r="C292" i="6"/>
  <c r="B292" i="6"/>
  <c r="I291" i="6"/>
  <c r="H291" i="6"/>
  <c r="G291" i="6"/>
  <c r="F291" i="6"/>
  <c r="E291" i="6"/>
  <c r="D291" i="6"/>
  <c r="C291" i="6"/>
  <c r="B291" i="6"/>
  <c r="I290" i="6"/>
  <c r="H290" i="6"/>
  <c r="G290" i="6"/>
  <c r="F290" i="6"/>
  <c r="E290" i="6"/>
  <c r="D290" i="6"/>
  <c r="C290" i="6"/>
  <c r="B290" i="6"/>
  <c r="I289" i="6"/>
  <c r="H289" i="6"/>
  <c r="G289" i="6"/>
  <c r="F289" i="6"/>
  <c r="E289" i="6"/>
  <c r="D289" i="6"/>
  <c r="C289" i="6"/>
  <c r="B289" i="6"/>
  <c r="I288" i="6"/>
  <c r="H288" i="6"/>
  <c r="G288" i="6"/>
  <c r="F288" i="6"/>
  <c r="E288" i="6"/>
  <c r="D288" i="6"/>
  <c r="C288" i="6"/>
  <c r="B288" i="6"/>
  <c r="I287" i="6"/>
  <c r="H287" i="6"/>
  <c r="G287" i="6"/>
  <c r="F287" i="6"/>
  <c r="E287" i="6"/>
  <c r="D287" i="6"/>
  <c r="C287" i="6"/>
  <c r="B287" i="6"/>
  <c r="I286" i="6"/>
  <c r="H286" i="6"/>
  <c r="G286" i="6"/>
  <c r="F286" i="6"/>
  <c r="E286" i="6"/>
  <c r="D286" i="6"/>
  <c r="C286" i="6"/>
  <c r="B286" i="6"/>
  <c r="I285" i="6"/>
  <c r="H285" i="6"/>
  <c r="G285" i="6"/>
  <c r="F285" i="6"/>
  <c r="E285" i="6"/>
  <c r="D285" i="6"/>
  <c r="C285" i="6"/>
  <c r="B285" i="6"/>
  <c r="I284" i="6"/>
  <c r="H284" i="6"/>
  <c r="G284" i="6"/>
  <c r="F284" i="6"/>
  <c r="E284" i="6"/>
  <c r="D284" i="6"/>
  <c r="C284" i="6"/>
  <c r="B284" i="6"/>
  <c r="I283" i="6"/>
  <c r="H283" i="6"/>
  <c r="G283" i="6"/>
  <c r="F283" i="6"/>
  <c r="E283" i="6"/>
  <c r="D283" i="6"/>
  <c r="C283" i="6"/>
  <c r="B283" i="6"/>
  <c r="I282" i="6"/>
  <c r="H282" i="6"/>
  <c r="G282" i="6"/>
  <c r="F282" i="6"/>
  <c r="E282" i="6"/>
  <c r="D282" i="6"/>
  <c r="C282" i="6"/>
  <c r="B282" i="6"/>
  <c r="I281" i="6"/>
  <c r="H281" i="6"/>
  <c r="G281" i="6"/>
  <c r="F281" i="6"/>
  <c r="E281" i="6"/>
  <c r="D281" i="6"/>
  <c r="C281" i="6"/>
  <c r="B281" i="6"/>
  <c r="I280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I271" i="6"/>
  <c r="H271" i="6"/>
  <c r="G271" i="6"/>
  <c r="F271" i="6"/>
  <c r="E271" i="6"/>
  <c r="D271" i="6"/>
  <c r="C271" i="6"/>
  <c r="B271" i="6"/>
  <c r="I270" i="6"/>
  <c r="H270" i="6"/>
  <c r="G270" i="6"/>
  <c r="F270" i="6"/>
  <c r="E270" i="6"/>
  <c r="D270" i="6"/>
  <c r="C270" i="6"/>
  <c r="B270" i="6"/>
  <c r="I269" i="6"/>
  <c r="H269" i="6"/>
  <c r="G269" i="6"/>
  <c r="F269" i="6"/>
  <c r="E269" i="6"/>
  <c r="D269" i="6"/>
  <c r="C269" i="6"/>
  <c r="B269" i="6"/>
  <c r="I268" i="6"/>
  <c r="H268" i="6"/>
  <c r="G268" i="6"/>
  <c r="F268" i="6"/>
  <c r="E268" i="6"/>
  <c r="D268" i="6"/>
  <c r="C268" i="6"/>
  <c r="B268" i="6"/>
  <c r="I267" i="6"/>
  <c r="H267" i="6"/>
  <c r="G267" i="6"/>
  <c r="F267" i="6"/>
  <c r="E267" i="6"/>
  <c r="D267" i="6"/>
  <c r="C267" i="6"/>
  <c r="B267" i="6"/>
  <c r="I266" i="6"/>
  <c r="H266" i="6"/>
  <c r="G266" i="6"/>
  <c r="F266" i="6"/>
  <c r="E266" i="6"/>
  <c r="D266" i="6"/>
  <c r="C266" i="6"/>
  <c r="B266" i="6"/>
  <c r="I265" i="6"/>
  <c r="H265" i="6"/>
  <c r="G265" i="6"/>
  <c r="F265" i="6"/>
  <c r="E265" i="6"/>
  <c r="D265" i="6"/>
  <c r="C265" i="6"/>
  <c r="B265" i="6"/>
  <c r="I264" i="6"/>
  <c r="H264" i="6"/>
  <c r="G264" i="6"/>
  <c r="F264" i="6"/>
  <c r="E264" i="6"/>
  <c r="D264" i="6"/>
  <c r="C264" i="6"/>
  <c r="B264" i="6"/>
  <c r="I263" i="6"/>
  <c r="H263" i="6"/>
  <c r="G263" i="6"/>
  <c r="F263" i="6"/>
  <c r="E263" i="6"/>
  <c r="D263" i="6"/>
  <c r="C263" i="6"/>
  <c r="B263" i="6"/>
  <c r="I262" i="6"/>
  <c r="H262" i="6"/>
  <c r="G262" i="6"/>
  <c r="F262" i="6"/>
  <c r="E262" i="6"/>
  <c r="D262" i="6"/>
  <c r="C262" i="6"/>
  <c r="B262" i="6"/>
  <c r="I261" i="6"/>
  <c r="H261" i="6"/>
  <c r="G261" i="6"/>
  <c r="F261" i="6"/>
  <c r="E261" i="6"/>
  <c r="D261" i="6"/>
  <c r="C261" i="6"/>
  <c r="B261" i="6"/>
  <c r="I260" i="6"/>
  <c r="H260" i="6"/>
  <c r="G260" i="6"/>
  <c r="F260" i="6"/>
  <c r="E260" i="6"/>
  <c r="D260" i="6"/>
  <c r="C260" i="6"/>
  <c r="B260" i="6"/>
  <c r="I259" i="6"/>
  <c r="H259" i="6"/>
  <c r="G259" i="6"/>
  <c r="F259" i="6"/>
  <c r="E259" i="6"/>
  <c r="D259" i="6"/>
  <c r="C259" i="6"/>
  <c r="B259" i="6"/>
  <c r="I258" i="6"/>
  <c r="H258" i="6"/>
  <c r="G258" i="6"/>
  <c r="F258" i="6"/>
  <c r="E258" i="6"/>
  <c r="D258" i="6"/>
  <c r="C258" i="6"/>
  <c r="B258" i="6"/>
  <c r="I257" i="6"/>
  <c r="H257" i="6"/>
  <c r="G257" i="6"/>
  <c r="F257" i="6"/>
  <c r="E257" i="6"/>
  <c r="D257" i="6"/>
  <c r="C257" i="6"/>
  <c r="B257" i="6"/>
  <c r="I256" i="6"/>
  <c r="H256" i="6"/>
  <c r="G256" i="6"/>
  <c r="F256" i="6"/>
  <c r="E256" i="6"/>
  <c r="D256" i="6"/>
  <c r="C256" i="6"/>
  <c r="B256" i="6"/>
  <c r="I255" i="6"/>
  <c r="H255" i="6"/>
  <c r="G255" i="6"/>
  <c r="F255" i="6"/>
  <c r="E255" i="6"/>
  <c r="D255" i="6"/>
  <c r="C255" i="6"/>
  <c r="B255" i="6"/>
  <c r="I254" i="6"/>
  <c r="H254" i="6"/>
  <c r="G254" i="6"/>
  <c r="F254" i="6"/>
  <c r="E254" i="6"/>
  <c r="D254" i="6"/>
  <c r="C254" i="6"/>
  <c r="B254" i="6"/>
  <c r="I253" i="6"/>
  <c r="H253" i="6"/>
  <c r="G253" i="6"/>
  <c r="F253" i="6"/>
  <c r="E253" i="6"/>
  <c r="D253" i="6"/>
  <c r="C253" i="6"/>
  <c r="B253" i="6"/>
  <c r="I252" i="6"/>
  <c r="H252" i="6"/>
  <c r="G252" i="6"/>
  <c r="F252" i="6"/>
  <c r="E252" i="6"/>
  <c r="D252" i="6"/>
  <c r="C252" i="6"/>
  <c r="B252" i="6"/>
  <c r="I251" i="6"/>
  <c r="H251" i="6"/>
  <c r="G251" i="6"/>
  <c r="F251" i="6"/>
  <c r="E251" i="6"/>
  <c r="D251" i="6"/>
  <c r="C251" i="6"/>
  <c r="B251" i="6"/>
  <c r="I250" i="6"/>
  <c r="H250" i="6"/>
  <c r="G250" i="6"/>
  <c r="F250" i="6"/>
  <c r="E250" i="6"/>
  <c r="D250" i="6"/>
  <c r="C250" i="6"/>
  <c r="B250" i="6"/>
  <c r="I249" i="6"/>
  <c r="H249" i="6"/>
  <c r="G249" i="6"/>
  <c r="F249" i="6"/>
  <c r="E249" i="6"/>
  <c r="D249" i="6"/>
  <c r="C249" i="6"/>
  <c r="B249" i="6"/>
  <c r="I248" i="6"/>
  <c r="H248" i="6"/>
  <c r="G248" i="6"/>
  <c r="F248" i="6"/>
  <c r="E248" i="6"/>
  <c r="D248" i="6"/>
  <c r="C248" i="6"/>
  <c r="B248" i="6"/>
  <c r="I247" i="6"/>
  <c r="H247" i="6"/>
  <c r="G247" i="6"/>
  <c r="F247" i="6"/>
  <c r="E247" i="6"/>
  <c r="D247" i="6"/>
  <c r="C247" i="6"/>
  <c r="B247" i="6"/>
  <c r="I246" i="6"/>
  <c r="H246" i="6"/>
  <c r="G246" i="6"/>
  <c r="F246" i="6"/>
  <c r="E246" i="6"/>
  <c r="D246" i="6"/>
  <c r="C246" i="6"/>
  <c r="B246" i="6"/>
  <c r="I245" i="6"/>
  <c r="H245" i="6"/>
  <c r="G245" i="6"/>
  <c r="F245" i="6"/>
  <c r="E245" i="6"/>
  <c r="D245" i="6"/>
  <c r="C245" i="6"/>
  <c r="B245" i="6"/>
  <c r="I244" i="6"/>
  <c r="H244" i="6"/>
  <c r="G244" i="6"/>
  <c r="F244" i="6"/>
  <c r="E244" i="6"/>
  <c r="D244" i="6"/>
  <c r="C244" i="6"/>
  <c r="B244" i="6"/>
  <c r="I243" i="6"/>
  <c r="H243" i="6"/>
  <c r="G243" i="6"/>
  <c r="F243" i="6"/>
  <c r="E243" i="6"/>
  <c r="D243" i="6"/>
  <c r="C243" i="6"/>
  <c r="B243" i="6"/>
  <c r="I242" i="6"/>
  <c r="H242" i="6"/>
  <c r="G242" i="6"/>
  <c r="F242" i="6"/>
  <c r="E242" i="6"/>
  <c r="D242" i="6"/>
  <c r="C242" i="6"/>
  <c r="B242" i="6"/>
  <c r="I241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I231" i="6"/>
  <c r="H231" i="6"/>
  <c r="G231" i="6"/>
  <c r="F231" i="6"/>
  <c r="E231" i="6"/>
  <c r="D231" i="6"/>
  <c r="C231" i="6"/>
  <c r="B231" i="6"/>
  <c r="I230" i="6"/>
  <c r="H230" i="6"/>
  <c r="G230" i="6"/>
  <c r="F230" i="6"/>
  <c r="E230" i="6"/>
  <c r="D230" i="6"/>
  <c r="C230" i="6"/>
  <c r="B230" i="6"/>
  <c r="I229" i="6"/>
  <c r="H229" i="6"/>
  <c r="G229" i="6"/>
  <c r="F229" i="6"/>
  <c r="E229" i="6"/>
  <c r="D229" i="6"/>
  <c r="C229" i="6"/>
  <c r="B229" i="6"/>
  <c r="I228" i="6"/>
  <c r="H228" i="6"/>
  <c r="G228" i="6"/>
  <c r="F228" i="6"/>
  <c r="E228" i="6"/>
  <c r="D228" i="6"/>
  <c r="C228" i="6"/>
  <c r="B228" i="6"/>
  <c r="I227" i="6"/>
  <c r="H227" i="6"/>
  <c r="G227" i="6"/>
  <c r="F227" i="6"/>
  <c r="E227" i="6"/>
  <c r="D227" i="6"/>
  <c r="C227" i="6"/>
  <c r="B227" i="6"/>
  <c r="I226" i="6"/>
  <c r="H226" i="6"/>
  <c r="G226" i="6"/>
  <c r="F226" i="6"/>
  <c r="E226" i="6"/>
  <c r="D226" i="6"/>
  <c r="C226" i="6"/>
  <c r="B226" i="6"/>
  <c r="I225" i="6"/>
  <c r="H225" i="6"/>
  <c r="G225" i="6"/>
  <c r="F225" i="6"/>
  <c r="E225" i="6"/>
  <c r="D225" i="6"/>
  <c r="C225" i="6"/>
  <c r="B225" i="6"/>
  <c r="I224" i="6"/>
  <c r="H224" i="6"/>
  <c r="G224" i="6"/>
  <c r="F224" i="6"/>
  <c r="E224" i="6"/>
  <c r="D224" i="6"/>
  <c r="C224" i="6"/>
  <c r="B224" i="6"/>
  <c r="I223" i="6"/>
  <c r="H223" i="6"/>
  <c r="G223" i="6"/>
  <c r="F223" i="6"/>
  <c r="E223" i="6"/>
  <c r="D223" i="6"/>
  <c r="C223" i="6"/>
  <c r="B223" i="6"/>
  <c r="I222" i="6"/>
  <c r="H222" i="6"/>
  <c r="G222" i="6"/>
  <c r="F222" i="6"/>
  <c r="E222" i="6"/>
  <c r="D222" i="6"/>
  <c r="C222" i="6"/>
  <c r="B222" i="6"/>
  <c r="I221" i="6"/>
  <c r="H221" i="6"/>
  <c r="G221" i="6"/>
  <c r="F221" i="6"/>
  <c r="E221" i="6"/>
  <c r="D221" i="6"/>
  <c r="C221" i="6"/>
  <c r="B221" i="6"/>
  <c r="I220" i="6"/>
  <c r="H220" i="6"/>
  <c r="G220" i="6"/>
  <c r="F220" i="6"/>
  <c r="E220" i="6"/>
  <c r="D220" i="6"/>
  <c r="C220" i="6"/>
  <c r="B220" i="6"/>
  <c r="I219" i="6"/>
  <c r="H219" i="6"/>
  <c r="G219" i="6"/>
  <c r="F219" i="6"/>
  <c r="E219" i="6"/>
  <c r="D219" i="6"/>
  <c r="C219" i="6"/>
  <c r="B219" i="6"/>
  <c r="I218" i="6"/>
  <c r="H218" i="6"/>
  <c r="G218" i="6"/>
  <c r="F218" i="6"/>
  <c r="E218" i="6"/>
  <c r="D218" i="6"/>
  <c r="C218" i="6"/>
  <c r="B218" i="6"/>
  <c r="I217" i="6"/>
  <c r="H217" i="6"/>
  <c r="G217" i="6"/>
  <c r="F217" i="6"/>
  <c r="E217" i="6"/>
  <c r="D217" i="6"/>
  <c r="C217" i="6"/>
  <c r="B217" i="6"/>
  <c r="I216" i="6"/>
  <c r="H216" i="6"/>
  <c r="G216" i="6"/>
  <c r="F216" i="6"/>
  <c r="E216" i="6"/>
  <c r="D216" i="6"/>
  <c r="C216" i="6"/>
  <c r="B216" i="6"/>
  <c r="I215" i="6"/>
  <c r="H215" i="6"/>
  <c r="G215" i="6"/>
  <c r="F215" i="6"/>
  <c r="E215" i="6"/>
  <c r="D215" i="6"/>
  <c r="C215" i="6"/>
  <c r="B215" i="6"/>
  <c r="I214" i="6"/>
  <c r="H214" i="6"/>
  <c r="G214" i="6"/>
  <c r="F214" i="6"/>
  <c r="E214" i="6"/>
  <c r="D214" i="6"/>
  <c r="C214" i="6"/>
  <c r="B214" i="6"/>
  <c r="I213" i="6"/>
  <c r="H213" i="6"/>
  <c r="G213" i="6"/>
  <c r="F213" i="6"/>
  <c r="E213" i="6"/>
  <c r="D213" i="6"/>
  <c r="C213" i="6"/>
  <c r="B213" i="6"/>
  <c r="I212" i="6"/>
  <c r="H212" i="6"/>
  <c r="G212" i="6"/>
  <c r="F212" i="6"/>
  <c r="E212" i="6"/>
  <c r="D212" i="6"/>
  <c r="C212" i="6"/>
  <c r="B212" i="6"/>
  <c r="I211" i="6"/>
  <c r="H211" i="6"/>
  <c r="G211" i="6"/>
  <c r="F211" i="6"/>
  <c r="E211" i="6"/>
  <c r="D211" i="6"/>
  <c r="C211" i="6"/>
  <c r="B211" i="6"/>
  <c r="I210" i="6"/>
  <c r="H210" i="6"/>
  <c r="G210" i="6"/>
  <c r="F210" i="6"/>
  <c r="E210" i="6"/>
  <c r="D210" i="6"/>
  <c r="C210" i="6"/>
  <c r="B210" i="6"/>
  <c r="I209" i="6"/>
  <c r="H209" i="6"/>
  <c r="G209" i="6"/>
  <c r="F209" i="6"/>
  <c r="E209" i="6"/>
  <c r="D209" i="6"/>
  <c r="C209" i="6"/>
  <c r="B209" i="6"/>
  <c r="I208" i="6"/>
  <c r="H208" i="6"/>
  <c r="G208" i="6"/>
  <c r="F208" i="6"/>
  <c r="E208" i="6"/>
  <c r="D208" i="6"/>
  <c r="C208" i="6"/>
  <c r="B208" i="6"/>
  <c r="I207" i="6"/>
  <c r="H207" i="6"/>
  <c r="G207" i="6"/>
  <c r="F207" i="6"/>
  <c r="E207" i="6"/>
  <c r="D207" i="6"/>
  <c r="C207" i="6"/>
  <c r="B207" i="6"/>
  <c r="I206" i="6"/>
  <c r="H206" i="6"/>
  <c r="G206" i="6"/>
  <c r="F206" i="6"/>
  <c r="E206" i="6"/>
  <c r="D206" i="6"/>
  <c r="C206" i="6"/>
  <c r="B206" i="6"/>
  <c r="I205" i="6"/>
  <c r="H205" i="6"/>
  <c r="G205" i="6"/>
  <c r="F205" i="6"/>
  <c r="E205" i="6"/>
  <c r="D205" i="6"/>
  <c r="C205" i="6"/>
  <c r="B205" i="6"/>
  <c r="I204" i="6"/>
  <c r="H204" i="6"/>
  <c r="G204" i="6"/>
  <c r="F204" i="6"/>
  <c r="E204" i="6"/>
  <c r="D204" i="6"/>
  <c r="C204" i="6"/>
  <c r="B204" i="6"/>
  <c r="I203" i="6"/>
  <c r="H203" i="6"/>
  <c r="G203" i="6"/>
  <c r="F203" i="6"/>
  <c r="E203" i="6"/>
  <c r="D203" i="6"/>
  <c r="C203" i="6"/>
  <c r="B203" i="6"/>
  <c r="I202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I193" i="6"/>
  <c r="H193" i="6"/>
  <c r="G193" i="6"/>
  <c r="F193" i="6"/>
  <c r="E193" i="6"/>
  <c r="D193" i="6"/>
  <c r="C193" i="6"/>
  <c r="B193" i="6"/>
  <c r="I192" i="6"/>
  <c r="H192" i="6"/>
  <c r="G192" i="6"/>
  <c r="F192" i="6"/>
  <c r="E192" i="6"/>
  <c r="D192" i="6"/>
  <c r="C192" i="6"/>
  <c r="B192" i="6"/>
  <c r="I191" i="6"/>
  <c r="H191" i="6"/>
  <c r="G191" i="6"/>
  <c r="F191" i="6"/>
  <c r="E191" i="6"/>
  <c r="D191" i="6"/>
  <c r="C191" i="6"/>
  <c r="B191" i="6"/>
  <c r="I190" i="6"/>
  <c r="H190" i="6"/>
  <c r="G190" i="6"/>
  <c r="F190" i="6"/>
  <c r="E190" i="6"/>
  <c r="D190" i="6"/>
  <c r="C190" i="6"/>
  <c r="B190" i="6"/>
  <c r="I189" i="6"/>
  <c r="H189" i="6"/>
  <c r="G189" i="6"/>
  <c r="F189" i="6"/>
  <c r="E189" i="6"/>
  <c r="D189" i="6"/>
  <c r="C189" i="6"/>
  <c r="B189" i="6"/>
  <c r="I188" i="6"/>
  <c r="H188" i="6"/>
  <c r="G188" i="6"/>
  <c r="F188" i="6"/>
  <c r="E188" i="6"/>
  <c r="D188" i="6"/>
  <c r="C188" i="6"/>
  <c r="B188" i="6"/>
  <c r="I187" i="6"/>
  <c r="H187" i="6"/>
  <c r="G187" i="6"/>
  <c r="F187" i="6"/>
  <c r="E187" i="6"/>
  <c r="D187" i="6"/>
  <c r="C187" i="6"/>
  <c r="B187" i="6"/>
  <c r="I186" i="6"/>
  <c r="H186" i="6"/>
  <c r="G186" i="6"/>
  <c r="F186" i="6"/>
  <c r="E186" i="6"/>
  <c r="D186" i="6"/>
  <c r="C186" i="6"/>
  <c r="B186" i="6"/>
  <c r="I185" i="6"/>
  <c r="H185" i="6"/>
  <c r="G185" i="6"/>
  <c r="F185" i="6"/>
  <c r="E185" i="6"/>
  <c r="D185" i="6"/>
  <c r="C185" i="6"/>
  <c r="B185" i="6"/>
  <c r="I184" i="6"/>
  <c r="H184" i="6"/>
  <c r="G184" i="6"/>
  <c r="F184" i="6"/>
  <c r="E184" i="6"/>
  <c r="D184" i="6"/>
  <c r="C184" i="6"/>
  <c r="B184" i="6"/>
  <c r="I183" i="6"/>
  <c r="H183" i="6"/>
  <c r="G183" i="6"/>
  <c r="F183" i="6"/>
  <c r="E183" i="6"/>
  <c r="D183" i="6"/>
  <c r="C183" i="6"/>
  <c r="B183" i="6"/>
  <c r="I182" i="6"/>
  <c r="H182" i="6"/>
  <c r="G182" i="6"/>
  <c r="F182" i="6"/>
  <c r="E182" i="6"/>
  <c r="D182" i="6"/>
  <c r="C182" i="6"/>
  <c r="B182" i="6"/>
  <c r="I181" i="6"/>
  <c r="H181" i="6"/>
  <c r="G181" i="6"/>
  <c r="F181" i="6"/>
  <c r="E181" i="6"/>
  <c r="D181" i="6"/>
  <c r="C181" i="6"/>
  <c r="B181" i="6"/>
  <c r="I180" i="6"/>
  <c r="H180" i="6"/>
  <c r="G180" i="6"/>
  <c r="F180" i="6"/>
  <c r="E180" i="6"/>
  <c r="D180" i="6"/>
  <c r="C180" i="6"/>
  <c r="B180" i="6"/>
  <c r="I179" i="6"/>
  <c r="H179" i="6"/>
  <c r="G179" i="6"/>
  <c r="F179" i="6"/>
  <c r="E179" i="6"/>
  <c r="D179" i="6"/>
  <c r="C179" i="6"/>
  <c r="B179" i="6"/>
  <c r="I178" i="6"/>
  <c r="H178" i="6"/>
  <c r="G178" i="6"/>
  <c r="F178" i="6"/>
  <c r="E178" i="6"/>
  <c r="D178" i="6"/>
  <c r="C178" i="6"/>
  <c r="B178" i="6"/>
  <c r="I177" i="6"/>
  <c r="H177" i="6"/>
  <c r="G177" i="6"/>
  <c r="F177" i="6"/>
  <c r="E177" i="6"/>
  <c r="D177" i="6"/>
  <c r="C177" i="6"/>
  <c r="B177" i="6"/>
  <c r="I176" i="6"/>
  <c r="H176" i="6"/>
  <c r="G176" i="6"/>
  <c r="F176" i="6"/>
  <c r="E176" i="6"/>
  <c r="D176" i="6"/>
  <c r="C176" i="6"/>
  <c r="B176" i="6"/>
  <c r="I175" i="6"/>
  <c r="H175" i="6"/>
  <c r="G175" i="6"/>
  <c r="F175" i="6"/>
  <c r="E175" i="6"/>
  <c r="D175" i="6"/>
  <c r="C175" i="6"/>
  <c r="B175" i="6"/>
  <c r="I174" i="6"/>
  <c r="H174" i="6"/>
  <c r="G174" i="6"/>
  <c r="F174" i="6"/>
  <c r="E174" i="6"/>
  <c r="D174" i="6"/>
  <c r="C174" i="6"/>
  <c r="B174" i="6"/>
  <c r="I173" i="6"/>
  <c r="H173" i="6"/>
  <c r="G173" i="6"/>
  <c r="F173" i="6"/>
  <c r="E173" i="6"/>
  <c r="D173" i="6"/>
  <c r="C173" i="6"/>
  <c r="B173" i="6"/>
  <c r="I172" i="6"/>
  <c r="H172" i="6"/>
  <c r="G172" i="6"/>
  <c r="F172" i="6"/>
  <c r="E172" i="6"/>
  <c r="D172" i="6"/>
  <c r="C172" i="6"/>
  <c r="B172" i="6"/>
  <c r="I171" i="6"/>
  <c r="H171" i="6"/>
  <c r="G171" i="6"/>
  <c r="F171" i="6"/>
  <c r="E171" i="6"/>
  <c r="D171" i="6"/>
  <c r="C171" i="6"/>
  <c r="B171" i="6"/>
  <c r="I170" i="6"/>
  <c r="H170" i="6"/>
  <c r="G170" i="6"/>
  <c r="F170" i="6"/>
  <c r="E170" i="6"/>
  <c r="D170" i="6"/>
  <c r="C170" i="6"/>
  <c r="B170" i="6"/>
  <c r="I169" i="6"/>
  <c r="H169" i="6"/>
  <c r="G169" i="6"/>
  <c r="F169" i="6"/>
  <c r="E169" i="6"/>
  <c r="D169" i="6"/>
  <c r="C169" i="6"/>
  <c r="B169" i="6"/>
  <c r="I168" i="6"/>
  <c r="H168" i="6"/>
  <c r="G168" i="6"/>
  <c r="F168" i="6"/>
  <c r="E168" i="6"/>
  <c r="D168" i="6"/>
  <c r="C168" i="6"/>
  <c r="B168" i="6"/>
  <c r="I167" i="6"/>
  <c r="H167" i="6"/>
  <c r="G167" i="6"/>
  <c r="F167" i="6"/>
  <c r="E167" i="6"/>
  <c r="D167" i="6"/>
  <c r="C167" i="6"/>
  <c r="B167" i="6"/>
  <c r="I166" i="6"/>
  <c r="H166" i="6"/>
  <c r="G166" i="6"/>
  <c r="F166" i="6"/>
  <c r="E166" i="6"/>
  <c r="D166" i="6"/>
  <c r="C166" i="6"/>
  <c r="B166" i="6"/>
  <c r="I165" i="6"/>
  <c r="H165" i="6"/>
  <c r="G165" i="6"/>
  <c r="F165" i="6"/>
  <c r="E165" i="6"/>
  <c r="D165" i="6"/>
  <c r="C165" i="6"/>
  <c r="B165" i="6"/>
  <c r="I164" i="6"/>
  <c r="H164" i="6"/>
  <c r="G164" i="6"/>
  <c r="F164" i="6"/>
  <c r="E164" i="6"/>
  <c r="D164" i="6"/>
  <c r="C164" i="6"/>
  <c r="B164" i="6"/>
  <c r="I163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I153" i="6"/>
  <c r="H153" i="6"/>
  <c r="G153" i="6"/>
  <c r="F153" i="6"/>
  <c r="E153" i="6"/>
  <c r="D153" i="6"/>
  <c r="C153" i="6"/>
  <c r="B153" i="6"/>
  <c r="I152" i="6"/>
  <c r="H152" i="6"/>
  <c r="G152" i="6"/>
  <c r="F152" i="6"/>
  <c r="E152" i="6"/>
  <c r="D152" i="6"/>
  <c r="C152" i="6"/>
  <c r="B152" i="6"/>
  <c r="I151" i="6"/>
  <c r="H151" i="6"/>
  <c r="G151" i="6"/>
  <c r="F151" i="6"/>
  <c r="E151" i="6"/>
  <c r="D151" i="6"/>
  <c r="C151" i="6"/>
  <c r="B151" i="6"/>
  <c r="I150" i="6"/>
  <c r="H150" i="6"/>
  <c r="G150" i="6"/>
  <c r="F150" i="6"/>
  <c r="E150" i="6"/>
  <c r="D150" i="6"/>
  <c r="C150" i="6"/>
  <c r="B150" i="6"/>
  <c r="I149" i="6"/>
  <c r="H149" i="6"/>
  <c r="G149" i="6"/>
  <c r="F149" i="6"/>
  <c r="E149" i="6"/>
  <c r="D149" i="6"/>
  <c r="C149" i="6"/>
  <c r="B149" i="6"/>
  <c r="I148" i="6"/>
  <c r="H148" i="6"/>
  <c r="G148" i="6"/>
  <c r="F148" i="6"/>
  <c r="E148" i="6"/>
  <c r="D148" i="6"/>
  <c r="C148" i="6"/>
  <c r="B148" i="6"/>
  <c r="I147" i="6"/>
  <c r="H147" i="6"/>
  <c r="G147" i="6"/>
  <c r="F147" i="6"/>
  <c r="E147" i="6"/>
  <c r="D147" i="6"/>
  <c r="C147" i="6"/>
  <c r="B147" i="6"/>
  <c r="I146" i="6"/>
  <c r="H146" i="6"/>
  <c r="G146" i="6"/>
  <c r="F146" i="6"/>
  <c r="E146" i="6"/>
  <c r="D146" i="6"/>
  <c r="C146" i="6"/>
  <c r="B146" i="6"/>
  <c r="I145" i="6"/>
  <c r="H145" i="6"/>
  <c r="G145" i="6"/>
  <c r="F145" i="6"/>
  <c r="E145" i="6"/>
  <c r="D145" i="6"/>
  <c r="C145" i="6"/>
  <c r="B145" i="6"/>
  <c r="I144" i="6"/>
  <c r="H144" i="6"/>
  <c r="G144" i="6"/>
  <c r="F144" i="6"/>
  <c r="E144" i="6"/>
  <c r="D144" i="6"/>
  <c r="C144" i="6"/>
  <c r="B144" i="6"/>
  <c r="I143" i="6"/>
  <c r="H143" i="6"/>
  <c r="G143" i="6"/>
  <c r="F143" i="6"/>
  <c r="E143" i="6"/>
  <c r="D143" i="6"/>
  <c r="C143" i="6"/>
  <c r="B143" i="6"/>
  <c r="I142" i="6"/>
  <c r="H142" i="6"/>
  <c r="G142" i="6"/>
  <c r="F142" i="6"/>
  <c r="E142" i="6"/>
  <c r="D142" i="6"/>
  <c r="C142" i="6"/>
  <c r="B142" i="6"/>
  <c r="I141" i="6"/>
  <c r="H141" i="6"/>
  <c r="G141" i="6"/>
  <c r="F141" i="6"/>
  <c r="E141" i="6"/>
  <c r="D141" i="6"/>
  <c r="C141" i="6"/>
  <c r="B141" i="6"/>
  <c r="I140" i="6"/>
  <c r="H140" i="6"/>
  <c r="G140" i="6"/>
  <c r="F140" i="6"/>
  <c r="E140" i="6"/>
  <c r="D140" i="6"/>
  <c r="C140" i="6"/>
  <c r="B140" i="6"/>
  <c r="I139" i="6"/>
  <c r="H139" i="6"/>
  <c r="G139" i="6"/>
  <c r="F139" i="6"/>
  <c r="E139" i="6"/>
  <c r="D139" i="6"/>
  <c r="C139" i="6"/>
  <c r="B139" i="6"/>
  <c r="I138" i="6"/>
  <c r="H138" i="6"/>
  <c r="G138" i="6"/>
  <c r="F138" i="6"/>
  <c r="E138" i="6"/>
  <c r="D138" i="6"/>
  <c r="C138" i="6"/>
  <c r="B138" i="6"/>
  <c r="I137" i="6"/>
  <c r="H137" i="6"/>
  <c r="G137" i="6"/>
  <c r="F137" i="6"/>
  <c r="E137" i="6"/>
  <c r="D137" i="6"/>
  <c r="C137" i="6"/>
  <c r="B137" i="6"/>
  <c r="I136" i="6"/>
  <c r="H136" i="6"/>
  <c r="G136" i="6"/>
  <c r="F136" i="6"/>
  <c r="E136" i="6"/>
  <c r="D136" i="6"/>
  <c r="C136" i="6"/>
  <c r="B136" i="6"/>
  <c r="I135" i="6"/>
  <c r="H135" i="6"/>
  <c r="G135" i="6"/>
  <c r="F135" i="6"/>
  <c r="E135" i="6"/>
  <c r="D135" i="6"/>
  <c r="C135" i="6"/>
  <c r="B135" i="6"/>
  <c r="I134" i="6"/>
  <c r="H134" i="6"/>
  <c r="G134" i="6"/>
  <c r="F134" i="6"/>
  <c r="E134" i="6"/>
  <c r="D134" i="6"/>
  <c r="C134" i="6"/>
  <c r="B134" i="6"/>
  <c r="I133" i="6"/>
  <c r="H133" i="6"/>
  <c r="G133" i="6"/>
  <c r="F133" i="6"/>
  <c r="E133" i="6"/>
  <c r="D133" i="6"/>
  <c r="C133" i="6"/>
  <c r="B133" i="6"/>
  <c r="I132" i="6"/>
  <c r="H132" i="6"/>
  <c r="G132" i="6"/>
  <c r="F132" i="6"/>
  <c r="E132" i="6"/>
  <c r="D132" i="6"/>
  <c r="C132" i="6"/>
  <c r="B132" i="6"/>
  <c r="I131" i="6"/>
  <c r="H131" i="6"/>
  <c r="G131" i="6"/>
  <c r="F131" i="6"/>
  <c r="E131" i="6"/>
  <c r="D131" i="6"/>
  <c r="C131" i="6"/>
  <c r="B131" i="6"/>
  <c r="I130" i="6"/>
  <c r="H130" i="6"/>
  <c r="G130" i="6"/>
  <c r="F130" i="6"/>
  <c r="E130" i="6"/>
  <c r="D130" i="6"/>
  <c r="C130" i="6"/>
  <c r="B130" i="6"/>
  <c r="I129" i="6"/>
  <c r="H129" i="6"/>
  <c r="G129" i="6"/>
  <c r="F129" i="6"/>
  <c r="E129" i="6"/>
  <c r="D129" i="6"/>
  <c r="C129" i="6"/>
  <c r="B129" i="6"/>
  <c r="I128" i="6"/>
  <c r="H128" i="6"/>
  <c r="G128" i="6"/>
  <c r="F128" i="6"/>
  <c r="E128" i="6"/>
  <c r="D128" i="6"/>
  <c r="C128" i="6"/>
  <c r="B128" i="6"/>
  <c r="I127" i="6"/>
  <c r="H127" i="6"/>
  <c r="G127" i="6"/>
  <c r="F127" i="6"/>
  <c r="E127" i="6"/>
  <c r="D127" i="6"/>
  <c r="C127" i="6"/>
  <c r="B127" i="6"/>
  <c r="I126" i="6"/>
  <c r="H126" i="6"/>
  <c r="G126" i="6"/>
  <c r="F126" i="6"/>
  <c r="E126" i="6"/>
  <c r="D126" i="6"/>
  <c r="C126" i="6"/>
  <c r="B126" i="6"/>
  <c r="I125" i="6"/>
  <c r="H125" i="6"/>
  <c r="G125" i="6"/>
  <c r="F125" i="6"/>
  <c r="E125" i="6"/>
  <c r="D125" i="6"/>
  <c r="C125" i="6"/>
  <c r="B125" i="6"/>
  <c r="I124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I115" i="6"/>
  <c r="H115" i="6"/>
  <c r="G115" i="6"/>
  <c r="F115" i="6"/>
  <c r="E115" i="6"/>
  <c r="D115" i="6"/>
  <c r="C115" i="6"/>
  <c r="B115" i="6"/>
  <c r="I114" i="6"/>
  <c r="H114" i="6"/>
  <c r="G114" i="6"/>
  <c r="F114" i="6"/>
  <c r="E114" i="6"/>
  <c r="D114" i="6"/>
  <c r="C114" i="6"/>
  <c r="B114" i="6"/>
  <c r="I113" i="6"/>
  <c r="H113" i="6"/>
  <c r="G113" i="6"/>
  <c r="F113" i="6"/>
  <c r="E113" i="6"/>
  <c r="D113" i="6"/>
  <c r="C113" i="6"/>
  <c r="B113" i="6"/>
  <c r="I112" i="6"/>
  <c r="H112" i="6"/>
  <c r="G112" i="6"/>
  <c r="F112" i="6"/>
  <c r="E112" i="6"/>
  <c r="D112" i="6"/>
  <c r="C112" i="6"/>
  <c r="B112" i="6"/>
  <c r="I111" i="6"/>
  <c r="H111" i="6"/>
  <c r="G111" i="6"/>
  <c r="F111" i="6"/>
  <c r="E111" i="6"/>
  <c r="D111" i="6"/>
  <c r="C111" i="6"/>
  <c r="B111" i="6"/>
  <c r="I110" i="6"/>
  <c r="H110" i="6"/>
  <c r="G110" i="6"/>
  <c r="F110" i="6"/>
  <c r="E110" i="6"/>
  <c r="D110" i="6"/>
  <c r="C110" i="6"/>
  <c r="B110" i="6"/>
  <c r="I109" i="6"/>
  <c r="H109" i="6"/>
  <c r="G109" i="6"/>
  <c r="F109" i="6"/>
  <c r="E109" i="6"/>
  <c r="D109" i="6"/>
  <c r="C109" i="6"/>
  <c r="B109" i="6"/>
  <c r="I108" i="6"/>
  <c r="H108" i="6"/>
  <c r="G108" i="6"/>
  <c r="F108" i="6"/>
  <c r="E108" i="6"/>
  <c r="D108" i="6"/>
  <c r="C108" i="6"/>
  <c r="B108" i="6"/>
  <c r="I107" i="6"/>
  <c r="H107" i="6"/>
  <c r="G107" i="6"/>
  <c r="F107" i="6"/>
  <c r="E107" i="6"/>
  <c r="D107" i="6"/>
  <c r="C107" i="6"/>
  <c r="B107" i="6"/>
  <c r="I106" i="6"/>
  <c r="H106" i="6"/>
  <c r="G106" i="6"/>
  <c r="F106" i="6"/>
  <c r="E106" i="6"/>
  <c r="D106" i="6"/>
  <c r="C106" i="6"/>
  <c r="B106" i="6"/>
  <c r="I105" i="6"/>
  <c r="H105" i="6"/>
  <c r="G105" i="6"/>
  <c r="F105" i="6"/>
  <c r="E105" i="6"/>
  <c r="D105" i="6"/>
  <c r="C105" i="6"/>
  <c r="B105" i="6"/>
  <c r="I104" i="6"/>
  <c r="H104" i="6"/>
  <c r="G104" i="6"/>
  <c r="F104" i="6"/>
  <c r="E104" i="6"/>
  <c r="D104" i="6"/>
  <c r="C104" i="6"/>
  <c r="B104" i="6"/>
  <c r="I103" i="6"/>
  <c r="H103" i="6"/>
  <c r="G103" i="6"/>
  <c r="F103" i="6"/>
  <c r="E103" i="6"/>
  <c r="D103" i="6"/>
  <c r="C103" i="6"/>
  <c r="B103" i="6"/>
  <c r="I102" i="6"/>
  <c r="H102" i="6"/>
  <c r="G102" i="6"/>
  <c r="F102" i="6"/>
  <c r="E102" i="6"/>
  <c r="D102" i="6"/>
  <c r="C102" i="6"/>
  <c r="B102" i="6"/>
  <c r="I101" i="6"/>
  <c r="H101" i="6"/>
  <c r="G101" i="6"/>
  <c r="F101" i="6"/>
  <c r="E101" i="6"/>
  <c r="D101" i="6"/>
  <c r="C101" i="6"/>
  <c r="B101" i="6"/>
  <c r="I100" i="6"/>
  <c r="H100" i="6"/>
  <c r="G100" i="6"/>
  <c r="F100" i="6"/>
  <c r="E100" i="6"/>
  <c r="D100" i="6"/>
  <c r="C100" i="6"/>
  <c r="B100" i="6"/>
  <c r="I99" i="6"/>
  <c r="H99" i="6"/>
  <c r="G99" i="6"/>
  <c r="F99" i="6"/>
  <c r="E99" i="6"/>
  <c r="D99" i="6"/>
  <c r="C99" i="6"/>
  <c r="B99" i="6"/>
  <c r="I98" i="6"/>
  <c r="H98" i="6"/>
  <c r="G98" i="6"/>
  <c r="F98" i="6"/>
  <c r="E98" i="6"/>
  <c r="D98" i="6"/>
  <c r="C98" i="6"/>
  <c r="B98" i="6"/>
  <c r="I97" i="6"/>
  <c r="H97" i="6"/>
  <c r="G97" i="6"/>
  <c r="F97" i="6"/>
  <c r="E97" i="6"/>
  <c r="D97" i="6"/>
  <c r="C97" i="6"/>
  <c r="B97" i="6"/>
  <c r="I96" i="6"/>
  <c r="H96" i="6"/>
  <c r="G96" i="6"/>
  <c r="F96" i="6"/>
  <c r="E96" i="6"/>
  <c r="D96" i="6"/>
  <c r="C96" i="6"/>
  <c r="B96" i="6"/>
  <c r="I95" i="6"/>
  <c r="H95" i="6"/>
  <c r="G95" i="6"/>
  <c r="F95" i="6"/>
  <c r="E95" i="6"/>
  <c r="D95" i="6"/>
  <c r="C95" i="6"/>
  <c r="B95" i="6"/>
  <c r="I94" i="6"/>
  <c r="H94" i="6"/>
  <c r="G94" i="6"/>
  <c r="F94" i="6"/>
  <c r="E94" i="6"/>
  <c r="D94" i="6"/>
  <c r="C94" i="6"/>
  <c r="B94" i="6"/>
  <c r="I93" i="6"/>
  <c r="H93" i="6"/>
  <c r="G93" i="6"/>
  <c r="F93" i="6"/>
  <c r="E93" i="6"/>
  <c r="D93" i="6"/>
  <c r="C93" i="6"/>
  <c r="B93" i="6"/>
  <c r="I92" i="6"/>
  <c r="H92" i="6"/>
  <c r="G92" i="6"/>
  <c r="F92" i="6"/>
  <c r="E92" i="6"/>
  <c r="D92" i="6"/>
  <c r="C92" i="6"/>
  <c r="B92" i="6"/>
  <c r="I91" i="6"/>
  <c r="H91" i="6"/>
  <c r="G91" i="6"/>
  <c r="F91" i="6"/>
  <c r="E91" i="6"/>
  <c r="D91" i="6"/>
  <c r="C91" i="6"/>
  <c r="B91" i="6"/>
  <c r="I90" i="6"/>
  <c r="H90" i="6"/>
  <c r="G90" i="6"/>
  <c r="F90" i="6"/>
  <c r="E90" i="6"/>
  <c r="D90" i="6"/>
  <c r="C90" i="6"/>
  <c r="B90" i="6"/>
  <c r="I89" i="6"/>
  <c r="H89" i="6"/>
  <c r="G89" i="6"/>
  <c r="F89" i="6"/>
  <c r="E89" i="6"/>
  <c r="D89" i="6"/>
  <c r="C89" i="6"/>
  <c r="B89" i="6"/>
  <c r="I88" i="6"/>
  <c r="H88" i="6"/>
  <c r="G88" i="6"/>
  <c r="F88" i="6"/>
  <c r="E88" i="6"/>
  <c r="D88" i="6"/>
  <c r="C88" i="6"/>
  <c r="B88" i="6"/>
  <c r="I87" i="6"/>
  <c r="H87" i="6"/>
  <c r="G87" i="6"/>
  <c r="F87" i="6"/>
  <c r="E87" i="6"/>
  <c r="D87" i="6"/>
  <c r="C87" i="6"/>
  <c r="B87" i="6"/>
  <c r="I86" i="6"/>
  <c r="H86" i="6"/>
  <c r="G86" i="6"/>
  <c r="F86" i="6"/>
  <c r="E86" i="6"/>
  <c r="D86" i="6"/>
  <c r="C86" i="6"/>
  <c r="B86" i="6"/>
  <c r="I85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I73" i="6"/>
  <c r="H73" i="6"/>
  <c r="G73" i="6"/>
  <c r="F73" i="6"/>
  <c r="E73" i="6"/>
  <c r="D73" i="6"/>
  <c r="C73" i="6"/>
  <c r="B73" i="6"/>
  <c r="I72" i="6"/>
  <c r="H72" i="6"/>
  <c r="G72" i="6"/>
  <c r="F72" i="6"/>
  <c r="E72" i="6"/>
  <c r="D72" i="6"/>
  <c r="C72" i="6"/>
  <c r="B72" i="6"/>
  <c r="I71" i="6"/>
  <c r="H71" i="6"/>
  <c r="G71" i="6"/>
  <c r="F71" i="6"/>
  <c r="E71" i="6"/>
  <c r="D71" i="6"/>
  <c r="C71" i="6"/>
  <c r="B71" i="6"/>
  <c r="I70" i="6"/>
  <c r="H70" i="6"/>
  <c r="G70" i="6"/>
  <c r="F70" i="6"/>
  <c r="E70" i="6"/>
  <c r="D70" i="6"/>
  <c r="C70" i="6"/>
  <c r="B70" i="6"/>
  <c r="I69" i="6"/>
  <c r="H69" i="6"/>
  <c r="G69" i="6"/>
  <c r="F69" i="6"/>
  <c r="E69" i="6"/>
  <c r="D69" i="6"/>
  <c r="C69" i="6"/>
  <c r="B69" i="6"/>
  <c r="I68" i="6"/>
  <c r="H68" i="6"/>
  <c r="G68" i="6"/>
  <c r="F68" i="6"/>
  <c r="E68" i="6"/>
  <c r="D68" i="6"/>
  <c r="C68" i="6"/>
  <c r="B68" i="6"/>
  <c r="I67" i="6"/>
  <c r="H67" i="6"/>
  <c r="G67" i="6"/>
  <c r="F67" i="6"/>
  <c r="E67" i="6"/>
  <c r="D67" i="6"/>
  <c r="C67" i="6"/>
  <c r="B67" i="6"/>
  <c r="I66" i="6"/>
  <c r="H66" i="6"/>
  <c r="G66" i="6"/>
  <c r="F66" i="6"/>
  <c r="E66" i="6"/>
  <c r="D66" i="6"/>
  <c r="C66" i="6"/>
  <c r="B66" i="6"/>
  <c r="I65" i="6"/>
  <c r="H65" i="6"/>
  <c r="G65" i="6"/>
  <c r="F65" i="6"/>
  <c r="E65" i="6"/>
  <c r="D65" i="6"/>
  <c r="C65" i="6"/>
  <c r="B65" i="6"/>
  <c r="I64" i="6"/>
  <c r="H64" i="6"/>
  <c r="G64" i="6"/>
  <c r="F64" i="6"/>
  <c r="E64" i="6"/>
  <c r="D64" i="6"/>
  <c r="C64" i="6"/>
  <c r="B64" i="6"/>
  <c r="I63" i="6"/>
  <c r="H63" i="6"/>
  <c r="G63" i="6"/>
  <c r="F63" i="6"/>
  <c r="E63" i="6"/>
  <c r="D63" i="6"/>
  <c r="C63" i="6"/>
  <c r="B63" i="6"/>
  <c r="I62" i="6"/>
  <c r="H62" i="6"/>
  <c r="G62" i="6"/>
  <c r="F62" i="6"/>
  <c r="E62" i="6"/>
  <c r="D62" i="6"/>
  <c r="C62" i="6"/>
  <c r="B62" i="6"/>
  <c r="I61" i="6"/>
  <c r="H61" i="6"/>
  <c r="G61" i="6"/>
  <c r="F61" i="6"/>
  <c r="E61" i="6"/>
  <c r="D61" i="6"/>
  <c r="C61" i="6"/>
  <c r="B61" i="6"/>
  <c r="I60" i="6"/>
  <c r="H60" i="6"/>
  <c r="G60" i="6"/>
  <c r="F60" i="6"/>
  <c r="E60" i="6"/>
  <c r="D60" i="6"/>
  <c r="C60" i="6"/>
  <c r="B60" i="6"/>
  <c r="I59" i="6"/>
  <c r="H59" i="6"/>
  <c r="G59" i="6"/>
  <c r="F59" i="6"/>
  <c r="E59" i="6"/>
  <c r="D59" i="6"/>
  <c r="C59" i="6"/>
  <c r="B59" i="6"/>
  <c r="I58" i="6"/>
  <c r="H58" i="6"/>
  <c r="G58" i="6"/>
  <c r="F58" i="6"/>
  <c r="E58" i="6"/>
  <c r="D58" i="6"/>
  <c r="C58" i="6"/>
  <c r="B58" i="6"/>
  <c r="I57" i="6"/>
  <c r="H57" i="6"/>
  <c r="G57" i="6"/>
  <c r="F57" i="6"/>
  <c r="E57" i="6"/>
  <c r="D57" i="6"/>
  <c r="C57" i="6"/>
  <c r="B57" i="6"/>
  <c r="I56" i="6"/>
  <c r="H56" i="6"/>
  <c r="G56" i="6"/>
  <c r="F56" i="6"/>
  <c r="E56" i="6"/>
  <c r="D56" i="6"/>
  <c r="C56" i="6"/>
  <c r="B56" i="6"/>
  <c r="I55" i="6"/>
  <c r="H55" i="6"/>
  <c r="G55" i="6"/>
  <c r="F55" i="6"/>
  <c r="E55" i="6"/>
  <c r="D55" i="6"/>
  <c r="C55" i="6"/>
  <c r="B55" i="6"/>
  <c r="I54" i="6"/>
  <c r="H54" i="6"/>
  <c r="G54" i="6"/>
  <c r="F54" i="6"/>
  <c r="E54" i="6"/>
  <c r="D54" i="6"/>
  <c r="C54" i="6"/>
  <c r="B54" i="6"/>
  <c r="I53" i="6"/>
  <c r="H53" i="6"/>
  <c r="G53" i="6"/>
  <c r="F53" i="6"/>
  <c r="E53" i="6"/>
  <c r="D53" i="6"/>
  <c r="C53" i="6"/>
  <c r="B53" i="6"/>
  <c r="I52" i="6"/>
  <c r="H52" i="6"/>
  <c r="G52" i="6"/>
  <c r="F52" i="6"/>
  <c r="E52" i="6"/>
  <c r="D52" i="6"/>
  <c r="C52" i="6"/>
  <c r="B52" i="6"/>
  <c r="I51" i="6"/>
  <c r="H51" i="6"/>
  <c r="G51" i="6"/>
  <c r="F51" i="6"/>
  <c r="E51" i="6"/>
  <c r="D51" i="6"/>
  <c r="C51" i="6"/>
  <c r="B51" i="6"/>
  <c r="I50" i="6"/>
  <c r="H50" i="6"/>
  <c r="G50" i="6"/>
  <c r="F50" i="6"/>
  <c r="E50" i="6"/>
  <c r="D50" i="6"/>
  <c r="C50" i="6"/>
  <c r="B50" i="6"/>
  <c r="I49" i="6"/>
  <c r="H49" i="6"/>
  <c r="G49" i="6"/>
  <c r="F49" i="6"/>
  <c r="E49" i="6"/>
  <c r="D49" i="6"/>
  <c r="C49" i="6"/>
  <c r="B49" i="6"/>
  <c r="I48" i="6"/>
  <c r="H48" i="6"/>
  <c r="G48" i="6"/>
  <c r="F48" i="6"/>
  <c r="E48" i="6"/>
  <c r="D48" i="6"/>
  <c r="C48" i="6"/>
  <c r="B48" i="6"/>
  <c r="I47" i="6"/>
  <c r="H47" i="6"/>
  <c r="G47" i="6"/>
  <c r="F47" i="6"/>
  <c r="E47" i="6"/>
  <c r="D47" i="6"/>
  <c r="C47" i="6"/>
  <c r="B47" i="6"/>
  <c r="I46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I37" i="6"/>
  <c r="H37" i="6"/>
  <c r="G37" i="6"/>
  <c r="F37" i="6"/>
  <c r="E37" i="6"/>
  <c r="D37" i="6"/>
  <c r="C37" i="6"/>
  <c r="B37" i="6"/>
  <c r="I36" i="6"/>
  <c r="H36" i="6"/>
  <c r="G36" i="6"/>
  <c r="F36" i="6"/>
  <c r="E36" i="6"/>
  <c r="D36" i="6"/>
  <c r="C36" i="6"/>
  <c r="B36" i="6"/>
  <c r="I35" i="6"/>
  <c r="H35" i="6"/>
  <c r="G35" i="6"/>
  <c r="F35" i="6"/>
  <c r="E35" i="6"/>
  <c r="D35" i="6"/>
  <c r="C35" i="6"/>
  <c r="B35" i="6"/>
  <c r="I34" i="6"/>
  <c r="H34" i="6"/>
  <c r="G34" i="6"/>
  <c r="F34" i="6"/>
  <c r="E34" i="6"/>
  <c r="D34" i="6"/>
  <c r="C34" i="6"/>
  <c r="B34" i="6"/>
  <c r="I33" i="6"/>
  <c r="H33" i="6"/>
  <c r="G33" i="6"/>
  <c r="F33" i="6"/>
  <c r="E33" i="6"/>
  <c r="D33" i="6"/>
  <c r="C33" i="6"/>
  <c r="B33" i="6"/>
  <c r="I32" i="6"/>
  <c r="H32" i="6"/>
  <c r="G32" i="6"/>
  <c r="F32" i="6"/>
  <c r="E32" i="6"/>
  <c r="D32" i="6"/>
  <c r="C32" i="6"/>
  <c r="B32" i="6"/>
  <c r="I31" i="6"/>
  <c r="H31" i="6"/>
  <c r="G31" i="6"/>
  <c r="F31" i="6"/>
  <c r="E31" i="6"/>
  <c r="D31" i="6"/>
  <c r="C31" i="6"/>
  <c r="B31" i="6"/>
  <c r="I30" i="6"/>
  <c r="H30" i="6"/>
  <c r="G30" i="6"/>
  <c r="F30" i="6"/>
  <c r="E30" i="6"/>
  <c r="D30" i="6"/>
  <c r="C30" i="6"/>
  <c r="B30" i="6"/>
  <c r="I29" i="6"/>
  <c r="H29" i="6"/>
  <c r="G29" i="6"/>
  <c r="F29" i="6"/>
  <c r="E29" i="6"/>
  <c r="D29" i="6"/>
  <c r="C29" i="6"/>
  <c r="B29" i="6"/>
  <c r="I28" i="6"/>
  <c r="H28" i="6"/>
  <c r="G28" i="6"/>
  <c r="F28" i="6"/>
  <c r="E28" i="6"/>
  <c r="D28" i="6"/>
  <c r="C28" i="6"/>
  <c r="B28" i="6"/>
  <c r="I27" i="6"/>
  <c r="H27" i="6"/>
  <c r="G27" i="6"/>
  <c r="F27" i="6"/>
  <c r="E27" i="6"/>
  <c r="D27" i="6"/>
  <c r="C27" i="6"/>
  <c r="B27" i="6"/>
  <c r="I26" i="6"/>
  <c r="H26" i="6"/>
  <c r="G26" i="6"/>
  <c r="F26" i="6"/>
  <c r="E26" i="6"/>
  <c r="D26" i="6"/>
  <c r="C26" i="6"/>
  <c r="B26" i="6"/>
  <c r="I25" i="6"/>
  <c r="H25" i="6"/>
  <c r="G25" i="6"/>
  <c r="F25" i="6"/>
  <c r="E25" i="6"/>
  <c r="D25" i="6"/>
  <c r="C25" i="6"/>
  <c r="B25" i="6"/>
  <c r="I24" i="6"/>
  <c r="H24" i="6"/>
  <c r="G24" i="6"/>
  <c r="F24" i="6"/>
  <c r="E24" i="6"/>
  <c r="D24" i="6"/>
  <c r="C24" i="6"/>
  <c r="B24" i="6"/>
  <c r="I23" i="6"/>
  <c r="H23" i="6"/>
  <c r="G23" i="6"/>
  <c r="F23" i="6"/>
  <c r="E23" i="6"/>
  <c r="D23" i="6"/>
  <c r="C23" i="6"/>
  <c r="B23" i="6"/>
  <c r="I22" i="6"/>
  <c r="H22" i="6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I20" i="6"/>
  <c r="H20" i="6"/>
  <c r="G20" i="6"/>
  <c r="F20" i="6"/>
  <c r="E20" i="6"/>
  <c r="D20" i="6"/>
  <c r="C20" i="6"/>
  <c r="B20" i="6"/>
  <c r="I19" i="6"/>
  <c r="H19" i="6"/>
  <c r="G19" i="6"/>
  <c r="F19" i="6"/>
  <c r="E19" i="6"/>
  <c r="D19" i="6"/>
  <c r="C19" i="6"/>
  <c r="B19" i="6"/>
  <c r="I18" i="6"/>
  <c r="H18" i="6"/>
  <c r="G18" i="6"/>
  <c r="F18" i="6"/>
  <c r="E18" i="6"/>
  <c r="D18" i="6"/>
  <c r="C18" i="6"/>
  <c r="B18" i="6"/>
  <c r="I17" i="6"/>
  <c r="H17" i="6"/>
  <c r="G17" i="6"/>
  <c r="F17" i="6"/>
  <c r="E17" i="6"/>
  <c r="D17" i="6"/>
  <c r="C17" i="6"/>
  <c r="B17" i="6"/>
  <c r="I16" i="6"/>
  <c r="H16" i="6"/>
  <c r="G16" i="6"/>
  <c r="F16" i="6"/>
  <c r="E16" i="6"/>
  <c r="D16" i="6"/>
  <c r="C16" i="6"/>
  <c r="B16" i="6"/>
  <c r="I15" i="6"/>
  <c r="H15" i="6"/>
  <c r="G15" i="6"/>
  <c r="F15" i="6"/>
  <c r="E15" i="6"/>
  <c r="D15" i="6"/>
  <c r="C15" i="6"/>
  <c r="B15" i="6"/>
  <c r="I14" i="6"/>
  <c r="H14" i="6"/>
  <c r="G14" i="6"/>
  <c r="F14" i="6"/>
  <c r="E14" i="6"/>
  <c r="D14" i="6"/>
  <c r="C14" i="6"/>
  <c r="B14" i="6"/>
  <c r="I13" i="6"/>
  <c r="H13" i="6"/>
  <c r="G13" i="6"/>
  <c r="F13" i="6"/>
  <c r="E13" i="6"/>
  <c r="D13" i="6"/>
  <c r="C13" i="6"/>
  <c r="B13" i="6"/>
  <c r="I12" i="6"/>
  <c r="H12" i="6"/>
  <c r="G12" i="6"/>
  <c r="F12" i="6"/>
  <c r="E12" i="6"/>
  <c r="D12" i="6"/>
  <c r="C12" i="6"/>
  <c r="B12" i="6"/>
  <c r="I11" i="6"/>
  <c r="H11" i="6"/>
  <c r="G11" i="6"/>
  <c r="F11" i="6"/>
  <c r="E11" i="6"/>
  <c r="D11" i="6"/>
  <c r="C11" i="6"/>
  <c r="B11" i="6"/>
  <c r="I10" i="6"/>
  <c r="H10" i="6"/>
  <c r="G10" i="6"/>
  <c r="F10" i="6"/>
  <c r="E10" i="6"/>
  <c r="D10" i="6"/>
  <c r="C10" i="6"/>
  <c r="B10" i="6"/>
  <c r="I9" i="6"/>
  <c r="H9" i="6"/>
  <c r="G9" i="6"/>
  <c r="F9" i="6"/>
  <c r="E9" i="6"/>
  <c r="D9" i="6"/>
  <c r="C9" i="6"/>
  <c r="B9" i="6"/>
  <c r="I8" i="6"/>
  <c r="H8" i="6"/>
  <c r="G8" i="6"/>
  <c r="F8" i="6"/>
  <c r="E8" i="6"/>
  <c r="D8" i="6"/>
  <c r="C8" i="6"/>
  <c r="B8" i="6"/>
  <c r="I7" i="6"/>
  <c r="H7" i="6"/>
  <c r="G7" i="6"/>
  <c r="F7" i="6"/>
  <c r="E7" i="6"/>
  <c r="D7" i="6"/>
  <c r="C7" i="6"/>
  <c r="B7" i="6"/>
  <c r="H5" i="6"/>
  <c r="H4" i="6"/>
  <c r="P29" i="15" l="1"/>
  <c r="N44" i="15"/>
  <c r="O29" i="15"/>
  <c r="K73" i="15"/>
  <c r="O73" i="15"/>
  <c r="M89" i="15"/>
  <c r="O148" i="15"/>
  <c r="K148" i="15"/>
  <c r="M59" i="15"/>
  <c r="L5" i="15"/>
  <c r="N7" i="15"/>
  <c r="O8" i="15"/>
  <c r="P9" i="15"/>
  <c r="D13" i="15"/>
  <c r="N19" i="15"/>
  <c r="P21" i="15"/>
  <c r="M26" i="15"/>
  <c r="N27" i="15"/>
  <c r="I43" i="15"/>
  <c r="N39" i="15"/>
  <c r="D43" i="15"/>
  <c r="P54" i="15"/>
  <c r="N54" i="15"/>
  <c r="L56" i="15"/>
  <c r="P57" i="15"/>
  <c r="N66" i="15"/>
  <c r="L68" i="15"/>
  <c r="P69" i="15"/>
  <c r="D73" i="15"/>
  <c r="P73" i="15" s="1"/>
  <c r="L80" i="15"/>
  <c r="P81" i="15"/>
  <c r="P102" i="15"/>
  <c r="P104" i="15"/>
  <c r="P116" i="15"/>
  <c r="D148" i="15"/>
  <c r="P140" i="15"/>
  <c r="K144" i="15"/>
  <c r="M144" i="15"/>
  <c r="L144" i="15"/>
  <c r="H163" i="15"/>
  <c r="O154" i="15"/>
  <c r="K154" i="15"/>
  <c r="M154" i="15"/>
  <c r="B164" i="15"/>
  <c r="M5" i="15"/>
  <c r="N6" i="15"/>
  <c r="K11" i="15"/>
  <c r="E13" i="15"/>
  <c r="N13" i="15" s="1"/>
  <c r="F14" i="15"/>
  <c r="P14" i="15" s="1"/>
  <c r="K23" i="15"/>
  <c r="M25" i="15"/>
  <c r="N26" i="15"/>
  <c r="H28" i="15"/>
  <c r="M28" i="15" s="1"/>
  <c r="K35" i="15"/>
  <c r="M37" i="15"/>
  <c r="N38" i="15"/>
  <c r="E43" i="15"/>
  <c r="H44" i="15"/>
  <c r="M44" i="15" s="1"/>
  <c r="P51" i="15"/>
  <c r="N56" i="15"/>
  <c r="E59" i="15"/>
  <c r="N59" i="15" s="1"/>
  <c r="M56" i="15"/>
  <c r="G73" i="15"/>
  <c r="M68" i="15"/>
  <c r="P71" i="15"/>
  <c r="E73" i="15"/>
  <c r="N73" i="15" s="1"/>
  <c r="C74" i="15"/>
  <c r="M80" i="15"/>
  <c r="P83" i="15"/>
  <c r="B103" i="15"/>
  <c r="J103" i="15"/>
  <c r="M98" i="15"/>
  <c r="M110" i="15"/>
  <c r="N128" i="15"/>
  <c r="C133" i="15"/>
  <c r="L156" i="15"/>
  <c r="M4" i="15"/>
  <c r="K10" i="15"/>
  <c r="L11" i="15"/>
  <c r="M12" i="15"/>
  <c r="F13" i="15"/>
  <c r="P13" i="15" s="1"/>
  <c r="P19" i="15"/>
  <c r="K22" i="15"/>
  <c r="L23" i="15"/>
  <c r="M24" i="15"/>
  <c r="K34" i="15"/>
  <c r="L35" i="15"/>
  <c r="M36" i="15"/>
  <c r="P39" i="15"/>
  <c r="B44" i="15"/>
  <c r="P44" i="15" s="1"/>
  <c r="J44" i="15"/>
  <c r="F43" i="15"/>
  <c r="P43" i="15" s="1"/>
  <c r="C58" i="15"/>
  <c r="L49" i="15"/>
  <c r="N53" i="15"/>
  <c r="M55" i="15"/>
  <c r="O56" i="15"/>
  <c r="O57" i="15"/>
  <c r="K57" i="15"/>
  <c r="E58" i="15"/>
  <c r="L65" i="15"/>
  <c r="M67" i="15"/>
  <c r="O68" i="15"/>
  <c r="O69" i="15"/>
  <c r="K69" i="15"/>
  <c r="M70" i="15"/>
  <c r="G74" i="15"/>
  <c r="C88" i="15"/>
  <c r="M79" i="15"/>
  <c r="O80" i="15"/>
  <c r="O81" i="15"/>
  <c r="K81" i="15"/>
  <c r="M82" i="15"/>
  <c r="N87" i="15"/>
  <c r="O87" i="15"/>
  <c r="M96" i="15"/>
  <c r="L99" i="15"/>
  <c r="K99" i="15"/>
  <c r="L111" i="15"/>
  <c r="K111" i="15"/>
  <c r="O115" i="15"/>
  <c r="M115" i="15"/>
  <c r="J148" i="15"/>
  <c r="N140" i="15"/>
  <c r="F148" i="15"/>
  <c r="O141" i="15"/>
  <c r="M141" i="15"/>
  <c r="M146" i="15"/>
  <c r="L157" i="15"/>
  <c r="O157" i="15"/>
  <c r="K157" i="15"/>
  <c r="F178" i="15"/>
  <c r="P172" i="15"/>
  <c r="N172" i="15"/>
  <c r="O5" i="15"/>
  <c r="K9" i="15"/>
  <c r="H14" i="15"/>
  <c r="M14" i="15" s="1"/>
  <c r="K21" i="15"/>
  <c r="O25" i="15"/>
  <c r="K29" i="15"/>
  <c r="O37" i="15"/>
  <c r="K41" i="15"/>
  <c r="M42" i="15"/>
  <c r="D58" i="15"/>
  <c r="P58" i="15" s="1"/>
  <c r="O50" i="15"/>
  <c r="L51" i="15"/>
  <c r="M52" i="15"/>
  <c r="K52" i="15"/>
  <c r="P56" i="15"/>
  <c r="H74" i="15"/>
  <c r="L71" i="15"/>
  <c r="M72" i="15"/>
  <c r="K72" i="15"/>
  <c r="F74" i="15"/>
  <c r="D88" i="15"/>
  <c r="N82" i="15"/>
  <c r="L83" i="15"/>
  <c r="M84" i="15"/>
  <c r="K84" i="15"/>
  <c r="M86" i="15"/>
  <c r="E89" i="15"/>
  <c r="N98" i="15"/>
  <c r="P98" i="15"/>
  <c r="M101" i="15"/>
  <c r="C104" i="15"/>
  <c r="N110" i="15"/>
  <c r="P110" i="15"/>
  <c r="M113" i="15"/>
  <c r="L117" i="15"/>
  <c r="M119" i="15"/>
  <c r="D133" i="15"/>
  <c r="L145" i="15"/>
  <c r="L154" i="15"/>
  <c r="L155" i="15"/>
  <c r="P156" i="15"/>
  <c r="P158" i="15"/>
  <c r="M159" i="15"/>
  <c r="O4" i="15"/>
  <c r="K8" i="15"/>
  <c r="L9" i="15"/>
  <c r="M10" i="15"/>
  <c r="H13" i="15"/>
  <c r="L21" i="15"/>
  <c r="M22" i="15"/>
  <c r="M34" i="15"/>
  <c r="L41" i="15"/>
  <c r="P42" i="15"/>
  <c r="N42" i="15"/>
  <c r="H43" i="15"/>
  <c r="K89" i="15"/>
  <c r="O89" i="15"/>
  <c r="M95" i="15"/>
  <c r="K95" i="15"/>
  <c r="O102" i="15"/>
  <c r="H104" i="15"/>
  <c r="K102" i="15"/>
  <c r="O114" i="15"/>
  <c r="K114" i="15"/>
  <c r="O140" i="15"/>
  <c r="K140" i="15"/>
  <c r="M9" i="15"/>
  <c r="P12" i="15"/>
  <c r="M21" i="15"/>
  <c r="E29" i="15"/>
  <c r="N29" i="15" s="1"/>
  <c r="M41" i="15"/>
  <c r="O53" i="15"/>
  <c r="P55" i="15"/>
  <c r="L57" i="15"/>
  <c r="C73" i="15"/>
  <c r="M64" i="15"/>
  <c r="P67" i="15"/>
  <c r="L69" i="15"/>
  <c r="P70" i="15"/>
  <c r="F88" i="15"/>
  <c r="P88" i="15" s="1"/>
  <c r="P79" i="15"/>
  <c r="L81" i="15"/>
  <c r="P82" i="15"/>
  <c r="K85" i="15"/>
  <c r="O85" i="15"/>
  <c r="F103" i="15"/>
  <c r="P103" i="15" s="1"/>
  <c r="N94" i="15"/>
  <c r="P94" i="15"/>
  <c r="P96" i="15"/>
  <c r="M99" i="15"/>
  <c r="K100" i="15"/>
  <c r="M100" i="15"/>
  <c r="O100" i="15"/>
  <c r="N101" i="15"/>
  <c r="E104" i="15"/>
  <c r="N104" i="15" s="1"/>
  <c r="M111" i="15"/>
  <c r="K112" i="15"/>
  <c r="M112" i="15"/>
  <c r="O112" i="15"/>
  <c r="M116" i="15"/>
  <c r="L119" i="15"/>
  <c r="O119" i="15"/>
  <c r="K119" i="15"/>
  <c r="O128" i="15"/>
  <c r="L128" i="15"/>
  <c r="P131" i="15"/>
  <c r="F134" i="15"/>
  <c r="N139" i="15"/>
  <c r="E148" i="15"/>
  <c r="N148" i="15" s="1"/>
  <c r="L139" i="15"/>
  <c r="M142" i="15"/>
  <c r="F149" i="15"/>
  <c r="P149" i="15" s="1"/>
  <c r="P146" i="15"/>
  <c r="N146" i="15"/>
  <c r="P147" i="15"/>
  <c r="M157" i="15"/>
  <c r="N159" i="15"/>
  <c r="L159" i="15"/>
  <c r="M8" i="15"/>
  <c r="M20" i="15"/>
  <c r="E28" i="15"/>
  <c r="N28" i="15" s="1"/>
  <c r="N41" i="15"/>
  <c r="L54" i="15"/>
  <c r="H59" i="15"/>
  <c r="P72" i="15"/>
  <c r="F89" i="15"/>
  <c r="P89" i="15" s="1"/>
  <c r="P86" i="15"/>
  <c r="L116" i="15"/>
  <c r="M127" i="15"/>
  <c r="L130" i="15"/>
  <c r="P144" i="15"/>
  <c r="M145" i="15"/>
  <c r="F163" i="15"/>
  <c r="C163" i="15"/>
  <c r="M163" i="15" s="1"/>
  <c r="M155" i="15"/>
  <c r="M160" i="15"/>
  <c r="N160" i="15"/>
  <c r="P171" i="15"/>
  <c r="N177" i="15"/>
  <c r="E179" i="15"/>
  <c r="N179" i="15" s="1"/>
  <c r="P41" i="15"/>
  <c r="H58" i="15"/>
  <c r="K49" i="15"/>
  <c r="M54" i="15"/>
  <c r="N64" i="15"/>
  <c r="O64" i="15"/>
  <c r="K65" i="15"/>
  <c r="O65" i="15"/>
  <c r="M66" i="15"/>
  <c r="L70" i="15"/>
  <c r="H88" i="15"/>
  <c r="L82" i="15"/>
  <c r="G89" i="15"/>
  <c r="L95" i="15"/>
  <c r="O96" i="15"/>
  <c r="L96" i="15"/>
  <c r="M97" i="15"/>
  <c r="N99" i="15"/>
  <c r="L102" i="15"/>
  <c r="E118" i="15"/>
  <c r="N118" i="15" s="1"/>
  <c r="N109" i="15"/>
  <c r="M109" i="15"/>
  <c r="N111" i="15"/>
  <c r="L114" i="15"/>
  <c r="L131" i="15"/>
  <c r="K134" i="15"/>
  <c r="O134" i="15"/>
  <c r="L134" i="15"/>
  <c r="L140" i="15"/>
  <c r="N142" i="15"/>
  <c r="O145" i="15"/>
  <c r="H149" i="15"/>
  <c r="K146" i="15"/>
  <c r="O146" i="15"/>
  <c r="O155" i="15"/>
  <c r="N162" i="15"/>
  <c r="L162" i="15"/>
  <c r="B178" i="15"/>
  <c r="J178" i="15"/>
  <c r="M172" i="15"/>
  <c r="O175" i="15"/>
  <c r="M175" i="15"/>
  <c r="K70" i="15"/>
  <c r="K82" i="15"/>
  <c r="P85" i="15"/>
  <c r="H103" i="15"/>
  <c r="M103" i="15" s="1"/>
  <c r="P97" i="15"/>
  <c r="E103" i="15"/>
  <c r="N103" i="15" s="1"/>
  <c r="P109" i="15"/>
  <c r="N115" i="15"/>
  <c r="O116" i="15"/>
  <c r="L125" i="15"/>
  <c r="M126" i="15"/>
  <c r="K126" i="15"/>
  <c r="N141" i="15"/>
  <c r="O142" i="15"/>
  <c r="K142" i="15"/>
  <c r="L169" i="15"/>
  <c r="H178" i="15"/>
  <c r="P179" i="15"/>
  <c r="L101" i="15"/>
  <c r="M102" i="15"/>
  <c r="L113" i="15"/>
  <c r="M114" i="15"/>
  <c r="F118" i="15"/>
  <c r="P118" i="15" s="1"/>
  <c r="F133" i="15"/>
  <c r="P133" i="15" s="1"/>
  <c r="P124" i="15"/>
  <c r="N129" i="15"/>
  <c r="O130" i="15"/>
  <c r="K130" i="15"/>
  <c r="M134" i="15"/>
  <c r="G148" i="15"/>
  <c r="M140" i="15"/>
  <c r="P141" i="15"/>
  <c r="B163" i="15"/>
  <c r="J163" i="15"/>
  <c r="K156" i="15"/>
  <c r="M156" i="15"/>
  <c r="M177" i="15"/>
  <c r="M94" i="15"/>
  <c r="I118" i="15"/>
  <c r="M117" i="15"/>
  <c r="H118" i="15"/>
  <c r="K124" i="15"/>
  <c r="M124" i="15"/>
  <c r="K125" i="15"/>
  <c r="N131" i="15"/>
  <c r="K132" i="15"/>
  <c r="M132" i="15"/>
  <c r="E133" i="15"/>
  <c r="N133" i="15" s="1"/>
  <c r="I148" i="15"/>
  <c r="L142" i="15"/>
  <c r="D163" i="15"/>
  <c r="G163" i="15"/>
  <c r="N157" i="15"/>
  <c r="K158" i="15"/>
  <c r="O158" i="15"/>
  <c r="P159" i="15"/>
  <c r="O160" i="15"/>
  <c r="M164" i="15"/>
  <c r="C178" i="15"/>
  <c r="K169" i="15"/>
  <c r="P170" i="15"/>
  <c r="N175" i="15"/>
  <c r="P164" i="15"/>
  <c r="O172" i="15"/>
  <c r="L172" i="15"/>
  <c r="O174" i="15"/>
  <c r="L174" i="15"/>
  <c r="K174" i="15"/>
  <c r="C118" i="15"/>
  <c r="B133" i="15"/>
  <c r="J133" i="15"/>
  <c r="M130" i="15"/>
  <c r="G134" i="15"/>
  <c r="H133" i="15"/>
  <c r="L143" i="15"/>
  <c r="N147" i="15"/>
  <c r="L147" i="15"/>
  <c r="P154" i="15"/>
  <c r="N161" i="15"/>
  <c r="E164" i="15"/>
  <c r="N164" i="15" s="1"/>
  <c r="M161" i="15"/>
  <c r="O162" i="15"/>
  <c r="H164" i="15"/>
  <c r="K162" i="15"/>
  <c r="E178" i="15"/>
  <c r="N178" i="15" s="1"/>
  <c r="N169" i="15"/>
  <c r="O169" i="15"/>
  <c r="N171" i="15"/>
  <c r="L171" i="15"/>
  <c r="L177" i="15"/>
  <c r="O177" i="15"/>
  <c r="O170" i="15"/>
  <c r="H179" i="15"/>
  <c r="L7" i="19"/>
  <c r="O10" i="19"/>
  <c r="N176" i="15"/>
  <c r="L6" i="19"/>
  <c r="N8" i="19"/>
  <c r="O9" i="19"/>
  <c r="M6" i="19"/>
  <c r="N7" i="19"/>
  <c r="K12" i="19"/>
  <c r="P176" i="15"/>
  <c r="L4" i="19"/>
  <c r="M5" i="19"/>
  <c r="O7" i="19"/>
  <c r="K11" i="19"/>
  <c r="L12" i="19"/>
  <c r="K10" i="19"/>
  <c r="L11" i="19"/>
  <c r="K9" i="19"/>
  <c r="M11" i="19"/>
  <c r="K8" i="19"/>
  <c r="O163" i="15" l="1"/>
  <c r="L163" i="15"/>
  <c r="K163" i="15"/>
  <c r="P163" i="15"/>
  <c r="L89" i="15"/>
  <c r="M148" i="15"/>
  <c r="K149" i="15"/>
  <c r="O149" i="15"/>
  <c r="L149" i="15"/>
  <c r="N149" i="15"/>
  <c r="L43" i="15"/>
  <c r="K43" i="15"/>
  <c r="O43" i="15"/>
  <c r="K13" i="15"/>
  <c r="O13" i="15"/>
  <c r="L13" i="15"/>
  <c r="L74" i="15"/>
  <c r="O74" i="15"/>
  <c r="K74" i="15"/>
  <c r="N14" i="15"/>
  <c r="L59" i="15"/>
  <c r="O59" i="15"/>
  <c r="K59" i="15"/>
  <c r="O104" i="15"/>
  <c r="L104" i="15"/>
  <c r="K104" i="15"/>
  <c r="M104" i="15"/>
  <c r="P148" i="15"/>
  <c r="M58" i="15"/>
  <c r="L28" i="15"/>
  <c r="K28" i="15"/>
  <c r="O28" i="15"/>
  <c r="M149" i="15"/>
  <c r="L58" i="15"/>
  <c r="K58" i="15"/>
  <c r="O58" i="15"/>
  <c r="L179" i="15"/>
  <c r="K179" i="15"/>
  <c r="O179" i="15"/>
  <c r="M179" i="15"/>
  <c r="M118" i="15"/>
  <c r="L103" i="15"/>
  <c r="O103" i="15"/>
  <c r="K103" i="15"/>
  <c r="N163" i="15"/>
  <c r="P178" i="15"/>
  <c r="M88" i="15"/>
  <c r="N58" i="15"/>
  <c r="L148" i="15"/>
  <c r="M43" i="15"/>
  <c r="L133" i="15"/>
  <c r="O133" i="15"/>
  <c r="K133" i="15"/>
  <c r="K164" i="15"/>
  <c r="O164" i="15"/>
  <c r="L164" i="15"/>
  <c r="M178" i="15"/>
  <c r="P134" i="15"/>
  <c r="N134" i="15"/>
  <c r="M73" i="15"/>
  <c r="M133" i="15"/>
  <c r="M74" i="15"/>
  <c r="M29" i="15"/>
  <c r="P74" i="15"/>
  <c r="N74" i="15"/>
  <c r="O44" i="15"/>
  <c r="L44" i="15"/>
  <c r="K44" i="15"/>
  <c r="M13" i="15"/>
  <c r="K118" i="15"/>
  <c r="L118" i="15"/>
  <c r="O118" i="15"/>
  <c r="K178" i="15"/>
  <c r="O178" i="15"/>
  <c r="L178" i="15"/>
  <c r="K88" i="15"/>
  <c r="O88" i="15"/>
  <c r="L88" i="15"/>
  <c r="L29" i="15"/>
  <c r="N89" i="15"/>
  <c r="L14" i="15"/>
  <c r="K14" i="15"/>
  <c r="O14" i="15"/>
  <c r="N43" i="15"/>
  <c r="N88" i="15"/>
  <c r="L73" i="15"/>
</calcChain>
</file>

<file path=xl/sharedStrings.xml><?xml version="1.0" encoding="utf-8"?>
<sst xmlns="http://schemas.openxmlformats.org/spreadsheetml/2006/main" count="3061" uniqueCount="183">
  <si>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</si>
  <si>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</si>
  <si>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</si>
  <si>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</si>
  <si>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</si>
  <si>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</si>
  <si>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</si>
  <si>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</si>
  <si>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</si>
  <si>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</si>
  <si>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</si>
  <si>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</si>
  <si>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</si>
  <si>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</si>
  <si>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</si>
  <si>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</si>
  <si>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</si>
  <si>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</si>
  <si>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</si>
  <si>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</si>
  <si>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</si>
  <si>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</si>
  <si>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</si>
  <si>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</si>
  <si>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</si>
  <si>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</si>
  <si>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</si>
  <si>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</si>
  <si>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</si>
  <si>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</si>
  <si>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</si>
  <si>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</si>
  <si>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</si>
  <si>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</si>
  <si>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</si>
  <si>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</si>
  <si>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</si>
  <si>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</si>
  <si>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</si>
  <si>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</si>
  <si>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</si>
  <si>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</si>
  <si>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</si>
  <si>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</si>
  <si>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</si>
  <si>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</si>
  <si>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</si>
  <si>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</si>
  <si>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</si>
  <si>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</si>
  <si>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</si>
  <si>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</si>
  <si>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</si>
  <si>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</si>
  <si>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</si>
  <si>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</si>
  <si>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</si>
  <si>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</si>
  <si>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</si>
  <si>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</si>
  <si>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</si>
  <si>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</si>
  <si>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MalariaCases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</si>
  <si>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</si>
  <si>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</si>
  <si>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</si>
  <si>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</si>
  <si>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</si>
  <si>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</si>
  <si>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</si>
  <si>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</si>
  <si>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</si>
  <si>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</si>
  <si>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</si>
  <si>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</si>
  <si>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</si>
  <si>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</si>
  <si>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</si>
  <si>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</si>
  <si>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</si>
  <si>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</si>
  <si>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</si>
  <si>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</si>
  <si>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</si>
  <si>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</si>
  <si>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</si>
  <si>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</si>
  <si>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</si>
  <si>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</si>
  <si>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</si>
  <si>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</si>
  <si>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</si>
  <si>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</si>
  <si>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Malaria
Cases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</si>
  <si>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</si>
  <si>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</si>
  <si>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</si>
  <si>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</si>
  <si>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</si>
  <si>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</si>
  <si>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</si>
  <si>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</si>
  <si>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</si>
  <si>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</si>
  <si>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</si>
  <si>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</si>
  <si>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</si>
  <si>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</si>
  <si>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</si>
  <si>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</si>
  <si>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</si>
  <si>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</si>
  <si>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</si>
  <si>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</si>
  <si>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</si>
  <si>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</si>
  <si>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</si>
  <si>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</si>
  <si>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</si>
  <si>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</si>
  <si>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</si>
  <si>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</si>
  <si>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</si>
  <si>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</si>
  <si>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</si>
  <si>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</si>
  <si>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</si>
  <si>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</si>
  <si>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</si>
  <si>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</si>
  <si>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</si>
  <si>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</si>
  <si>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</si>
  <si>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</si>
  <si>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</si>
  <si>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</si>
  <si>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</si>
  <si>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</si>
  <si>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</si>
  <si>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</si>
  <si>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</si>
  <si>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</si>
  <si>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</si>
  <si>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</si>
  <si>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</si>
  <si>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</si>
  <si>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</si>
  <si>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</si>
  <si>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</si>
  <si>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</si>
  <si>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</si>
  <si>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</si>
  <si>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</si>
  <si>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</si>
  <si>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</si>
  <si>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</si>
  <si>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</si>
  <si>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</si>
  <si>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</si>
  <si>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</si>
  <si>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</si>
  <si>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</si>
  <si>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</si>
  <si>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</si>
  <si>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</si>
  <si>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</si>
  <si>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</si>
  <si>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</si>
  <si>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</si>
  <si>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</si>
  <si>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</si>
  <si>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</si>
  <si>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</si>
  <si>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</si>
  <si>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</si>
  <si>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</si>
  <si>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</si>
  <si>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</si>
  <si>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</si>
  <si>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</si>
  <si>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</si>
  <si>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</si>
  <si>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Export Year-End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</si>
</sst>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1BEECE1F-8BF7-A874-689D-6688FB856D17}"/>
            </a:ext>
          </a:extLst>
        </xdr:cNvPr>
        <xdr:cNvSpPr/>
      </xdr:nvSpPr>
      <xdr:spPr>
        <a:xfrm>
          <a:off x="0" y="1581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F12FAE79-5348-ED45-93D3-4B250C283741}"/>
            </a:ext>
          </a:extLst>
        </xdr:cNvPr>
        <xdr:cNvSpPr/>
      </xdr:nvSpPr>
      <xdr:spPr>
        <a:xfrm>
          <a:off x="0" y="1962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9830637A-4F9B-0B8C-A7AA-F97DFC8A4A84}"/>
            </a:ext>
          </a:extLst>
        </xdr:cNvPr>
        <xdr:cNvSpPr/>
      </xdr:nvSpPr>
      <xdr:spPr>
        <a:xfrm>
          <a:off x="0" y="2343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78CB9865-718D-CFCE-A493-2F01D0284541}"/>
            </a:ext>
          </a:extLst>
        </xdr:cNvPr>
        <xdr:cNvSpPr/>
      </xdr:nvSpPr>
      <xdr:spPr>
        <a:xfrm>
          <a:off x="0" y="2724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B41569B6-B739-09C3-A5C0-AB43E941A7A0}"/>
            </a:ext>
          </a:extLst>
        </xdr:cNvPr>
        <xdr:cNvSpPr/>
      </xdr:nvSpPr>
      <xdr:spPr>
        <a:xfrm>
          <a:off x="0" y="3105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ExportCarryForward" textlink="">
      <xdr:nvSpPr>
        <xdr:cNvPr id="7" name="btnExportYearEnd">
          <a:extLst>
            <a:ext uri="{FF2B5EF4-FFF2-40B4-BE49-F238E27FC236}">
              <a16:creationId xmlns:a16="http://schemas.microsoft.com/office/drawing/2014/main" id="{9434B7FE-5195-9443-6A9D-76CD0FEBE3E1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Export Year-End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M2">
  <autoFilter ref="A1:M2" xr:uid="{00000000-0009-0000-0100-000003000000}"/>
  <tableColumns count="13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MalariaCases"/>
    <tableColumn id="13" xr3:uid="{00000000-0010-0000-0200-00000D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8" ht="15.75" x14ac:dyDescent="0.25">
      <c r="A2" s="24" t="s">
        <v>1</v>
      </c>
      <c r="B2" s="21"/>
      <c r="C2" s="21"/>
      <c r="D2" s="21"/>
      <c r="E2" s="21"/>
      <c r="F2" s="21"/>
      <c r="G2" s="21"/>
      <c r="H2" s="21"/>
    </row>
    <row r="3" spans="1:8" x14ac:dyDescent="0.25">
      <c r="A3" s="20" t="s">
        <v>2</v>
      </c>
      <c r="B3" s="21"/>
      <c r="C3" s="21"/>
      <c r="D3" s="21"/>
      <c r="E3" s="21"/>
      <c r="F3" s="21"/>
      <c r="G3" s="21"/>
      <c r="H3" s="21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3" t="s">
        <v>5</v>
      </c>
      <c r="B7" s="21"/>
      <c r="C7" s="21"/>
      <c r="D7" s="21"/>
      <c r="E7" s="21"/>
      <c r="F7" s="21"/>
      <c r="G7" s="21"/>
      <c r="H7" s="21"/>
    </row>
    <row r="9" spans="1:8" x14ac:dyDescent="0.25">
      <c r="A9" s="22" t="s">
        <v>177</v>
      </c>
      <c r="B9" s="21"/>
      <c r="C9" s="21"/>
      <c r="D9" s="2" t="s">
        <v>6</v>
      </c>
    </row>
    <row r="11" spans="1:8" x14ac:dyDescent="0.25">
      <c r="A11" s="22" t="s">
        <v>178</v>
      </c>
      <c r="B11" s="21"/>
      <c r="C11" s="21"/>
      <c r="D11" s="2" t="s">
        <v>7</v>
      </c>
    </row>
    <row r="13" spans="1:8" x14ac:dyDescent="0.25">
      <c r="A13" s="22" t="s">
        <v>179</v>
      </c>
      <c r="B13" s="21"/>
      <c r="C13" s="21"/>
      <c r="D13" s="2" t="s">
        <v>8</v>
      </c>
    </row>
    <row r="15" spans="1:8" x14ac:dyDescent="0.25">
      <c r="A15" s="22" t="s">
        <v>180</v>
      </c>
      <c r="B15" s="21"/>
      <c r="C15" s="21"/>
      <c r="D15" s="2" t="s">
        <v>9</v>
      </c>
    </row>
    <row r="17" spans="1:6" x14ac:dyDescent="0.25">
      <c r="A17" s="22" t="s">
        <v>181</v>
      </c>
      <c r="B17" s="21"/>
      <c r="C17" s="21"/>
      <c r="D17" s="2" t="s">
        <v>10</v>
      </c>
    </row>
    <row r="18" spans="1:6" ht="15.75" x14ac:dyDescent="0.25">
      <c r="A18" s="3" t="s">
        <v>11</v>
      </c>
    </row>
    <row r="19" spans="1:6" x14ac:dyDescent="0.25">
      <c r="A19" s="4" t="s">
        <v>182</v>
      </c>
      <c r="B19" s="4" t="s">
        <v>13</v>
      </c>
      <c r="C19" s="4" t="s">
        <v>14</v>
      </c>
      <c r="D19" s="4" t="s">
        <v>15</v>
      </c>
      <c r="E19" s="4" t="s">
        <v>16</v>
      </c>
      <c r="F19" s="4" t="s">
        <v>17</v>
      </c>
    </row>
    <row r="20" spans="1:6" x14ac:dyDescent="0.25">
      <c r="A20" s="5" t="s">
        <v>18</v>
      </c>
      <c r="B20" s="5" t="s">
        <v>19</v>
      </c>
      <c r="C20" s="5">
        <v>32</v>
      </c>
      <c r="D20" s="5">
        <v>0</v>
      </c>
      <c r="E20" s="5" t="b">
        <v>0</v>
      </c>
      <c r="F20" s="5">
        <v>1</v>
      </c>
    </row>
    <row r="21" spans="1:6" x14ac:dyDescent="0.25">
      <c r="A21" s="5" t="s">
        <v>20</v>
      </c>
      <c r="B21" s="5" t="s">
        <v>21</v>
      </c>
      <c r="C21" s="5">
        <v>28</v>
      </c>
      <c r="D21" s="5">
        <v>0</v>
      </c>
      <c r="E21" s="5" t="b">
        <v>0</v>
      </c>
      <c r="F21" s="5">
        <v>2</v>
      </c>
    </row>
    <row r="22" spans="1:6" x14ac:dyDescent="0.25">
      <c r="A22" s="5" t="s">
        <v>22</v>
      </c>
      <c r="B22" s="5" t="s">
        <v>23</v>
      </c>
      <c r="C22" s="5">
        <v>27</v>
      </c>
      <c r="D22" s="5">
        <v>0</v>
      </c>
      <c r="E22" s="5" t="b">
        <v>0</v>
      </c>
      <c r="F22" s="5">
        <v>3</v>
      </c>
    </row>
    <row r="23" spans="1:6" x14ac:dyDescent="0.25">
      <c r="A23" s="5" t="s">
        <v>24</v>
      </c>
      <c r="B23" s="5" t="s">
        <v>25</v>
      </c>
      <c r="C23" s="5">
        <v>20</v>
      </c>
      <c r="D23" s="5">
        <v>0</v>
      </c>
      <c r="E23" s="5" t="b">
        <v>0</v>
      </c>
      <c r="F23" s="5">
        <v>4</v>
      </c>
    </row>
    <row r="24" spans="1:6" x14ac:dyDescent="0.25">
      <c r="A24" s="5" t="s">
        <v>26</v>
      </c>
      <c r="B24" s="5" t="s">
        <v>27</v>
      </c>
      <c r="C24" s="5">
        <v>14</v>
      </c>
      <c r="D24" s="5">
        <v>0</v>
      </c>
      <c r="E24" s="5" t="b">
        <v>0</v>
      </c>
      <c r="F24" s="5">
        <v>5</v>
      </c>
    </row>
    <row r="25" spans="1:6" x14ac:dyDescent="0.25">
      <c r="A25" s="5" t="s">
        <v>28</v>
      </c>
      <c r="B25" s="5" t="s">
        <v>29</v>
      </c>
      <c r="C25" s="5">
        <v>22</v>
      </c>
      <c r="D25" s="5">
        <v>0</v>
      </c>
      <c r="E25" s="5" t="b">
        <v>0</v>
      </c>
      <c r="F25" s="5">
        <v>6</v>
      </c>
    </row>
    <row r="26" spans="1:6" x14ac:dyDescent="0.25">
      <c r="A26" s="5" t="s">
        <v>30</v>
      </c>
      <c r="B26" s="5" t="s">
        <v>31</v>
      </c>
      <c r="C26" s="5">
        <v>15</v>
      </c>
      <c r="D26" s="5">
        <v>0</v>
      </c>
      <c r="E26" s="5" t="b">
        <v>0</v>
      </c>
      <c r="F26" s="5">
        <v>7</v>
      </c>
    </row>
    <row r="27" spans="1:6" x14ac:dyDescent="0.25">
      <c r="A27" s="5" t="s">
        <v>32</v>
      </c>
      <c r="B27" s="5" t="s">
        <v>33</v>
      </c>
      <c r="C27" s="5">
        <v>10</v>
      </c>
      <c r="D27" s="5">
        <v>0</v>
      </c>
      <c r="E27" s="5" t="b">
        <v>1</v>
      </c>
      <c r="F27" s="5">
        <v>8</v>
      </c>
    </row>
    <row r="28" spans="1:6" x14ac:dyDescent="0.25">
      <c r="A28" s="5" t="s">
        <v>34</v>
      </c>
      <c r="B28" s="5" t="s">
        <v>35</v>
      </c>
      <c r="C28" s="5">
        <v>10</v>
      </c>
      <c r="D28" s="5">
        <v>0</v>
      </c>
      <c r="E28" s="5" t="b">
        <v>1</v>
      </c>
      <c r="F28" s="5">
        <v>9</v>
      </c>
    </row>
    <row r="30" spans="1:6" ht="15.75" x14ac:dyDescent="0.25">
      <c r="A30" s="3" t="s">
        <v>36</v>
      </c>
    </row>
    <row r="31" spans="1:6" x14ac:dyDescent="0.25">
      <c r="A31" s="4" t="s">
        <v>37</v>
      </c>
      <c r="B31" s="4" t="s">
        <v>38</v>
      </c>
      <c r="C31" s="4" t="s">
        <v>39</v>
      </c>
    </row>
    <row r="32" spans="1:6" x14ac:dyDescent="0.25">
      <c r="A32" s="5">
        <v>1</v>
      </c>
      <c r="B32" s="5" t="s">
        <v>40</v>
      </c>
      <c r="C32" s="5">
        <v>31</v>
      </c>
    </row>
    <row r="33" spans="1:3" x14ac:dyDescent="0.25">
      <c r="A33" s="5">
        <v>2</v>
      </c>
      <c r="B33" s="5" t="s">
        <v>41</v>
      </c>
      <c r="C33" s="5">
        <v>28</v>
      </c>
    </row>
    <row r="34" spans="1:3" x14ac:dyDescent="0.25">
      <c r="A34" s="5">
        <v>3</v>
      </c>
      <c r="B34" s="5" t="s">
        <v>42</v>
      </c>
      <c r="C34" s="5">
        <v>31</v>
      </c>
    </row>
    <row r="35" spans="1:3" x14ac:dyDescent="0.25">
      <c r="A35" s="5">
        <v>4</v>
      </c>
      <c r="B35" s="5" t="s">
        <v>43</v>
      </c>
      <c r="C35" s="5">
        <v>30</v>
      </c>
    </row>
    <row r="36" spans="1:3" x14ac:dyDescent="0.25">
      <c r="A36" s="5">
        <v>5</v>
      </c>
      <c r="B36" s="5" t="s">
        <v>44</v>
      </c>
      <c r="C36" s="5">
        <v>31</v>
      </c>
    </row>
    <row r="37" spans="1:3" x14ac:dyDescent="0.25">
      <c r="A37" s="5">
        <v>6</v>
      </c>
      <c r="B37" s="5" t="s">
        <v>45</v>
      </c>
      <c r="C37" s="5">
        <v>30</v>
      </c>
    </row>
    <row r="38" spans="1:3" x14ac:dyDescent="0.25">
      <c r="A38" s="5">
        <v>7</v>
      </c>
      <c r="B38" s="5" t="s">
        <v>46</v>
      </c>
      <c r="C38" s="5">
        <v>31</v>
      </c>
    </row>
    <row r="39" spans="1:3" x14ac:dyDescent="0.25">
      <c r="A39" s="5">
        <v>8</v>
      </c>
      <c r="B39" s="5" t="s">
        <v>47</v>
      </c>
      <c r="C39" s="5">
        <v>31</v>
      </c>
    </row>
    <row r="40" spans="1:3" x14ac:dyDescent="0.25">
      <c r="A40" s="5">
        <v>9</v>
      </c>
      <c r="B40" s="5" t="s">
        <v>48</v>
      </c>
      <c r="C40" s="5">
        <v>30</v>
      </c>
    </row>
    <row r="41" spans="1:3" x14ac:dyDescent="0.25">
      <c r="A41" s="5">
        <v>10</v>
      </c>
      <c r="B41" s="5" t="s">
        <v>49</v>
      </c>
      <c r="C41" s="5">
        <v>31</v>
      </c>
    </row>
    <row r="42" spans="1:3" x14ac:dyDescent="0.25">
      <c r="A42" s="5">
        <v>11</v>
      </c>
      <c r="B42" s="5" t="s">
        <v>50</v>
      </c>
      <c r="C42" s="5">
        <v>30</v>
      </c>
    </row>
    <row r="43" spans="1:3" x14ac:dyDescent="0.25">
      <c r="A43" s="5">
        <v>12</v>
      </c>
      <c r="B43" s="5" t="s">
        <v>51</v>
      </c>
      <c r="C43" s="5">
        <v>31</v>
      </c>
    </row>
  </sheetData>
  <mergeCells count="9">
    <mergeCell ref="A17:C17"/>
    <mergeCell ref="A9:C9"/>
    <mergeCell ref="A1:H1"/>
    <mergeCell ref="A15:C15"/>
    <mergeCell ref="A3:H3"/>
    <mergeCell ref="A13:C13"/>
    <mergeCell ref="A11:C11"/>
    <mergeCell ref="A7:H7"/>
    <mergeCell ref="A2:H2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3" x14ac:dyDescent="0.25">
      <c r="A1" t="s">
        <v>52</v>
      </c>
      <c r="B1" t="s">
        <v>53</v>
      </c>
      <c r="C1" t="s">
        <v>12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64</v>
      </c>
      <c r="B1" t="s">
        <v>65</v>
      </c>
      <c r="C1" t="s">
        <v>53</v>
      </c>
      <c r="D1" t="s">
        <v>12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63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72</v>
      </c>
      <c r="B1" t="s">
        <v>73</v>
      </c>
      <c r="C1" t="s">
        <v>53</v>
      </c>
      <c r="D1" t="s">
        <v>12</v>
      </c>
      <c r="E1" t="s">
        <v>74</v>
      </c>
      <c r="F1" t="s">
        <v>75</v>
      </c>
      <c r="G1" t="s">
        <v>68</v>
      </c>
      <c r="H1" t="s">
        <v>69</v>
      </c>
      <c r="I1" t="s">
        <v>70</v>
      </c>
      <c r="J1" t="s">
        <v>71</v>
      </c>
      <c r="K1" t="s">
        <v>76</v>
      </c>
      <c r="L1" t="s">
        <v>77</v>
      </c>
      <c r="M1" t="s">
        <v>63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78</v>
      </c>
      <c r="B1" t="s">
        <v>79</v>
      </c>
      <c r="C1" t="s">
        <v>53</v>
      </c>
      <c r="D1" t="s">
        <v>80</v>
      </c>
      <c r="E1" t="s">
        <v>81</v>
      </c>
      <c r="F1" t="s">
        <v>66</v>
      </c>
      <c r="G1" t="s">
        <v>67</v>
      </c>
      <c r="H1" t="s">
        <v>63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84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IFERROR(INDEX(tblWardConfig[PrevYearRemaining],MATCH("MW",tblWardConfig[Export Year-End],0)),0)</f>
        <v>0</v>
      </c>
    </row>
    <row r="5" spans="1:9" x14ac:dyDescent="0.25">
      <c r="A5" s="1" t="s">
        <v>87</v>
      </c>
      <c r="H5" s="7">
        <f>IFERROR(INDEX(tblWardConfig[BedComplement],MATCH("MW",tblWardConfig[Export Year-End],0)),0)</f>
        <v>32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 t="str">
        <f>IFERROR(IF(SUMIFS(tblDaily[Discharges],tblDaily[EntryDate],DATE(2026,1,1),tblDaily[WardCode],"MW")=0,"",SUMIFS(tblDaily[Discharges],tblDaily[EntryDate],DATE(2026,1,1),tblDaily[WardCode],"MW")),"")</f>
        <v/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 t="str">
        <f>IFERROR(IF(SUMIFS(tblDaily[TransfersIn],tblDaily[EntryDate],DATE(2026,1,1),tblDaily[WardCode],"MW")=0,"",SUMIFS(tblDaily[TransfersIn],tblDaily[EntryDate],DATE(2026,1,1),tblDaily[WardCode],"MW")),"")</f>
        <v/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 t="str">
        <f>IFERROR(IF(SUMIFS(tblDaily[Remaining],tblDaily[EntryDate],DATE(2026,1,1),tblDaily[WardCode],"MW")=0,"",SUMIFS(tblDaily[Remaining],tblDaily[EntryDate],DATE(2026,1,1),tblDaily[WardCode],"MW")),"")</f>
        <v/>
      </c>
      <c r="I7" s="5" t="str">
        <f>IFERROR(IF(SUMIFS(tblDaily[MalariaCases],tblDaily[EntryDate],DATE(2026,1,1),tblDaily[WardCode],"MW")=0,"",SUMIFS(tblDaily[MalariaCases],tblDaily[EntryDate],DATE(2026,1,1),tblDaily[WardCode],"MW")),"")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 t="str">
        <f>IFERROR(IF(SUMIFS(tblDaily[Discharges],tblDaily[EntryDate],DATE(2026,1,2),tblDaily[WardCode],"MW")=0,"",SUMIFS(tblDaily[Discharges],tblDaily[EntryDate],DATE(2026,1,2),tblDaily[WardCode],"MW")),"")</f>
        <v/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 t="str">
        <f>IFERROR(IF(SUMIFS(tblDaily[Remaining],tblDaily[EntryDate],DATE(2026,1,2),tblDaily[WardCode],"MW")=0,"",SUMIFS(tblDaily[Remaining],tblDaily[EntryDate],DATE(2026,1,2),tblDaily[WardCode],"MW")),"")</f>
        <v/>
      </c>
      <c r="I8" s="5" t="str">
        <f>IFERROR(IF(SUMIFS(tblDaily[MalariaCases],tblDaily[EntryDate],DATE(2026,1,2),tblDaily[WardCode],"MW")=0,"",SUMIFS(tblDaily[MalariaCases],tblDaily[EntryDate],DATE(2026,1,2),tblDaily[WardCode],"MW")),"")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 t="str">
        <f>IFERROR(IF(SUMIFS(tblDaily[Discharges],tblDaily[EntryDate],DATE(2026,1,3),tblDaily[WardCode],"MW")=0,"",SUMIFS(tblDaily[Discharges],tblDaily[EntryDate],DATE(2026,1,3),tblDaily[WardCode],"MW")),"")</f>
        <v/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 t="str">
        <f>IFERROR(IF(SUMIFS(tblDaily[TransfersIn],tblDaily[EntryDate],DATE(2026,1,3),tblDaily[WardCode],"MW")=0,"",SUMIFS(tblDaily[TransfersIn],tblDaily[EntryDate],DATE(2026,1,3),tblDaily[WardCode],"MW")),"")</f>
        <v/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 t="str">
        <f>IFERROR(IF(SUMIFS(tblDaily[Remaining],tblDaily[EntryDate],DATE(2026,1,3),tblDaily[WardCode],"MW")=0,"",SUMIFS(tblDaily[Remaining],tblDaily[EntryDate],DATE(2026,1,3),tblDaily[WardCode],"MW")),"")</f>
        <v/>
      </c>
      <c r="I9" s="5" t="str">
        <f>IFERROR(IF(SUMIFS(tblDaily[MalariaCases],tblDaily[EntryDate],DATE(2026,1,3),tblDaily[WardCode],"MW")=0,"",SUMIFS(tblDaily[MalariaCases],tblDaily[EntryDate],DATE(2026,1,3),tblDaily[WardCode],"MW")),"")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IFERROR(IF(SUMIFS(tblDaily[Admissions],tblDaily[EntryDate],DATE(2026,1,4),tblDaily[WardCode],"MW")=0,"",SUMIFS(tblDaily[Admissions],tblDaily[EntryDate],DATE(2026,1,4),tblDaily[WardCode],"MW")),"")</f>
        <v/>
      </c>
      <c r="C10" s="5" t="str">
        <f>IFERROR(IF(SUMIFS(tblDaily[Discharges],tblDaily[EntryDate],DATE(2026,1,4),tblDaily[WardCode],"MW")=0,"",SUMIFS(tblDaily[Discharges],tblDaily[EntryDate],DATE(2026,1,4),tblDaily[WardCode],"MW")),"")</f>
        <v/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 t="str">
        <f>IFERROR(IF(SUMIFS(tblDaily[TransfersIn],tblDaily[EntryDate],DATE(2026,1,4),tblDaily[WardCode],"MW")=0,"",SUMIFS(tblDaily[TransfersIn],tblDaily[EntryDate],DATE(2026,1,4),tblDaily[WardCode],"MW")),"")</f>
        <v/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 t="str">
        <f>IFERROR(IF(SUMIFS(tblDaily[Remaining],tblDaily[EntryDate],DATE(2026,1,4),tblDaily[WardCode],"MW")=0,"",SUMIFS(tblDaily[Remaining],tblDaily[EntryDate],DATE(2026,1,4),tblDaily[WardCode],"MW")),"")</f>
        <v/>
      </c>
      <c r="I10" s="5" t="str">
        <f>IFERROR(IF(SUMIFS(tblDaily[MalariaCases],tblDaily[EntryDate],DATE(2026,1,4),tblDaily[WardCode],"MW")=0,"",SUMIFS(tblDaily[MalariaCases],tblDaily[EntryDate],DATE(2026,1,4),tblDaily[WardCode],"MW")),"")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IFERROR(IF(SUMIFS(tblDaily[Admissions],tblDaily[EntryDate],DATE(2026,1,5),tblDaily[WardCode],"MW")=0,"",SUMIFS(tblDaily[Admissions],tblDaily[EntryDate],DATE(2026,1,5),tblDaily[WardCode],"MW")),"")</f>
        <v/>
      </c>
      <c r="C11" s="5" t="str">
        <f>IFERROR(IF(SUMIFS(tblDaily[Discharges],tblDaily[EntryDate],DATE(2026,1,5),tblDaily[WardCode],"MW")=0,"",SUMIFS(tblDaily[Discharges],tblDaily[EntryDate],DATE(2026,1,5),tblDaily[WardCode],"MW")),"")</f>
        <v/>
      </c>
      <c r="D11" s="5" t="str">
        <f>IFERROR(IF(SUMIFS(tblDaily[Deaths],tblDaily[EntryDate],DATE(2026,1,5),tblDaily[WardCode],"MW")=0,"",SUMIFS(tblDaily[Deaths],tblDaily[EntryDate],DATE(2026,1,5),tblDaily[WardCode],"MW")),"")</f>
        <v/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 t="str">
        <f>IFERROR(IF(SUMIFS(tblDaily[Remaining],tblDaily[EntryDate],DATE(2026,1,5),tblDaily[WardCode],"MW")=0,"",SUMIFS(tblDaily[Remaining],tblDaily[EntryDate],DATE(2026,1,5),tblDaily[WardCode],"MW")),"")</f>
        <v/>
      </c>
      <c r="I11" s="5" t="str">
        <f>IFERROR(IF(SUMIFS(tblDaily[MalariaCases],tblDaily[EntryDate],DATE(2026,1,5),tblDaily[WardCode],"MW")=0,"",SUMIFS(tblDaily[MalariaCases],tblDaily[EntryDate],DATE(2026,1,5),tblDaily[WardCode],"MW")),"")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 t="str">
        <f>IFERROR(IF(SUMIFS(tblDaily[Discharges],tblDaily[EntryDate],DATE(2026,1,6),tblDaily[WardCode],"MW")=0,"",SUMIFS(tblDaily[Discharges],tblDaily[EntryDate],DATE(2026,1,6),tblDaily[WardCode],"MW")),"")</f>
        <v/>
      </c>
      <c r="D12" s="5" t="str">
        <f>IFERROR(IF(SUMIFS(tblDaily[Deaths],tblDaily[EntryDate],DATE(2026,1,6),tblDaily[WardCode],"MW")=0,"",SUMIFS(tblDaily[Deaths],tblDaily[EntryDate],DATE(2026,1,6),tblDaily[WardCode],"MW")),"")</f>
        <v/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 t="str">
        <f>IFERROR(IF(SUMIFS(tblDaily[TransfersIn],tblDaily[EntryDate],DATE(2026,1,6),tblDaily[WardCode],"MW")=0,"",SUMIFS(tblDaily[TransfersIn],tblDaily[EntryDate],DATE(2026,1,6),tblDaily[WardCode],"MW")),"")</f>
        <v/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 t="str">
        <f>IFERROR(IF(SUMIFS(tblDaily[Remaining],tblDaily[EntryDate],DATE(2026,1,6),tblDaily[WardCode],"MW")=0,"",SUMIFS(tblDaily[Remaining],tblDaily[EntryDate],DATE(2026,1,6),tblDaily[WardCode],"MW")),"")</f>
        <v/>
      </c>
      <c r="I12" s="5" t="str">
        <f>IFERROR(IF(SUMIFS(tblDaily[MalariaCases],tblDaily[EntryDate],DATE(2026,1,6),tblDaily[WardCode],"MW")=0,"",SUMIFS(tblDaily[MalariaCases],tblDaily[EntryDate],DATE(2026,1,6),tblDaily[WardCode],"MW")),"")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IFERROR(IF(SUMIFS(tblDaily[Admissions],tblDaily[EntryDate],DATE(2026,1,7),tblDaily[WardCode],"MW")=0,"",SUMIFS(tblDaily[Admissions],tblDaily[EntryDate],DATE(2026,1,7),tblDaily[WardCode],"MW")),"")</f>
        <v/>
      </c>
      <c r="C13" s="5" t="str">
        <f>IFERROR(IF(SUMIFS(tblDaily[Discharges],tblDaily[EntryDate],DATE(2026,1,7),tblDaily[WardCode],"MW")=0,"",SUMIFS(tblDaily[Discharges],tblDaily[EntryDate],DATE(2026,1,7),tblDaily[WardCode],"MW")),"")</f>
        <v/>
      </c>
      <c r="D13" s="5" t="str">
        <f>IFERROR(IF(SUMIFS(tblDaily[Deaths],tblDaily[EntryDate],DATE(2026,1,7),tblDaily[WardCode],"MW")=0,"",SUMIFS(tblDaily[Deaths],tblDaily[EntryDate],DATE(2026,1,7),tblDaily[WardCode],"MW")),"")</f>
        <v/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 t="str">
        <f>IFERROR(IF(SUMIFS(tblDaily[TransfersIn],tblDaily[EntryDate],DATE(2026,1,7),tblDaily[WardCode],"MW")=0,"",SUMIFS(tblDaily[TransfersIn],tblDaily[EntryDate],DATE(2026,1,7),tblDaily[WardCode],"MW")),"")</f>
        <v/>
      </c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 t="str">
        <f>IFERROR(IF(SUMIFS(tblDaily[Remaining],tblDaily[EntryDate],DATE(2026,1,7),tblDaily[WardCode],"MW")=0,"",SUMIFS(tblDaily[Remaining],tblDaily[EntryDate],DATE(2026,1,7),tblDaily[WardCode],"MW")),"")</f>
        <v/>
      </c>
      <c r="I13" s="5" t="str">
        <f>IFERROR(IF(SUMIFS(tblDaily[MalariaCases],tblDaily[EntryDate],DATE(2026,1,7),tblDaily[WardCode],"MW")=0,"",SUMIFS(tblDaily[MalariaCases],tblDaily[EntryDate],DATE(2026,1,7),tblDaily[WardCode],"MW")),"")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IFERROR(IF(SUMIFS(tblDaily[Admissions],tblDaily[EntryDate],DATE(2026,1,8),tblDaily[WardCode],"MW")=0,"",SUMIFS(tblDaily[Admissions],tblDaily[EntryDate],DATE(2026,1,8),tblDaily[WardCode],"MW")),"")</f>
        <v/>
      </c>
      <c r="C14" s="5" t="str">
        <f>IFERROR(IF(SUMIFS(tblDaily[Discharges],tblDaily[EntryDate],DATE(2026,1,8),tblDaily[WardCode],"MW")=0,"",SUMIFS(tblDaily[Discharges],tblDaily[EntryDate],DATE(2026,1,8),tblDaily[WardCode],"MW")),"")</f>
        <v/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 t="str">
        <f>IFERROR(IF(SUMIFS(tblDaily[Remaining],tblDaily[EntryDate],DATE(2026,1,8),tblDaily[WardCode],"MW")=0,"",SUMIFS(tblDaily[Remaining],tblDaily[EntryDate],DATE(2026,1,8),tblDaily[WardCode],"MW")),"")</f>
        <v/>
      </c>
      <c r="I14" s="5" t="str">
        <f>IFERROR(IF(SUMIFS(tblDaily[MalariaCases],tblDaily[EntryDate],DATE(2026,1,8),tblDaily[WardCode],"MW")=0,"",SUMIFS(tblDaily[MalariaCases],tblDaily[EntryDate],DATE(2026,1,8),tblDaily[WardCode],"MW")),"")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IFERROR(IF(SUMIFS(tblDaily[Admissions],tblDaily[EntryDate],DATE(2026,1,9),tblDaily[WardCode],"MW")=0,"",SUMIFS(tblDaily[Admissions],tblDaily[EntryDate],DATE(2026,1,9),tblDaily[WardCode],"MW")),"")</f>
        <v/>
      </c>
      <c r="C15" s="5" t="str">
        <f>IFERROR(IF(SUMIFS(tblDaily[Discharges],tblDaily[EntryDate],DATE(2026,1,9),tblDaily[WardCode],"MW")=0,"",SUMIFS(tblDaily[Discharges],tblDaily[EntryDate],DATE(2026,1,9),tblDaily[WardCode],"MW")),"")</f>
        <v/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 t="str">
        <f>IFERROR(IF(SUMIFS(tblDaily[TransfersIn],tblDaily[EntryDate],DATE(2026,1,9),tblDaily[WardCode],"MW")=0,"",SUMIFS(tblDaily[TransfersIn],tblDaily[EntryDate],DATE(2026,1,9),tblDaily[WardCode],"MW")),"")</f>
        <v/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 t="str">
        <f>IFERROR(IF(SUMIFS(tblDaily[Remaining],tblDaily[EntryDate],DATE(2026,1,9),tblDaily[WardCode],"MW")=0,"",SUMIFS(tblDaily[Remaining],tblDaily[EntryDate],DATE(2026,1,9),tblDaily[WardCode],"MW")),"")</f>
        <v/>
      </c>
      <c r="I15" s="5" t="str">
        <f>IFERROR(IF(SUMIFS(tblDaily[MalariaCases],tblDaily[EntryDate],DATE(2026,1,9),tblDaily[WardCode],"MW")=0,"",SUMIFS(tblDaily[MalariaCases],tblDaily[EntryDate],DATE(2026,1,9),tblDaily[WardCode],"MW")),"")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IFERROR(IF(SUMIFS(tblDaily[Admissions],tblDaily[EntryDate],DATE(2026,1,10),tblDaily[WardCode],"MW")=0,"",SUMIFS(tblDaily[Admissions],tblDaily[EntryDate],DATE(2026,1,10),tblDaily[WardCode],"MW")),"")</f>
        <v/>
      </c>
      <c r="C16" s="5" t="str">
        <f>IFERROR(IF(SUMIFS(tblDaily[Discharges],tblDaily[EntryDate],DATE(2026,1,10),tblDaily[WardCode],"MW")=0,"",SUMIFS(tblDaily[Discharges],tblDaily[EntryDate],DATE(2026,1,10),tblDaily[WardCode],"MW")),"")</f>
        <v/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 t="str">
        <f>IFERROR(IF(SUMIFS(tblDaily[Remaining],tblDaily[EntryDate],DATE(2026,1,10),tblDaily[WardCode],"MW")=0,"",SUMIFS(tblDaily[Remaining],tblDaily[EntryDate],DATE(2026,1,10),tblDaily[WardCode],"MW")),"")</f>
        <v/>
      </c>
      <c r="I16" s="5" t="str">
        <f>IFERROR(IF(SUMIFS(tblDaily[MalariaCases],tblDaily[EntryDate],DATE(2026,1,10),tblDaily[WardCode],"MW")=0,"",SUMIFS(tblDaily[MalariaCases],tblDaily[EntryDate],DATE(2026,1,10),tblDaily[WardCode],"MW")),"")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IFERROR(IF(SUMIFS(tblDaily[Admissions],tblDaily[EntryDate],DATE(2026,1,11),tblDaily[WardCode],"MW")=0,"",SUMIFS(tblDaily[Admissions],tblDaily[EntryDate],DATE(2026,1,11),tblDaily[WardCode],"MW")),"")</f>
        <v/>
      </c>
      <c r="C17" s="5" t="str">
        <f>IFERROR(IF(SUMIFS(tblDaily[Discharges],tblDaily[EntryDate],DATE(2026,1,11),tblDaily[WardCode],"MW")=0,"",SUMIFS(tblDaily[Discharges],tblDaily[EntryDate],DATE(2026,1,11),tblDaily[WardCode],"MW")),"")</f>
        <v/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 t="str">
        <f>IFERROR(IF(SUMIFS(tblDaily[TransfersIn],tblDaily[EntryDate],DATE(2026,1,11),tblDaily[WardCode],"MW")=0,"",SUMIFS(tblDaily[TransfersIn],tblDaily[EntryDate],DATE(2026,1,11),tblDaily[WardCode],"MW")),"")</f>
        <v/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 t="str">
        <f>IFERROR(IF(SUMIFS(tblDaily[Remaining],tblDaily[EntryDate],DATE(2026,1,11),tblDaily[WardCode],"MW")=0,"",SUMIFS(tblDaily[Remaining],tblDaily[EntryDate],DATE(2026,1,11),tblDaily[WardCode],"MW")),"")</f>
        <v/>
      </c>
      <c r="I17" s="5" t="str">
        <f>IFERROR(IF(SUMIFS(tblDaily[MalariaCases],tblDaily[EntryDate],DATE(2026,1,11),tblDaily[WardCode],"MW")=0,"",SUMIFS(tblDaily[MalariaCases],tblDaily[EntryDate],DATE(2026,1,11),tblDaily[WardCode],"MW")),"")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IFERROR(IF(SUMIFS(tblDaily[Admissions],tblDaily[EntryDate],DATE(2026,1,12),tblDaily[WardCode],"MW")=0,"",SUMIFS(tblDaily[Admissions],tblDaily[EntryDate],DATE(2026,1,12),tblDaily[WardCode],"MW")),"")</f>
        <v/>
      </c>
      <c r="C18" s="5" t="str">
        <f>IFERROR(IF(SUMIFS(tblDaily[Discharges],tblDaily[EntryDate],DATE(2026,1,12),tblDaily[WardCode],"MW")=0,"",SUMIFS(tblDaily[Discharges],tblDaily[EntryDate],DATE(2026,1,12),tblDaily[WardCode],"MW")),"")</f>
        <v/>
      </c>
      <c r="D18" s="5" t="str">
        <f>IFERROR(IF(SUMIFS(tblDaily[Deaths],tblDaily[EntryDate],DATE(2026,1,12),tblDaily[WardCode],"MW")=0,"",SUMIFS(tblDaily[Deaths],tblDaily[EntryDate],DATE(2026,1,12),tblDaily[WardCode],"MW")),"")</f>
        <v/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 t="str">
        <f>IFERROR(IF(SUMIFS(tblDaily[TransfersIn],tblDaily[EntryDate],DATE(2026,1,12),tblDaily[WardCode],"MW")=0,"",SUMIFS(tblDaily[TransfersIn],tblDaily[EntryDate],DATE(2026,1,12),tblDaily[WardCode],"MW")),"")</f>
        <v/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 t="str">
        <f>IFERROR(IF(SUMIFS(tblDaily[Remaining],tblDaily[EntryDate],DATE(2026,1,12),tblDaily[WardCode],"MW")=0,"",SUMIFS(tblDaily[Remaining],tblDaily[EntryDate],DATE(2026,1,12),tblDaily[WardCode],"MW")),"")</f>
        <v/>
      </c>
      <c r="I18" s="5" t="str">
        <f>IFERROR(IF(SUMIFS(tblDaily[MalariaCases],tblDaily[EntryDate],DATE(2026,1,12),tblDaily[WardCode],"MW")=0,"",SUMIFS(tblDaily[MalariaCases],tblDaily[EntryDate],DATE(2026,1,12),tblDaily[WardCode],"MW")),"")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IFERROR(IF(SUMIFS(tblDaily[Admissions],tblDaily[EntryDate],DATE(2026,1,13),tblDaily[WardCode],"MW")=0,"",SUMIFS(tblDaily[Admissions],tblDaily[EntryDate],DATE(2026,1,13),tblDaily[WardCode],"MW")),"")</f>
        <v/>
      </c>
      <c r="C19" s="5" t="str">
        <f>IFERROR(IF(SUMIFS(tblDaily[Discharges],tblDaily[EntryDate],DATE(2026,1,13),tblDaily[WardCode],"MW")=0,"",SUMIFS(tblDaily[Discharges],tblDaily[EntryDate],DATE(2026,1,13),tblDaily[WardCode],"MW")),"")</f>
        <v/>
      </c>
      <c r="D19" s="5" t="str">
        <f>IFERROR(IF(SUMIFS(tblDaily[Deaths],tblDaily[EntryDate],DATE(2026,1,13),tblDaily[WardCode],"MW")=0,"",SUMIFS(tblDaily[Deaths],tblDaily[EntryDate],DATE(2026,1,13),tblDaily[WardCode],"MW")),"")</f>
        <v/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 t="str">
        <f>IFERROR(IF(SUMIFS(tblDaily[TransfersIn],tblDaily[EntryDate],DATE(2026,1,13),tblDaily[WardCode],"MW")=0,"",SUMIFS(tblDaily[TransfersIn],tblDaily[EntryDate],DATE(2026,1,13),tblDaily[WardCode],"MW")),"")</f>
        <v/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 t="str">
        <f>IFERROR(IF(SUMIFS(tblDaily[Remaining],tblDaily[EntryDate],DATE(2026,1,13),tblDaily[WardCode],"MW")=0,"",SUMIFS(tblDaily[Remaining],tblDaily[EntryDate],DATE(2026,1,13),tblDaily[WardCode],"MW")),"")</f>
        <v/>
      </c>
      <c r="I19" s="5" t="str">
        <f>IFERROR(IF(SUMIFS(tblDaily[MalariaCases],tblDaily[EntryDate],DATE(2026,1,13),tblDaily[WardCode],"MW")=0,"",SUMIFS(tblDaily[MalariaCases],tblDaily[EntryDate],DATE(2026,1,13),tblDaily[WardCode],"MW")),"")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IFERROR(IF(SUMIFS(tblDaily[Admissions],tblDaily[EntryDate],DATE(2026,1,14),tblDaily[WardCode],"MW")=0,"",SUMIFS(tblDaily[Admissions],tblDaily[EntryDate],DATE(2026,1,14),tblDaily[WardCode],"MW")),"")</f>
        <v/>
      </c>
      <c r="C20" s="5" t="str">
        <f>IFERROR(IF(SUMIFS(tblDaily[Discharges],tblDaily[EntryDate],DATE(2026,1,14),tblDaily[WardCode],"MW")=0,"",SUMIFS(tblDaily[Discharges],tblDaily[EntryDate],DATE(2026,1,14),tblDaily[WardCode],"MW")),"")</f>
        <v/>
      </c>
      <c r="D20" s="5" t="str">
        <f>IFERROR(IF(SUMIFS(tblDaily[Deaths],tblDaily[EntryDate],DATE(2026,1,14),tblDaily[WardCode],"MW")=0,"",SUMIFS(tblDaily[Deaths],tblDaily[EntryDate],DATE(2026,1,14),tblDaily[WardCode],"MW")),"")</f>
        <v/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 t="str">
        <f>IFERROR(IF(SUMIFS(tblDaily[TransfersIn],tblDaily[EntryDate],DATE(2026,1,14),tblDaily[WardCode],"MW")=0,"",SUMIFS(tblDaily[TransfersIn],tblDaily[EntryDate],DATE(2026,1,14),tblDaily[WardCode],"MW")),"")</f>
        <v/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 t="str">
        <f>IFERROR(IF(SUMIFS(tblDaily[Remaining],tblDaily[EntryDate],DATE(2026,1,14),tblDaily[WardCode],"MW")=0,"",SUMIFS(tblDaily[Remaining],tblDaily[EntryDate],DATE(2026,1,14),tblDaily[WardCode],"MW")),"")</f>
        <v/>
      </c>
      <c r="I20" s="5" t="str">
        <f>IFERROR(IF(SUMIFS(tblDaily[MalariaCases],tblDaily[EntryDate],DATE(2026,1,14),tblDaily[WardCode],"MW")=0,"",SUMIFS(tblDaily[MalariaCases],tblDaily[EntryDate],DATE(2026,1,14),tblDaily[WardCode],"MW")),"")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IFERROR(IF(SUMIFS(tblDaily[Admissions],tblDaily[EntryDate],DATE(2026,1,15),tblDaily[WardCode],"MW")=0,"",SUMIFS(tblDaily[Admissions],tblDaily[EntryDate],DATE(2026,1,15),tblDaily[WardCode],"MW")),"")</f>
        <v/>
      </c>
      <c r="C21" s="5" t="str">
        <f>IFERROR(IF(SUMIFS(tblDaily[Discharges],tblDaily[EntryDate],DATE(2026,1,15),tblDaily[WardCode],"MW")=0,"",SUMIFS(tblDaily[Discharges],tblDaily[EntryDate],DATE(2026,1,15),tblDaily[WardCode],"MW")),"")</f>
        <v/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 t="str">
        <f>IFERROR(IF(SUMIFS(tblDaily[Remaining],tblDaily[EntryDate],DATE(2026,1,15),tblDaily[WardCode],"MW")=0,"",SUMIFS(tblDaily[Remaining],tblDaily[EntryDate],DATE(2026,1,15),tblDaily[WardCode],"MW")),"")</f>
        <v/>
      </c>
      <c r="I21" s="5" t="str">
        <f>IFERROR(IF(SUMIFS(tblDaily[MalariaCases],tblDaily[EntryDate],DATE(2026,1,15),tblDaily[WardCode],"MW")=0,"",SUMIFS(tblDaily[MalariaCases],tblDaily[EntryDate],DATE(2026,1,15),tblDaily[WardCode],"MW")),"")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IFERROR(IF(SUMIFS(tblDaily[Admissions],tblDaily[EntryDate],DATE(2026,1,16),tblDaily[WardCode],"MW")=0,"",SUMIFS(tblDaily[Admissions],tblDaily[EntryDate],DATE(2026,1,16),tblDaily[WardCode],"MW")),"")</f>
        <v/>
      </c>
      <c r="C22" s="5" t="str">
        <f>IFERROR(IF(SUMIFS(tblDaily[Discharges],tblDaily[EntryDate],DATE(2026,1,16),tblDaily[WardCode],"MW")=0,"",SUMIFS(tblDaily[Discharges],tblDaily[EntryDate],DATE(2026,1,16),tblDaily[WardCode],"MW")),"")</f>
        <v/>
      </c>
      <c r="D22" s="5" t="str">
        <f>IFERROR(IF(SUMIFS(tblDaily[Deaths],tblDaily[EntryDate],DATE(2026,1,16),tblDaily[WardCode],"MW")=0,"",SUMIFS(tblDaily[Deaths],tblDaily[EntryDate],DATE(2026,1,16),tblDaily[WardCode],"MW")),"")</f>
        <v/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 t="str">
        <f>IFERROR(IF(SUMIFS(tblDaily[Remaining],tblDaily[EntryDate],DATE(2026,1,16),tblDaily[WardCode],"MW")=0,"",SUMIFS(tblDaily[Remaining],tblDaily[EntryDate],DATE(2026,1,16),tblDaily[WardCode],"MW")),"")</f>
        <v/>
      </c>
      <c r="I22" s="5" t="str">
        <f>IFERROR(IF(SUMIFS(tblDaily[MalariaCases],tblDaily[EntryDate],DATE(2026,1,16),tblDaily[WardCode],"MW")=0,"",SUMIFS(tblDaily[MalariaCases],tblDaily[EntryDate],DATE(2026,1,16),tblDaily[WardCode],"MW")),"")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 t="str">
        <f>IFERROR(IF(SUMIFS(tblDaily[Discharges],tblDaily[EntryDate],DATE(2026,1,17),tblDaily[WardCode],"MW")=0,"",SUMIFS(tblDaily[Discharges],tblDaily[EntryDate],DATE(2026,1,17),tblDaily[WardCode],"MW")),"")</f>
        <v/>
      </c>
      <c r="D23" s="5" t="str">
        <f>IFERROR(IF(SUMIFS(tblDaily[Deaths],tblDaily[EntryDate],DATE(2026,1,17),tblDaily[WardCode],"MW")=0,"",SUMIFS(tblDaily[Deaths],tblDaily[EntryDate],DATE(2026,1,17),tblDaily[WardCode],"MW")),"")</f>
        <v/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 t="str">
        <f>IFERROR(IF(SUMIFS(tblDaily[TransfersIn],tblDaily[EntryDate],DATE(2026,1,17),tblDaily[WardCode],"MW")=0,"",SUMIFS(tblDaily[TransfersIn],tblDaily[EntryDate],DATE(2026,1,17),tblDaily[WardCode],"MW")),"")</f>
        <v/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 t="str">
        <f>IFERROR(IF(SUMIFS(tblDaily[Remaining],tblDaily[EntryDate],DATE(2026,1,17),tblDaily[WardCode],"MW")=0,"",SUMIFS(tblDaily[Remaining],tblDaily[EntryDate],DATE(2026,1,17),tblDaily[WardCode],"MW")),"")</f>
        <v/>
      </c>
      <c r="I23" s="5" t="str">
        <f>IFERROR(IF(SUMIFS(tblDaily[MalariaCases],tblDaily[EntryDate],DATE(2026,1,17),tblDaily[WardCode],"MW")=0,"",SUMIFS(tblDaily[MalariaCases],tblDaily[EntryDate],DATE(2026,1,17),tblDaily[WardCode],"MW")),"")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IFERROR(IF(SUMIFS(tblDaily[Admissions],tblDaily[EntryDate],DATE(2026,1,18),tblDaily[WardCode],"MW")=0,"",SUMIFS(tblDaily[Admissions],tblDaily[EntryDate],DATE(2026,1,18),tblDaily[WardCode],"MW")),"")</f>
        <v/>
      </c>
      <c r="C24" s="5" t="str">
        <f>IFERROR(IF(SUMIFS(tblDaily[Discharges],tblDaily[EntryDate],DATE(2026,1,18),tblDaily[WardCode],"MW")=0,"",SUMIFS(tblDaily[Discharges],tblDaily[EntryDate],DATE(2026,1,18),tblDaily[WardCode],"MW")),"")</f>
        <v/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 t="str">
        <f>IFERROR(IF(SUMIFS(tblDaily[TransfersIn],tblDaily[EntryDate],DATE(2026,1,18),tblDaily[WardCode],"MW")=0,"",SUMIFS(tblDaily[TransfersIn],tblDaily[EntryDate],DATE(2026,1,18),tblDaily[WardCode],"MW")),"")</f>
        <v/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 t="str">
        <f>IFERROR(IF(SUMIFS(tblDaily[Remaining],tblDaily[EntryDate],DATE(2026,1,18),tblDaily[WardCode],"MW")=0,"",SUMIFS(tblDaily[Remaining],tblDaily[EntryDate],DATE(2026,1,18),tblDaily[WardCode],"MW")),"")</f>
        <v/>
      </c>
      <c r="I24" s="5" t="str">
        <f>IFERROR(IF(SUMIFS(tblDaily[MalariaCases],tblDaily[EntryDate],DATE(2026,1,18),tblDaily[WardCode],"MW")=0,"",SUMIFS(tblDaily[MalariaCases],tblDaily[EntryDate],DATE(2026,1,18),tblDaily[WardCode],"MW")),"")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IFERROR(IF(SUMIFS(tblDaily[Admissions],tblDaily[EntryDate],DATE(2026,1,19),tblDaily[WardCode],"MW")=0,"",SUMIFS(tblDaily[Admissions],tblDaily[EntryDate],DATE(2026,1,19),tblDaily[WardCode],"MW")),"")</f>
        <v/>
      </c>
      <c r="C25" s="5" t="str">
        <f>IFERROR(IF(SUMIFS(tblDaily[Discharges],tblDaily[EntryDate],DATE(2026,1,19),tblDaily[WardCode],"MW")=0,"",SUMIFS(tblDaily[Discharges],tblDaily[EntryDate],DATE(2026,1,19),tblDaily[WardCode],"MW")),"")</f>
        <v/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 t="str">
        <f>IFERROR(IF(SUMIFS(tblDaily[Remaining],tblDaily[EntryDate],DATE(2026,1,19),tblDaily[WardCode],"MW")=0,"",SUMIFS(tblDaily[Remaining],tblDaily[EntryDate],DATE(2026,1,19),tblDaily[WardCode],"MW")),"")</f>
        <v/>
      </c>
      <c r="I25" s="5" t="str">
        <f>IFERROR(IF(SUMIFS(tblDaily[MalariaCases],tblDaily[EntryDate],DATE(2026,1,19),tblDaily[WardCode],"MW")=0,"",SUMIFS(tblDaily[MalariaCases],tblDaily[EntryDate],DATE(2026,1,19),tblDaily[WardCode],"MW")),"")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IFERROR(IF(SUMIFS(tblDaily[Admissions],tblDaily[EntryDate],DATE(2026,1,20),tblDaily[WardCode],"MW")=0,"",SUMIFS(tblDaily[Admissions],tblDaily[EntryDate],DATE(2026,1,20),tblDaily[WardCode],"MW")),"")</f>
        <v/>
      </c>
      <c r="C26" s="5" t="str">
        <f>IFERROR(IF(SUMIFS(tblDaily[Discharges],tblDaily[EntryDate],DATE(2026,1,20),tblDaily[WardCode],"MW")=0,"",SUMIFS(tblDaily[Discharges],tblDaily[EntryDate],DATE(2026,1,20),tblDaily[WardCode],"MW")),"")</f>
        <v/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 t="str">
        <f>IFERROR(IF(SUMIFS(tblDaily[TransfersIn],tblDaily[EntryDate],DATE(2026,1,20),tblDaily[WardCode],"MW")=0,"",SUMIFS(tblDaily[TransfersIn],tblDaily[EntryDate],DATE(2026,1,20),tblDaily[WardCode],"MW")),"")</f>
        <v/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 t="str">
        <f>IFERROR(IF(SUMIFS(tblDaily[Remaining],tblDaily[EntryDate],DATE(2026,1,20),tblDaily[WardCode],"MW")=0,"",SUMIFS(tblDaily[Remaining],tblDaily[EntryDate],DATE(2026,1,20),tblDaily[WardCode],"MW")),"")</f>
        <v/>
      </c>
      <c r="I26" s="5" t="str">
        <f>IFERROR(IF(SUMIFS(tblDaily[MalariaCases],tblDaily[EntryDate],DATE(2026,1,20),tblDaily[WardCode],"MW")=0,"",SUMIFS(tblDaily[MalariaCases],tblDaily[EntryDate],DATE(2026,1,20),tblDaily[WardCode],"MW")),"")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IFERROR(IF(SUMIFS(tblDaily[Admissions],tblDaily[EntryDate],DATE(2026,1,21),tblDaily[WardCode],"MW")=0,"",SUMIFS(tblDaily[Admissions],tblDaily[EntryDate],DATE(2026,1,21),tblDaily[WardCode],"MW")),"")</f>
        <v/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 t="str">
        <f>IFERROR(IF(SUMIFS(tblDaily[TransfersIn],tblDaily[EntryDate],DATE(2026,1,21),tblDaily[WardCode],"MW")=0,"",SUMIFS(tblDaily[TransfersIn],tblDaily[EntryDate],DATE(2026,1,21),tblDaily[WardCode],"MW")),"")</f>
        <v/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 t="str">
        <f>IFERROR(IF(SUMIFS(tblDaily[Remaining],tblDaily[EntryDate],DATE(2026,1,21),tblDaily[WardCode],"MW")=0,"",SUMIFS(tblDaily[Remaining],tblDaily[EntryDate],DATE(2026,1,21),tblDaily[WardCode],"MW")),"")</f>
        <v/>
      </c>
      <c r="I27" s="5" t="str">
        <f>IFERROR(IF(SUMIFS(tblDaily[MalariaCases],tblDaily[EntryDate],DATE(2026,1,21),tblDaily[WardCode],"MW")=0,"",SUMIFS(tblDaily[MalariaCases],tblDaily[EntryDate],DATE(2026,1,21),tblDaily[WardCode],"MW")),"")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IFERROR(IF(SUMIFS(tblDaily[Admissions],tblDaily[EntryDate],DATE(2026,1,22),tblDaily[WardCode],"MW")=0,"",SUMIFS(tblDaily[Admissions],tblDaily[EntryDate],DATE(2026,1,22),tblDaily[WardCode],"MW")),"")</f>
        <v/>
      </c>
      <c r="C28" s="5" t="str">
        <f>IFERROR(IF(SUMIFS(tblDaily[Discharges],tblDaily[EntryDate],DATE(2026,1,22),tblDaily[WardCode],"MW")=0,"",SUMIFS(tblDaily[Discharges],tblDaily[EntryDate],DATE(2026,1,22),tblDaily[WardCode],"MW")),"")</f>
        <v/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 t="str">
        <f>IFERROR(IF(SUMIFS(tblDaily[TransfersIn],tblDaily[EntryDate],DATE(2026,1,22),tblDaily[WardCode],"MW")=0,"",SUMIFS(tblDaily[TransfersIn],tblDaily[EntryDate],DATE(2026,1,22),tblDaily[WardCode],"MW")),"")</f>
        <v/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 t="str">
        <f>IFERROR(IF(SUMIFS(tblDaily[Remaining],tblDaily[EntryDate],DATE(2026,1,22),tblDaily[WardCode],"MW")=0,"",SUMIFS(tblDaily[Remaining],tblDaily[EntryDate],DATE(2026,1,22),tblDaily[WardCode],"MW")),"")</f>
        <v/>
      </c>
      <c r="I28" s="5" t="str">
        <f>IFERROR(IF(SUMIFS(tblDaily[MalariaCases],tblDaily[EntryDate],DATE(2026,1,22),tblDaily[WardCode],"MW")=0,"",SUMIFS(tblDaily[MalariaCases],tblDaily[EntryDate],DATE(2026,1,22),tblDaily[WardCode],"MW")),"")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IFERROR(IF(SUMIFS(tblDaily[Admissions],tblDaily[EntryDate],DATE(2026,1,23),tblDaily[WardCode],"MW")=0,"",SUMIFS(tblDaily[Admissions],tblDaily[EntryDate],DATE(2026,1,23),tblDaily[WardCode],"MW")),"")</f>
        <v/>
      </c>
      <c r="C29" s="5" t="str">
        <f>IFERROR(IF(SUMIFS(tblDaily[Discharges],tblDaily[EntryDate],DATE(2026,1,23),tblDaily[WardCode],"MW")=0,"",SUMIFS(tblDaily[Discharges],tblDaily[EntryDate],DATE(2026,1,23),tblDaily[WardCode],"MW")),"")</f>
        <v/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 t="str">
        <f>IFERROR(IF(SUMIFS(tblDaily[TransfersIn],tblDaily[EntryDate],DATE(2026,1,23),tblDaily[WardCode],"MW")=0,"",SUMIFS(tblDaily[TransfersIn],tblDaily[EntryDate],DATE(2026,1,23),tblDaily[WardCode],"MW")),"")</f>
        <v/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 t="str">
        <f>IFERROR(IF(SUMIFS(tblDaily[Remaining],tblDaily[EntryDate],DATE(2026,1,23),tblDaily[WardCode],"MW")=0,"",SUMIFS(tblDaily[Remaining],tblDaily[EntryDate],DATE(2026,1,23),tblDaily[WardCode],"MW")),"")</f>
        <v/>
      </c>
      <c r="I29" s="5" t="str">
        <f>IFERROR(IF(SUMIFS(tblDaily[MalariaCases],tblDaily[EntryDate],DATE(2026,1,23),tblDaily[WardCode],"MW")=0,"",SUMIFS(tblDaily[MalariaCases],tblDaily[EntryDate],DATE(2026,1,23),tblDaily[WardCode],"MW")),"")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IFERROR(IF(SUMIFS(tblDaily[Admissions],tblDaily[EntryDate],DATE(2026,1,24),tblDaily[WardCode],"MW")=0,"",SUMIFS(tblDaily[Admissions],tblDaily[EntryDate],DATE(2026,1,24),tblDaily[WardCode],"MW")),"")</f>
        <v/>
      </c>
      <c r="C30" s="5" t="str">
        <f>IFERROR(IF(SUMIFS(tblDaily[Discharges],tblDaily[EntryDate],DATE(2026,1,24),tblDaily[WardCode],"MW")=0,"",SUMIFS(tblDaily[Discharges],tblDaily[EntryDate],DATE(2026,1,24),tblDaily[WardCode],"MW")),"")</f>
        <v/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 t="str">
        <f>IFERROR(IF(SUMIFS(tblDaily[TransfersIn],tblDaily[EntryDate],DATE(2026,1,24),tblDaily[WardCode],"MW")=0,"",SUMIFS(tblDaily[TransfersIn],tblDaily[EntryDate],DATE(2026,1,24),tblDaily[WardCode],"MW")),"")</f>
        <v/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 t="str">
        <f>IFERROR(IF(SUMIFS(tblDaily[Remaining],tblDaily[EntryDate],DATE(2026,1,24),tblDaily[WardCode],"MW")=0,"",SUMIFS(tblDaily[Remaining],tblDaily[EntryDate],DATE(2026,1,24),tblDaily[WardCode],"MW")),"")</f>
        <v/>
      </c>
      <c r="I30" s="5" t="str">
        <f>IFERROR(IF(SUMIFS(tblDaily[MalariaCases],tblDaily[EntryDate],DATE(2026,1,24),tblDaily[WardCode],"MW")=0,"",SUMIFS(tblDaily[MalariaCases],tblDaily[EntryDate],DATE(2026,1,24),tblDaily[WardCode],"MW")),"")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IFERROR(IF(SUMIFS(tblDaily[Admissions],tblDaily[EntryDate],DATE(2026,1,25),tblDaily[WardCode],"MW")=0,"",SUMIFS(tblDaily[Admissions],tblDaily[EntryDate],DATE(2026,1,25),tblDaily[WardCode],"MW")),"")</f>
        <v/>
      </c>
      <c r="C31" s="5" t="str">
        <f>IFERROR(IF(SUMIFS(tblDaily[Discharges],tblDaily[EntryDate],DATE(2026,1,25),tblDaily[WardCode],"MW")=0,"",SUMIFS(tblDaily[Discharges],tblDaily[EntryDate],DATE(2026,1,25),tblDaily[WardCode],"MW")),"")</f>
        <v/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 t="str">
        <f>IFERROR(IF(SUMIFS(tblDaily[TransfersIn],tblDaily[EntryDate],DATE(2026,1,25),tblDaily[WardCode],"MW")=0,"",SUMIFS(tblDaily[TransfersIn],tblDaily[EntryDate],DATE(2026,1,25),tblDaily[WardCode],"MW")),"")</f>
        <v/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 t="str">
        <f>IFERROR(IF(SUMIFS(tblDaily[Remaining],tblDaily[EntryDate],DATE(2026,1,25),tblDaily[WardCode],"MW")=0,"",SUMIFS(tblDaily[Remaining],tblDaily[EntryDate],DATE(2026,1,25),tblDaily[WardCode],"MW")),"")</f>
        <v/>
      </c>
      <c r="I31" s="5" t="str">
        <f>IFERROR(IF(SUMIFS(tblDaily[MalariaCases],tblDaily[EntryDate],DATE(2026,1,25),tblDaily[WardCode],"MW")=0,"",SUMIFS(tblDaily[MalariaCases],tblDaily[EntryDate],DATE(2026,1,25),tblDaily[WardCode],"MW")),"")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 t="str">
        <f>IFERROR(IF(SUMIFS(tblDaily[Discharges],tblDaily[EntryDate],DATE(2026,1,26),tblDaily[WardCode],"MW")=0,"",SUMIFS(tblDaily[Discharges],tblDaily[EntryDate],DATE(2026,1,26),tblDaily[WardCode],"MW")),"")</f>
        <v/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 t="str">
        <f>IFERROR(IF(SUMIFS(tblDaily[TransfersIn],tblDaily[EntryDate],DATE(2026,1,26),tblDaily[WardCode],"MW")=0,"",SUMIFS(tblDaily[TransfersIn],tblDaily[EntryDate],DATE(2026,1,26),tblDaily[WardCode],"MW")),"")</f>
        <v/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 t="str">
        <f>IFERROR(IF(SUMIFS(tblDaily[Remaining],tblDaily[EntryDate],DATE(2026,1,26),tblDaily[WardCode],"MW")=0,"",SUMIFS(tblDaily[Remaining],tblDaily[EntryDate],DATE(2026,1,26),tblDaily[WardCode],"MW")),"")</f>
        <v/>
      </c>
      <c r="I32" s="5" t="str">
        <f>IFERROR(IF(SUMIFS(tblDaily[MalariaCases],tblDaily[EntryDate],DATE(2026,1,26),tblDaily[WardCode],"MW")=0,"",SUMIFS(tblDaily[MalariaCases],tblDaily[EntryDate],DATE(2026,1,26),tblDaily[WardCode],"MW")),"")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IFERROR(IF(SUMIFS(tblDaily[Admissions],tblDaily[EntryDate],DATE(2026,1,27),tblDaily[WardCode],"MW")=0,"",SUMIFS(tblDaily[Admissions],tblDaily[EntryDate],DATE(2026,1,27),tblDaily[WardCode],"MW")),"")</f>
        <v/>
      </c>
      <c r="C33" s="5" t="str">
        <f>IFERROR(IF(SUMIFS(tblDaily[Discharges],tblDaily[EntryDate],DATE(2026,1,27),tblDaily[WardCode],"MW")=0,"",SUMIFS(tblDaily[Discharges],tblDaily[EntryDate],DATE(2026,1,27),tblDaily[WardCode],"MW")),"")</f>
        <v/>
      </c>
      <c r="D33" s="5" t="str">
        <f>IFERROR(IF(SUMIFS(tblDaily[Deaths],tblDaily[EntryDate],DATE(2026,1,27),tblDaily[WardCode],"MW")=0,"",SUMIFS(tblDaily[Deaths],tblDaily[EntryDate],DATE(2026,1,27),tblDaily[WardCode],"MW")),"")</f>
        <v/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 t="str">
        <f>IFERROR(IF(SUMIFS(tblDaily[TransfersIn],tblDaily[EntryDate],DATE(2026,1,27),tblDaily[WardCode],"MW")=0,"",SUMIFS(tblDaily[TransfersIn],tblDaily[EntryDate],DATE(2026,1,27),tblDaily[WardCode],"MW")),"")</f>
        <v/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 t="str">
        <f>IFERROR(IF(SUMIFS(tblDaily[Remaining],tblDaily[EntryDate],DATE(2026,1,27),tblDaily[WardCode],"MW")=0,"",SUMIFS(tblDaily[Remaining],tblDaily[EntryDate],DATE(2026,1,27),tblDaily[WardCode],"MW")),"")</f>
        <v/>
      </c>
      <c r="I33" s="5" t="str">
        <f>IFERROR(IF(SUMIFS(tblDaily[MalariaCases],tblDaily[EntryDate],DATE(2026,1,27),tblDaily[WardCode],"MW")=0,"",SUMIFS(tblDaily[MalariaCases],tblDaily[EntryDate],DATE(2026,1,27),tblDaily[WardCode],"MW")),"")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IFERROR(IF(SUMIFS(tblDaily[Admissions],tblDaily[EntryDate],DATE(2026,1,28),tblDaily[WardCode],"MW")=0,"",SUMIFS(tblDaily[Admissions],tblDaily[EntryDate],DATE(2026,1,28),tblDaily[WardCode],"MW")),"")</f>
        <v/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 t="str">
        <f>IFERROR(IF(SUMIFS(tblDaily[TransfersIn],tblDaily[EntryDate],DATE(2026,1,28),tblDaily[WardCode],"MW")=0,"",SUMIFS(tblDaily[TransfersIn],tblDaily[EntryDate],DATE(2026,1,28),tblDaily[WardCode],"MW")),"")</f>
        <v/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 t="str">
        <f>IFERROR(IF(SUMIFS(tblDaily[Remaining],tblDaily[EntryDate],DATE(2026,1,28),tblDaily[WardCode],"MW")=0,"",SUMIFS(tblDaily[Remaining],tblDaily[EntryDate],DATE(2026,1,28),tblDaily[WardCode],"MW")),"")</f>
        <v/>
      </c>
      <c r="I34" s="5" t="str">
        <f>IFERROR(IF(SUMIFS(tblDaily[MalariaCases],tblDaily[EntryDate],DATE(2026,1,28),tblDaily[WardCode],"MW")=0,"",SUMIFS(tblDaily[MalariaCases],tblDaily[EntryDate],DATE(2026,1,28),tblDaily[WardCode],"MW")),"")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IFERROR(IF(SUMIFS(tblDaily[Admissions],tblDaily[EntryDate],DATE(2026,1,29),tblDaily[WardCode],"MW")=0,"",SUMIFS(tblDaily[Admissions],tblDaily[EntryDate],DATE(2026,1,29),tblDaily[WardCode],"MW")),"")</f>
        <v/>
      </c>
      <c r="C35" s="5" t="str">
        <f>IFERROR(IF(SUMIFS(tblDaily[Discharges],tblDaily[EntryDate],DATE(2026,1,29),tblDaily[WardCode],"MW")=0,"",SUMIFS(tblDaily[Discharges],tblDaily[EntryDate],DATE(2026,1,29),tblDaily[WardCode],"MW")),"")</f>
        <v/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 t="str">
        <f>IFERROR(IF(SUMIFS(tblDaily[Remaining],tblDaily[EntryDate],DATE(2026,1,29),tblDaily[WardCode],"MW")=0,"",SUMIFS(tblDaily[Remaining],tblDaily[EntryDate],DATE(2026,1,29),tblDaily[WardCode],"MW")),"")</f>
        <v/>
      </c>
      <c r="I35" s="5" t="str">
        <f>IFERROR(IF(SUMIFS(tblDaily[MalariaCases],tblDaily[EntryDate],DATE(2026,1,29),tblDaily[WardCode],"MW")=0,"",SUMIFS(tblDaily[MalariaCases],tblDaily[EntryDate],DATE(2026,1,29),tblDaily[WardCode],"MW")),"")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 t="str">
        <f>IFERROR(IF(SUMIFS(tblDaily[Discharges],tblDaily[EntryDate],DATE(2026,1,30),tblDaily[WardCode],"MW")=0,"",SUMIFS(tblDaily[Discharges],tblDaily[EntryDate],DATE(2026,1,30),tblDaily[WardCode],"MW")),"")</f>
        <v/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 t="str">
        <f>IFERROR(IF(SUMIFS(tblDaily[Remaining],tblDaily[EntryDate],DATE(2026,1,30),tblDaily[WardCode],"MW")=0,"",SUMIFS(tblDaily[Remaining],tblDaily[EntryDate],DATE(2026,1,30),tblDaily[WardCode],"MW")),"")</f>
        <v/>
      </c>
      <c r="I36" s="5" t="str">
        <f>IFERROR(IF(SUMIFS(tblDaily[MalariaCases],tblDaily[EntryDate],DATE(2026,1,30),tblDaily[WardCode],"MW")=0,"",SUMIFS(tblDaily[MalariaCases],tblDaily[EntryDate],DATE(2026,1,30),tblDaily[WardCode],"MW")),"")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IFERROR(IF(SUMIFS(tblDaily[Admissions],tblDaily[EntryDate],DATE(2026,1,31),tblDaily[WardCode],"MW")=0,"",SUMIFS(tblDaily[Admissions],tblDaily[EntryDate],DATE(2026,1,31),tblDaily[WardCode],"MW")),"")</f>
        <v/>
      </c>
      <c r="C37" s="5" t="str">
        <f>IFERROR(IF(SUMIFS(tblDaily[Discharges],tblDaily[EntryDate],DATE(2026,1,31),tblDaily[WardCode],"MW")=0,"",SUMIFS(tblDaily[Discharges],tblDaily[EntryDate],DATE(2026,1,31),tblDaily[WardCode],"MW")),"")</f>
        <v/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 t="str">
        <f>IFERROR(IF(SUMIFS(tblDaily[TransfersIn],tblDaily[EntryDate],DATE(2026,1,31),tblDaily[WardCode],"MW")=0,"",SUMIFS(tblDaily[TransfersIn],tblDaily[EntryDate],DATE(2026,1,31),tblDaily[WardCode],"MW")),"")</f>
        <v/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 t="str">
        <f>IFERROR(IF(SUMIFS(tblDaily[Remaining],tblDaily[EntryDate],DATE(2026,1,31),tblDaily[WardCode],"MW")=0,"",SUMIFS(tblDaily[Remaining],tblDaily[EntryDate],DATE(2026,1,31),tblDaily[WardCode],"MW")),"")</f>
        <v/>
      </c>
      <c r="I37" s="5" t="str">
        <f>IFERROR(IF(SUMIFS(tblDaily[MalariaCases],tblDaily[EntryDate],DATE(2026,1,31),tblDaily[WardCode],"MW")=0,"",SUMIFS(tblDaily[MalariaCases],tblDaily[EntryDate],DATE(2026,1,31),tblDaily[WardCode],"MW")),"")</f>
        <v/>
      </c>
    </row>
    <row r="38" spans="1:9" x14ac:dyDescent="0.25">
      <c r="A38" s="9" t="s">
        <v>94</v>
      </c>
      <c r="B38" s="9">
        <f>SUMIFS(tblDaily[Admissions],tblDaily[Month],1,tblDaily[WardCode],"MW")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84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IFERROR(SUMIFS(tblDaily[Remaining],tblDaily[EntryDate],DATE(2026,1,31),tblDaily[WardCode],"MW"),0)</f>
        <v>0</v>
      </c>
    </row>
    <row r="44" spans="1:9" x14ac:dyDescent="0.25">
      <c r="A44" s="1" t="s">
        <v>87</v>
      </c>
      <c r="H44" s="7">
        <f>IFERROR(INDEX(tblWardConfig[BedComplement],MATCH("MW",tblWardConfig[Export Year-End],0)),0)</f>
        <v>32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 t="str">
        <f>IFERROR(IF(SUMIFS(tblDaily[Remaining],tblDaily[EntryDate],DATE(2026,2,1),tblDaily[WardCode],"MW")=0,"",SUMIFS(tblDaily[Remaining],tblDaily[EntryDate],DATE(2026,2,1),tblDaily[WardCode],"MW")),"")</f>
        <v/>
      </c>
      <c r="I46" s="5" t="str">
        <f>IFERROR(IF(SUMIFS(tblDaily[MalariaCases],tblDaily[EntryDate],DATE(2026,2,1),tblDaily[WardCode],"MW")=0,"",SUMIFS(tblDaily[MalariaCases],tblDaily[EntryDate],DATE(2026,2,1),tblDaily[WardCode],"MW")),"")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  <c r="I47" s="5" t="str">
        <f>IFERROR(IF(SUMIFS(tblDaily[MalariaCases],tblDaily[EntryDate],DATE(2026,2,2),tblDaily[WardCode],"MW")=0,"",SUMIFS(tblDaily[MalariaCases],tblDaily[EntryDate],DATE(2026,2,2),tblDaily[WardCode],"MW")),"")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 t="str">
        <f>IFERROR(IF(SUMIFS(tblDaily[Remaining],tblDaily[EntryDate],DATE(2026,2,3),tblDaily[WardCode],"MW")=0,"",SUMIFS(tblDaily[Remaining],tblDaily[EntryDate],DATE(2026,2,3),tblDaily[WardCode],"MW")),"")</f>
        <v/>
      </c>
      <c r="I48" s="5" t="str">
        <f>IFERROR(IF(SUMIFS(tblDaily[MalariaCases],tblDaily[EntryDate],DATE(2026,2,3),tblDaily[WardCode],"MW")=0,"",SUMIFS(tblDaily[MalariaCases],tblDaily[EntryDate],DATE(2026,2,3),tblDaily[WardCode],"MW")),"")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 t="str">
        <f>IFERROR(IF(SUMIFS(tblDaily[Remaining],tblDaily[EntryDate],DATE(2026,2,4),tblDaily[WardCode],"MW")=0,"",SUMIFS(tblDaily[Remaining],tblDaily[EntryDate],DATE(2026,2,4),tblDaily[WardCode],"MW")),"")</f>
        <v/>
      </c>
      <c r="I49" s="5" t="str">
        <f>IFERROR(IF(SUMIFS(tblDaily[MalariaCases],tblDaily[EntryDate],DATE(2026,2,4),tblDaily[WardCode],"MW")=0,"",SUMIFS(tblDaily[MalariaCases],tblDaily[EntryDate],DATE(2026,2,4),tblDaily[WardCode],"MW")),"")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IFERROR(IF(SUMIFS(tblDaily[Admissions],tblDaily[EntryDate],DATE(2026,2,5),tblDaily[WardCode],"MW")=0,"",SUMIFS(tblDaily[Admissions],tblDaily[EntryDate],DATE(2026,2,5),tblDaily[WardCode],"MW")),"")</f>
        <v/>
      </c>
      <c r="C50" s="5" t="str">
        <f>IFERROR(IF(SUMIFS(tblDaily[Discharges],tblDaily[EntryDate],DATE(2026,2,5),tblDaily[WardCode],"MW")=0,"",SUMIFS(tblDaily[Discharges],tblDaily[EntryDate],DATE(2026,2,5),tblDaily[WardCode],"MW")),"")</f>
        <v/>
      </c>
      <c r="D50" s="5" t="str">
        <f>IFERROR(IF(SUMIFS(tblDaily[Deaths],tblDaily[EntryDate],DATE(2026,2,5),tblDaily[WardCode],"MW")=0,"",SUMIFS(tblDaily[Deaths],tblDaily[EntryDate],DATE(2026,2,5),tblDaily[WardCode],"MW")),"")</f>
        <v/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 t="str">
        <f>IFERROR(IF(SUMIFS(tblDaily[Remaining],tblDaily[EntryDate],DATE(2026,2,5),tblDaily[WardCode],"MW")=0,"",SUMIFS(tblDaily[Remaining],tblDaily[EntryDate],DATE(2026,2,5),tblDaily[WardCode],"MW")),"")</f>
        <v/>
      </c>
      <c r="I50" s="5" t="str">
        <f>IFERROR(IF(SUMIFS(tblDaily[MalariaCases],tblDaily[EntryDate],DATE(2026,2,5),tblDaily[WardCode],"MW")=0,"",SUMIFS(tblDaily[MalariaCases],tblDaily[EntryDate],DATE(2026,2,5),tblDaily[WardCode],"MW")),"")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 t="str">
        <f>IFERROR(IF(SUMIFS(tblDaily[Discharges],tblDaily[EntryDate],DATE(2026,2,6),tblDaily[WardCode],"MW")=0,"",SUMIFS(tblDaily[Discharges],tblDaily[EntryDate],DATE(2026,2,6),tblDaily[WardCode],"MW")),"")</f>
        <v/>
      </c>
      <c r="D51" s="5" t="str">
        <f>IFERROR(IF(SUMIFS(tblDaily[Deaths],tblDaily[EntryDate],DATE(2026,2,6),tblDaily[WardCode],"MW")=0,"",SUMIFS(tblDaily[Deaths],tblDaily[EntryDate],DATE(2026,2,6),tblDaily[WardCode],"MW")),"")</f>
        <v/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 t="str">
        <f>IFERROR(IF(SUMIFS(tblDaily[TransfersIn],tblDaily[EntryDate],DATE(2026,2,6),tblDaily[WardCode],"MW")=0,"",SUMIFS(tblDaily[TransfersIn],tblDaily[EntryDate],DATE(2026,2,6),tblDaily[WardCode],"MW")),"")</f>
        <v/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 t="str">
        <f>IFERROR(IF(SUMIFS(tblDaily[Remaining],tblDaily[EntryDate],DATE(2026,2,6),tblDaily[WardCode],"MW")=0,"",SUMIFS(tblDaily[Remaining],tblDaily[EntryDate],DATE(2026,2,6),tblDaily[WardCode],"MW")),"")</f>
        <v/>
      </c>
      <c r="I51" s="5" t="str">
        <f>IFERROR(IF(SUMIFS(tblDaily[MalariaCases],tblDaily[EntryDate],DATE(2026,2,6),tblDaily[WardCode],"MW")=0,"",SUMIFS(tblDaily[MalariaCases],tblDaily[EntryDate],DATE(2026,2,6),tblDaily[WardCode],"MW")),"")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IFERROR(IF(SUMIFS(tblDaily[Admissions],tblDaily[EntryDate],DATE(2026,2,7),tblDaily[WardCode],"MW")=0,"",SUMIFS(tblDaily[Admissions],tblDaily[EntryDate],DATE(2026,2,7),tblDaily[WardCode],"MW")),"")</f>
        <v/>
      </c>
      <c r="C52" s="5" t="str">
        <f>IFERROR(IF(SUMIFS(tblDaily[Discharges],tblDaily[EntryDate],DATE(2026,2,7),tblDaily[WardCode],"MW")=0,"",SUMIFS(tblDaily[Discharges],tblDaily[EntryDate],DATE(2026,2,7),tblDaily[WardCode],"MW")),"")</f>
        <v/>
      </c>
      <c r="D52" s="5" t="str">
        <f>IFERROR(IF(SUMIFS(tblDaily[Deaths],tblDaily[EntryDate],DATE(2026,2,7),tblDaily[WardCode],"MW")=0,"",SUMIFS(tblDaily[Deaths],tblDaily[EntryDate],DATE(2026,2,7),tblDaily[WardCode],"MW")),"")</f>
        <v/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 t="str">
        <f>IFERROR(IF(SUMIFS(tblDaily[TransfersIn],tblDaily[EntryDate],DATE(2026,2,7),tblDaily[WardCode],"MW")=0,"",SUMIFS(tblDaily[TransfersIn],tblDaily[EntryDate],DATE(2026,2,7),tblDaily[WardCode],"MW")),"")</f>
        <v/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 t="str">
        <f>IFERROR(IF(SUMIFS(tblDaily[Remaining],tblDaily[EntryDate],DATE(2026,2,7),tblDaily[WardCode],"MW")=0,"",SUMIFS(tblDaily[Remaining],tblDaily[EntryDate],DATE(2026,2,7),tblDaily[WardCode],"MW")),"")</f>
        <v/>
      </c>
      <c r="I52" s="5" t="str">
        <f>IFERROR(IF(SUMIFS(tblDaily[MalariaCases],tblDaily[EntryDate],DATE(2026,2,7),tblDaily[WardCode],"MW")=0,"",SUMIFS(tblDaily[MalariaCases],tblDaily[EntryDate],DATE(2026,2,7),tblDaily[WardCode],"MW")),"")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IFERROR(IF(SUMIFS(tblDaily[Admissions],tblDaily[EntryDate],DATE(2026,2,8),tblDaily[WardCode],"MW")=0,"",SUMIFS(tblDaily[Admissions],tblDaily[EntryDate],DATE(2026,2,8),tblDaily[WardCode],"MW")),"")</f>
        <v/>
      </c>
      <c r="C53" s="5" t="str">
        <f>IFERROR(IF(SUMIFS(tblDaily[Discharges],tblDaily[EntryDate],DATE(2026,2,8),tblDaily[WardCode],"MW")=0,"",SUMIFS(tblDaily[Discharges],tblDaily[EntryDate],DATE(2026,2,8),tblDaily[WardCode],"MW")),"")</f>
        <v/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 t="str">
        <f>IFERROR(IF(SUMIFS(tblDaily[Remaining],tblDaily[EntryDate],DATE(2026,2,8),tblDaily[WardCode],"MW")=0,"",SUMIFS(tblDaily[Remaining],tblDaily[EntryDate],DATE(2026,2,8),tblDaily[WardCode],"MW")),"")</f>
        <v/>
      </c>
      <c r="I53" s="5" t="str">
        <f>IFERROR(IF(SUMIFS(tblDaily[MalariaCases],tblDaily[EntryDate],DATE(2026,2,8),tblDaily[WardCode],"MW")=0,"",SUMIFS(tblDaily[MalariaCases],tblDaily[EntryDate],DATE(2026,2,8),tblDaily[WardCode],"MW")),"")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IFERROR(IF(SUMIFS(tblDaily[Admissions],tblDaily[EntryDate],DATE(2026,2,9),tblDaily[WardCode],"MW")=0,"",SUMIFS(tblDaily[Admissions],tblDaily[EntryDate],DATE(2026,2,9),tblDaily[WardCode],"MW")),"")</f>
        <v/>
      </c>
      <c r="C54" s="5" t="str">
        <f>IFERROR(IF(SUMIFS(tblDaily[Discharges],tblDaily[EntryDate],DATE(2026,2,9),tblDaily[WardCode],"MW")=0,"",SUMIFS(tblDaily[Discharges],tblDaily[EntryDate],DATE(2026,2,9),tblDaily[WardCode],"MW")),"")</f>
        <v/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 t="str">
        <f>IFERROR(IF(SUMIFS(tblDaily[TransfersIn],tblDaily[EntryDate],DATE(2026,2,9),tblDaily[WardCode],"MW")=0,"",SUMIFS(tblDaily[TransfersIn],tblDaily[EntryDate],DATE(2026,2,9),tblDaily[WardCode],"MW")),"")</f>
        <v/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 t="str">
        <f>IFERROR(IF(SUMIFS(tblDaily[Remaining],tblDaily[EntryDate],DATE(2026,2,9),tblDaily[WardCode],"MW")=0,"",SUMIFS(tblDaily[Remaining],tblDaily[EntryDate],DATE(2026,2,9),tblDaily[WardCode],"MW")),"")</f>
        <v/>
      </c>
      <c r="I54" s="5" t="str">
        <f>IFERROR(IF(SUMIFS(tblDaily[MalariaCases],tblDaily[EntryDate],DATE(2026,2,9),tblDaily[WardCode],"MW")=0,"",SUMIFS(tblDaily[MalariaCases],tblDaily[EntryDate],DATE(2026,2,9),tblDaily[WardCode],"MW")),"")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IFERROR(IF(SUMIFS(tblDaily[Admissions],tblDaily[EntryDate],DATE(2026,2,10),tblDaily[WardCode],"MW")=0,"",SUMIFS(tblDaily[Admissions],tblDaily[EntryDate],DATE(2026,2,10),tblDaily[WardCode],"MW")),"")</f>
        <v/>
      </c>
      <c r="C55" s="5" t="str">
        <f>IFERROR(IF(SUMIFS(tblDaily[Discharges],tblDaily[EntryDate],DATE(2026,2,10),tblDaily[WardCode],"MW")=0,"",SUMIFS(tblDaily[Discharges],tblDaily[EntryDate],DATE(2026,2,10),tblDaily[WardCode],"MW")),"")</f>
        <v/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 t="str">
        <f>IFERROR(IF(SUMIFS(tblDaily[Remaining],tblDaily[EntryDate],DATE(2026,2,10),tblDaily[WardCode],"MW")=0,"",SUMIFS(tblDaily[Remaining],tblDaily[EntryDate],DATE(2026,2,10),tblDaily[WardCode],"MW")),"")</f>
        <v/>
      </c>
      <c r="I55" s="5" t="str">
        <f>IFERROR(IF(SUMIFS(tblDaily[MalariaCases],tblDaily[EntryDate],DATE(2026,2,10),tblDaily[WardCode],"MW")=0,"",SUMIFS(tblDaily[MalariaCases],tblDaily[EntryDate],DATE(2026,2,10),tblDaily[WardCode],"MW")),"")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IFERROR(IF(SUMIFS(tblDaily[Admissions],tblDaily[EntryDate],DATE(2026,2,11),tblDaily[WardCode],"MW")=0,"",SUMIFS(tblDaily[Admissions],tblDaily[EntryDate],DATE(2026,2,11),tblDaily[WardCode],"MW")),"")</f>
        <v/>
      </c>
      <c r="C56" s="5" t="str">
        <f>IFERROR(IF(SUMIFS(tblDaily[Discharges],tblDaily[EntryDate],DATE(2026,2,11),tblDaily[WardCode],"MW")=0,"",SUMIFS(tblDaily[Discharges],tblDaily[EntryDate],DATE(2026,2,11),tblDaily[WardCode],"MW")),"")</f>
        <v/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 t="str">
        <f>IFERROR(IF(SUMIFS(tblDaily[TransfersIn],tblDaily[EntryDate],DATE(2026,2,11),tblDaily[WardCode],"MW")=0,"",SUMIFS(tblDaily[TransfersIn],tblDaily[EntryDate],DATE(2026,2,11),tblDaily[WardCode],"MW")),"")</f>
        <v/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 t="str">
        <f>IFERROR(IF(SUMIFS(tblDaily[Remaining],tblDaily[EntryDate],DATE(2026,2,11),tblDaily[WardCode],"MW")=0,"",SUMIFS(tblDaily[Remaining],tblDaily[EntryDate],DATE(2026,2,11),tblDaily[WardCode],"MW")),"")</f>
        <v/>
      </c>
      <c r="I56" s="5" t="str">
        <f>IFERROR(IF(SUMIFS(tblDaily[MalariaCases],tblDaily[EntryDate],DATE(2026,2,11),tblDaily[WardCode],"MW")=0,"",SUMIFS(tblDaily[MalariaCases],tblDaily[EntryDate],DATE(2026,2,11),tblDaily[WardCode],"MW")),"")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IFERROR(IF(SUMIFS(tblDaily[Admissions],tblDaily[EntryDate],DATE(2026,2,12),tblDaily[WardCode],"MW")=0,"",SUMIFS(tblDaily[Admissions],tblDaily[EntryDate],DATE(2026,2,12),tblDaily[WardCode],"MW")),"")</f>
        <v/>
      </c>
      <c r="C57" s="5" t="str">
        <f>IFERROR(IF(SUMIFS(tblDaily[Discharges],tblDaily[EntryDate],DATE(2026,2,12),tblDaily[WardCode],"MW")=0,"",SUMIFS(tblDaily[Discharges],tblDaily[EntryDate],DATE(2026,2,12),tblDaily[WardCode],"MW")),"")</f>
        <v/>
      </c>
      <c r="D57" s="5" t="str">
        <f>IFERROR(IF(SUMIFS(tblDaily[Deaths],tblDaily[EntryDate],DATE(2026,2,12),tblDaily[WardCode],"MW")=0,"",SUMIFS(tblDaily[Deaths],tblDaily[EntryDate],DATE(2026,2,12),tblDaily[WardCode],"MW")),"")</f>
        <v/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 t="str">
        <f>IFERROR(IF(SUMIFS(tblDaily[TransfersIn],tblDaily[EntryDate],DATE(2026,2,12),tblDaily[WardCode],"MW")=0,"",SUMIFS(tblDaily[TransfersIn],tblDaily[EntryDate],DATE(2026,2,12),tblDaily[WardCode],"MW")),"")</f>
        <v/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 t="str">
        <f>IFERROR(IF(SUMIFS(tblDaily[Remaining],tblDaily[EntryDate],DATE(2026,2,12),tblDaily[WardCode],"MW")=0,"",SUMIFS(tblDaily[Remaining],tblDaily[EntryDate],DATE(2026,2,12),tblDaily[WardCode],"MW")),"")</f>
        <v/>
      </c>
      <c r="I57" s="5" t="str">
        <f>IFERROR(IF(SUMIFS(tblDaily[MalariaCases],tblDaily[EntryDate],DATE(2026,2,12),tblDaily[WardCode],"MW")=0,"",SUMIFS(tblDaily[MalariaCases],tblDaily[EntryDate],DATE(2026,2,12),tblDaily[WardCode],"MW")),"")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IFERROR(IF(SUMIFS(tblDaily[Admissions],tblDaily[EntryDate],DATE(2026,2,13),tblDaily[WardCode],"MW")=0,"",SUMIFS(tblDaily[Admissions],tblDaily[EntryDate],DATE(2026,2,13),tblDaily[WardCode],"MW")),"")</f>
        <v/>
      </c>
      <c r="C58" s="5" t="str">
        <f>IFERROR(IF(SUMIFS(tblDaily[Discharges],tblDaily[EntryDate],DATE(2026,2,13),tblDaily[WardCode],"MW")=0,"",SUMIFS(tblDaily[Discharges],tblDaily[EntryDate],DATE(2026,2,13),tblDaily[WardCode],"MW")),"")</f>
        <v/>
      </c>
      <c r="D58" s="5" t="str">
        <f>IFERROR(IF(SUMIFS(tblDaily[Deaths],tblDaily[EntryDate],DATE(2026,2,13),tblDaily[WardCode],"MW")=0,"",SUMIFS(tblDaily[Deaths],tblDaily[EntryDate],DATE(2026,2,13),tblDaily[WardCode],"MW")),"")</f>
        <v/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 t="str">
        <f>IFERROR(IF(SUMIFS(tblDaily[TransfersIn],tblDaily[EntryDate],DATE(2026,2,13),tblDaily[WardCode],"MW")=0,"",SUMIFS(tblDaily[TransfersIn],tblDaily[EntryDate],DATE(2026,2,13),tblDaily[WardCode],"MW")),"")</f>
        <v/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 t="str">
        <f>IFERROR(IF(SUMIFS(tblDaily[Remaining],tblDaily[EntryDate],DATE(2026,2,13),tblDaily[WardCode],"MW")=0,"",SUMIFS(tblDaily[Remaining],tblDaily[EntryDate],DATE(2026,2,13),tblDaily[WardCode],"MW")),"")</f>
        <v/>
      </c>
      <c r="I58" s="5" t="str">
        <f>IFERROR(IF(SUMIFS(tblDaily[MalariaCases],tblDaily[EntryDate],DATE(2026,2,13),tblDaily[WardCode],"MW")=0,"",SUMIFS(tblDaily[MalariaCases],tblDaily[EntryDate],DATE(2026,2,13),tblDaily[WardCode],"MW")),"")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IFERROR(IF(SUMIFS(tblDaily[Admissions],tblDaily[EntryDate],DATE(2026,2,14),tblDaily[WardCode],"MW")=0,"",SUMIFS(tblDaily[Admissions],tblDaily[EntryDate],DATE(2026,2,14),tblDaily[WardCode],"MW")),"")</f>
        <v/>
      </c>
      <c r="C59" s="5" t="str">
        <f>IFERROR(IF(SUMIFS(tblDaily[Discharges],tblDaily[EntryDate],DATE(2026,2,14),tblDaily[WardCode],"MW")=0,"",SUMIFS(tblDaily[Discharges],tblDaily[EntryDate],DATE(2026,2,14),tblDaily[WardCode],"MW")),"")</f>
        <v/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 t="str">
        <f>IFERROR(IF(SUMIFS(tblDaily[TransfersIn],tblDaily[EntryDate],DATE(2026,2,14),tblDaily[WardCode],"MW")=0,"",SUMIFS(tblDaily[TransfersIn],tblDaily[EntryDate],DATE(2026,2,14),tblDaily[WardCode],"MW")),"")</f>
        <v/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 t="str">
        <f>IFERROR(IF(SUMIFS(tblDaily[Remaining],tblDaily[EntryDate],DATE(2026,2,14),tblDaily[WardCode],"MW")=0,"",SUMIFS(tblDaily[Remaining],tblDaily[EntryDate],DATE(2026,2,14),tblDaily[WardCode],"MW")),"")</f>
        <v/>
      </c>
      <c r="I59" s="5" t="str">
        <f>IFERROR(IF(SUMIFS(tblDaily[MalariaCases],tblDaily[EntryDate],DATE(2026,2,14),tblDaily[WardCode],"MW")=0,"",SUMIFS(tblDaily[MalariaCases],tblDaily[EntryDate],DATE(2026,2,14),tblDaily[WardCode],"MW")),"")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IFERROR(IF(SUMIFS(tblDaily[Admissions],tblDaily[EntryDate],DATE(2026,2,15),tblDaily[WardCode],"MW")=0,"",SUMIFS(tblDaily[Admissions],tblDaily[EntryDate],DATE(2026,2,15),tblDaily[WardCode],"MW")),"")</f>
        <v/>
      </c>
      <c r="C60" s="5" t="str">
        <f>IFERROR(IF(SUMIFS(tblDaily[Discharges],tblDaily[EntryDate],DATE(2026,2,15),tblDaily[WardCode],"MW")=0,"",SUMIFS(tblDaily[Discharges],tblDaily[EntryDate],DATE(2026,2,15),tblDaily[WardCode],"MW")),"")</f>
        <v/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 t="str">
        <f>IFERROR(IF(SUMIFS(tblDaily[Remaining],tblDaily[EntryDate],DATE(2026,2,15),tblDaily[WardCode],"MW")=0,"",SUMIFS(tblDaily[Remaining],tblDaily[EntryDate],DATE(2026,2,15),tblDaily[WardCode],"MW")),"")</f>
        <v/>
      </c>
      <c r="I60" s="5" t="str">
        <f>IFERROR(IF(SUMIFS(tblDaily[MalariaCases],tblDaily[EntryDate],DATE(2026,2,15),tblDaily[WardCode],"MW")=0,"",SUMIFS(tblDaily[MalariaCases],tblDaily[EntryDate],DATE(2026,2,15),tblDaily[WardCode],"MW")),"")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IFERROR(IF(SUMIFS(tblDaily[Admissions],tblDaily[EntryDate],DATE(2026,2,16),tblDaily[WardCode],"MW")=0,"",SUMIFS(tblDaily[Admissions],tblDaily[EntryDate],DATE(2026,2,16),tblDaily[WardCode],"MW")),"")</f>
        <v/>
      </c>
      <c r="C61" s="5" t="str">
        <f>IFERROR(IF(SUMIFS(tblDaily[Discharges],tblDaily[EntryDate],DATE(2026,2,16),tblDaily[WardCode],"MW")=0,"",SUMIFS(tblDaily[Discharges],tblDaily[EntryDate],DATE(2026,2,16),tblDaily[WardCode],"MW")),"")</f>
        <v/>
      </c>
      <c r="D61" s="5" t="str">
        <f>IFERROR(IF(SUMIFS(tblDaily[Deaths],tblDaily[EntryDate],DATE(2026,2,16),tblDaily[WardCode],"MW")=0,"",SUMIFS(tblDaily[Deaths],tblDaily[EntryDate],DATE(2026,2,16),tblDaily[WardCode],"MW")),"")</f>
        <v/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 t="str">
        <f>IFERROR(IF(SUMIFS(tblDaily[Remaining],tblDaily[EntryDate],DATE(2026,2,16),tblDaily[WardCode],"MW")=0,"",SUMIFS(tblDaily[Remaining],tblDaily[EntryDate],DATE(2026,2,16),tblDaily[WardCode],"MW")),"")</f>
        <v/>
      </c>
      <c r="I61" s="5" t="str">
        <f>IFERROR(IF(SUMIFS(tblDaily[MalariaCases],tblDaily[EntryDate],DATE(2026,2,16),tblDaily[WardCode],"MW")=0,"",SUMIFS(tblDaily[MalariaCases],tblDaily[EntryDate],DATE(2026,2,16),tblDaily[WardCode],"MW")),"")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 t="str">
        <f>IFERROR(IF(SUMIFS(tblDaily[Remaining],tblDaily[EntryDate],DATE(2026,2,17),tblDaily[WardCode],"MW")=0,"",SUMIFS(tblDaily[Remaining],tblDaily[EntryDate],DATE(2026,2,17),tblDaily[WardCode],"MW")),"")</f>
        <v/>
      </c>
      <c r="I62" s="5" t="str">
        <f>IFERROR(IF(SUMIFS(tblDaily[MalariaCases],tblDaily[EntryDate],DATE(2026,2,17),tblDaily[WardCode],"MW")=0,"",SUMIFS(tblDaily[MalariaCases],tblDaily[EntryDate],DATE(2026,2,17),tblDaily[WardCode],"MW")),"")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  <c r="I63" s="5" t="str">
        <f>IFERROR(IF(SUMIFS(tblDaily[MalariaCases],tblDaily[EntryDate],DATE(2026,2,18),tblDaily[WardCode],"MW")=0,"",SUMIFS(tblDaily[MalariaCases],tblDaily[EntryDate],DATE(2026,2,18),tblDaily[WardCode],"MW")),"")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  <c r="I64" s="5" t="str">
        <f>IFERROR(IF(SUMIFS(tblDaily[MalariaCases],tblDaily[EntryDate],DATE(2026,2,19),tblDaily[WardCode],"MW")=0,"",SUMIFS(tblDaily[MalariaCases],tblDaily[EntryDate],DATE(2026,2,19),tblDaily[WardCode],"MW")),"")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  <c r="I65" s="5" t="str">
        <f>IFERROR(IF(SUMIFS(tblDaily[MalariaCases],tblDaily[EntryDate],DATE(2026,2,20),tblDaily[WardCode],"MW")=0,"",SUMIFS(tblDaily[MalariaCases],tblDaily[EntryDate],DATE(2026,2,20),tblDaily[WardCode],"MW")),"")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  <c r="I66" s="5" t="str">
        <f>IFERROR(IF(SUMIFS(tblDaily[MalariaCases],tblDaily[EntryDate],DATE(2026,2,21),tblDaily[WardCode],"MW")=0,"",SUMIFS(tblDaily[MalariaCases],tblDaily[EntryDate],DATE(2026,2,21),tblDaily[WardCode],"MW")),"")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  <c r="I67" s="5" t="str">
        <f>IFERROR(IF(SUMIFS(tblDaily[MalariaCases],tblDaily[EntryDate],DATE(2026,2,22),tblDaily[WardCode],"MW")=0,"",SUMIFS(tblDaily[MalariaCases],tblDaily[EntryDate],DATE(2026,2,22),tblDaily[WardCode],"MW")),"")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  <c r="I68" s="5" t="str">
        <f>IFERROR(IF(SUMIFS(tblDaily[MalariaCases],tblDaily[EntryDate],DATE(2026,2,23),tblDaily[WardCode],"MW")=0,"",SUMIFS(tblDaily[MalariaCases],tblDaily[EntryDate],DATE(2026,2,23),tblDaily[WardCode],"MW")),"")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  <c r="I69" s="5" t="str">
        <f>IFERROR(IF(SUMIFS(tblDaily[MalariaCases],tblDaily[EntryDate],DATE(2026,2,24),tblDaily[WardCode],"MW")=0,"",SUMIFS(tblDaily[MalariaCases],tblDaily[EntryDate],DATE(2026,2,24),tblDaily[WardCode],"MW")),"")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  <c r="I70" s="5" t="str">
        <f>IFERROR(IF(SUMIFS(tblDaily[MalariaCases],tblDaily[EntryDate],DATE(2026,2,25),tblDaily[WardCode],"MW")=0,"",SUMIFS(tblDaily[MalariaCases],tblDaily[EntryDate],DATE(2026,2,25),tblDaily[WardCode],"MW")),"")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  <c r="I71" s="5" t="str">
        <f>IFERROR(IF(SUMIFS(tblDaily[MalariaCases],tblDaily[EntryDate],DATE(2026,2,26),tblDaily[WardCode],"MW")=0,"",SUMIFS(tblDaily[MalariaCases],tblDaily[EntryDate],DATE(2026,2,26),tblDaily[WardCode],"MW")),"")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  <c r="I72" s="5" t="str">
        <f>IFERROR(IF(SUMIFS(tblDaily[MalariaCases],tblDaily[EntryDate],DATE(2026,2,27),tblDaily[WardCode],"MW")=0,"",SUMIFS(tblDaily[MalariaCases],tblDaily[EntryDate],DATE(2026,2,27),tblDaily[WardCode],"MW")),"")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  <c r="I73" s="5" t="str">
        <f>IFERROR(IF(SUMIFS(tblDaily[MalariaCases],tblDaily[EntryDate],DATE(2026,2,28),tblDaily[WardCode],"MW")=0,"",SUMIFS(tblDaily[MalariaCases],tblDaily[EntryDate],DATE(2026,2,28),tblDaily[WardCode],"MW")),"")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84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IFERROR(SUMIFS(tblDaily[Remaining],tblDaily[EntryDate],DATE(2026,2,28),tblDaily[WardCode],"MW"),0)</f>
        <v>0</v>
      </c>
    </row>
    <row r="83" spans="1:9" x14ac:dyDescent="0.25">
      <c r="A83" s="1" t="s">
        <v>87</v>
      </c>
      <c r="H83" s="7">
        <f>IFERROR(INDEX(tblWardConfig[BedComplement],MATCH("MW",tblWardConfig[Export Year-End],0)),0)</f>
        <v>32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  <c r="I85" s="5" t="str">
        <f>IFERROR(IF(SUMIFS(tblDaily[MalariaCases],tblDaily[EntryDate],DATE(2026,3,1),tblDaily[WardCode],"MW")=0,"",SUMIFS(tblDaily[MalariaCases],tblDaily[EntryDate],DATE(2026,3,1),tblDaily[WardCode],"MW")),"")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  <c r="I86" s="5" t="str">
        <f>IFERROR(IF(SUMIFS(tblDaily[MalariaCases],tblDaily[EntryDate],DATE(2026,3,2),tblDaily[WardCode],"MW")=0,"",SUMIFS(tblDaily[MalariaCases],tblDaily[EntryDate],DATE(2026,3,2),tblDaily[WardCode],"MW")),"")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  <c r="I87" s="5" t="str">
        <f>IFERROR(IF(SUMIFS(tblDaily[MalariaCases],tblDaily[EntryDate],DATE(2026,3,3),tblDaily[WardCode],"MW")=0,"",SUMIFS(tblDaily[MalariaCases],tblDaily[EntryDate],DATE(2026,3,3),tblDaily[WardCode],"MW")),"")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  <c r="I88" s="5" t="str">
        <f>IFERROR(IF(SUMIFS(tblDaily[MalariaCases],tblDaily[EntryDate],DATE(2026,3,4),tblDaily[WardCode],"MW")=0,"",SUMIFS(tblDaily[MalariaCases],tblDaily[EntryDate],DATE(2026,3,4),tblDaily[WardCode],"MW")),"")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  <c r="I89" s="5" t="str">
        <f>IFERROR(IF(SUMIFS(tblDaily[MalariaCases],tblDaily[EntryDate],DATE(2026,3,5),tblDaily[WardCode],"MW")=0,"",SUMIFS(tblDaily[MalariaCases],tblDaily[EntryDate],DATE(2026,3,5),tblDaily[WardCode],"MW")),"")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  <c r="I90" s="5" t="str">
        <f>IFERROR(IF(SUMIFS(tblDaily[MalariaCases],tblDaily[EntryDate],DATE(2026,3,6),tblDaily[WardCode],"MW")=0,"",SUMIFS(tblDaily[MalariaCases],tblDaily[EntryDate],DATE(2026,3,6),tblDaily[WardCode],"MW")),"")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  <c r="I91" s="5" t="str">
        <f>IFERROR(IF(SUMIFS(tblDaily[MalariaCases],tblDaily[EntryDate],DATE(2026,3,7),tblDaily[WardCode],"MW")=0,"",SUMIFS(tblDaily[MalariaCases],tblDaily[EntryDate],DATE(2026,3,7),tblDaily[WardCode],"MW")),"")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  <c r="I92" s="5" t="str">
        <f>IFERROR(IF(SUMIFS(tblDaily[MalariaCases],tblDaily[EntryDate],DATE(2026,3,8),tblDaily[WardCode],"MW")=0,"",SUMIFS(tblDaily[MalariaCases],tblDaily[EntryDate],DATE(2026,3,8),tblDaily[WardCode],"MW")),"")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  <c r="I93" s="5" t="str">
        <f>IFERROR(IF(SUMIFS(tblDaily[MalariaCases],tblDaily[EntryDate],DATE(2026,3,9),tblDaily[WardCode],"MW")=0,"",SUMIFS(tblDaily[MalariaCases],tblDaily[EntryDate],DATE(2026,3,9),tblDaily[WardCode],"MW")),"")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  <c r="I94" s="5" t="str">
        <f>IFERROR(IF(SUMIFS(tblDaily[MalariaCases],tblDaily[EntryDate],DATE(2026,3,10),tblDaily[WardCode],"MW")=0,"",SUMIFS(tblDaily[MalariaCases],tblDaily[EntryDate],DATE(2026,3,10),tblDaily[WardCode],"MW")),"")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  <c r="I95" s="5" t="str">
        <f>IFERROR(IF(SUMIFS(tblDaily[MalariaCases],tblDaily[EntryDate],DATE(2026,3,11),tblDaily[WardCode],"MW")=0,"",SUMIFS(tblDaily[MalariaCases],tblDaily[EntryDate],DATE(2026,3,11),tblDaily[WardCode],"MW")),"")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  <c r="I96" s="5" t="str">
        <f>IFERROR(IF(SUMIFS(tblDaily[MalariaCases],tblDaily[EntryDate],DATE(2026,3,12),tblDaily[WardCode],"MW")=0,"",SUMIFS(tblDaily[MalariaCases],tblDaily[EntryDate],DATE(2026,3,12),tblDaily[WardCode],"MW")),"")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  <c r="I97" s="5" t="str">
        <f>IFERROR(IF(SUMIFS(tblDaily[MalariaCases],tblDaily[EntryDate],DATE(2026,3,13),tblDaily[WardCode],"MW")=0,"",SUMIFS(tblDaily[MalariaCases],tblDaily[EntryDate],DATE(2026,3,13),tblDaily[WardCode],"MW")),"")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  <c r="I98" s="5" t="str">
        <f>IFERROR(IF(SUMIFS(tblDaily[MalariaCases],tblDaily[EntryDate],DATE(2026,3,14),tblDaily[WardCode],"MW")=0,"",SUMIFS(tblDaily[MalariaCases],tblDaily[EntryDate],DATE(2026,3,14),tblDaily[WardCode],"MW")),"")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  <c r="I99" s="5" t="str">
        <f>IFERROR(IF(SUMIFS(tblDaily[MalariaCases],tblDaily[EntryDate],DATE(2026,3,15),tblDaily[WardCode],"MW")=0,"",SUMIFS(tblDaily[MalariaCases],tblDaily[EntryDate],DATE(2026,3,15),tblDaily[WardCode],"MW")),"")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  <c r="I100" s="5" t="str">
        <f>IFERROR(IF(SUMIFS(tblDaily[MalariaCases],tblDaily[EntryDate],DATE(2026,3,16),tblDaily[WardCode],"MW")=0,"",SUMIFS(tblDaily[MalariaCases],tblDaily[EntryDate],DATE(2026,3,16),tblDaily[WardCode],"MW")),"")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  <c r="I101" s="5" t="str">
        <f>IFERROR(IF(SUMIFS(tblDaily[MalariaCases],tblDaily[EntryDate],DATE(2026,3,17),tblDaily[WardCode],"MW")=0,"",SUMIFS(tblDaily[MalariaCases],tblDaily[EntryDate],DATE(2026,3,17),tblDaily[WardCode],"MW")),"")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  <c r="I102" s="5" t="str">
        <f>IFERROR(IF(SUMIFS(tblDaily[MalariaCases],tblDaily[EntryDate],DATE(2026,3,18),tblDaily[WardCode],"MW")=0,"",SUMIFS(tblDaily[MalariaCases],tblDaily[EntryDate],DATE(2026,3,18),tblDaily[WardCode],"MW")),"")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  <c r="I103" s="5" t="str">
        <f>IFERROR(IF(SUMIFS(tblDaily[MalariaCases],tblDaily[EntryDate],DATE(2026,3,19),tblDaily[WardCode],"MW")=0,"",SUMIFS(tblDaily[MalariaCases],tblDaily[EntryDate],DATE(2026,3,19),tblDaily[WardCode],"MW")),"")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  <c r="I104" s="5" t="str">
        <f>IFERROR(IF(SUMIFS(tblDaily[MalariaCases],tblDaily[EntryDate],DATE(2026,3,20),tblDaily[WardCode],"MW")=0,"",SUMIFS(tblDaily[MalariaCases],tblDaily[EntryDate],DATE(2026,3,20),tblDaily[WardCode],"MW")),"")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  <c r="I105" s="5" t="str">
        <f>IFERROR(IF(SUMIFS(tblDaily[MalariaCases],tblDaily[EntryDate],DATE(2026,3,21),tblDaily[WardCode],"MW")=0,"",SUMIFS(tblDaily[MalariaCases],tblDaily[EntryDate],DATE(2026,3,21),tblDaily[WardCode],"MW")),"")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  <c r="I106" s="5" t="str">
        <f>IFERROR(IF(SUMIFS(tblDaily[MalariaCases],tblDaily[EntryDate],DATE(2026,3,22),tblDaily[WardCode],"MW")=0,"",SUMIFS(tblDaily[MalariaCases],tblDaily[EntryDate],DATE(2026,3,22),tblDaily[WardCode],"MW")),"")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  <c r="I107" s="5" t="str">
        <f>IFERROR(IF(SUMIFS(tblDaily[MalariaCases],tblDaily[EntryDate],DATE(2026,3,23),tblDaily[WardCode],"MW")=0,"",SUMIFS(tblDaily[MalariaCases],tblDaily[EntryDate],DATE(2026,3,23),tblDaily[WardCode],"MW")),"")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  <c r="I108" s="5" t="str">
        <f>IFERROR(IF(SUMIFS(tblDaily[MalariaCases],tblDaily[EntryDate],DATE(2026,3,24),tblDaily[WardCode],"MW")=0,"",SUMIFS(tblDaily[MalariaCases],tblDaily[EntryDate],DATE(2026,3,24),tblDaily[WardCode],"MW")),"")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  <c r="I109" s="5" t="str">
        <f>IFERROR(IF(SUMIFS(tblDaily[MalariaCases],tblDaily[EntryDate],DATE(2026,3,25),tblDaily[WardCode],"MW")=0,"",SUMIFS(tblDaily[MalariaCases],tblDaily[EntryDate],DATE(2026,3,25),tblDaily[WardCode],"MW")),"")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  <c r="I110" s="5" t="str">
        <f>IFERROR(IF(SUMIFS(tblDaily[MalariaCases],tblDaily[EntryDate],DATE(2026,3,26),tblDaily[WardCode],"MW")=0,"",SUMIFS(tblDaily[MalariaCases],tblDaily[EntryDate],DATE(2026,3,26),tblDaily[WardCode],"MW")),"")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  <c r="I111" s="5" t="str">
        <f>IFERROR(IF(SUMIFS(tblDaily[MalariaCases],tblDaily[EntryDate],DATE(2026,3,27),tblDaily[WardCode],"MW")=0,"",SUMIFS(tblDaily[MalariaCases],tblDaily[EntryDate],DATE(2026,3,27),tblDaily[WardCode],"MW")),"")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  <c r="I112" s="5" t="str">
        <f>IFERROR(IF(SUMIFS(tblDaily[MalariaCases],tblDaily[EntryDate],DATE(2026,3,28),tblDaily[WardCode],"MW")=0,"",SUMIFS(tblDaily[MalariaCases],tblDaily[EntryDate],DATE(2026,3,28),tblDaily[WardCode],"MW")),"")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  <c r="I113" s="5" t="str">
        <f>IFERROR(IF(SUMIFS(tblDaily[MalariaCases],tblDaily[EntryDate],DATE(2026,3,29),tblDaily[WardCode],"MW")=0,"",SUMIFS(tblDaily[MalariaCases],tblDaily[EntryDate],DATE(2026,3,29),tblDaily[WardCode],"MW")),"")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  <c r="I114" s="5" t="str">
        <f>IFERROR(IF(SUMIFS(tblDaily[MalariaCases],tblDaily[EntryDate],DATE(2026,3,30),tblDaily[WardCode],"MW")=0,"",SUMIFS(tblDaily[MalariaCases],tblDaily[EntryDate],DATE(2026,3,30),tblDaily[WardCode],"MW")),"")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  <c r="I115" s="5" t="str">
        <f>IFERROR(IF(SUMIFS(tblDaily[MalariaCases],tblDaily[EntryDate],DATE(2026,3,31),tblDaily[WardCode],"MW")=0,"",SUMIFS(tblDaily[MalariaCases],tblDaily[EntryDate],DATE(2026,3,31),tblDaily[WardCode],"MW")),"")</f>
        <v/>
      </c>
    </row>
    <row r="116" spans="1:9" x14ac:dyDescent="0.25">
      <c r="A116" s="9" t="s">
        <v>94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84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IFERROR(SUMIFS(tblDaily[Remaining],tblDaily[EntryDate],DATE(2026,3,31),tblDaily[WardCode],"MW"),0)</f>
        <v>0</v>
      </c>
    </row>
    <row r="122" spans="1:9" x14ac:dyDescent="0.25">
      <c r="A122" s="1" t="s">
        <v>87</v>
      </c>
      <c r="H122" s="7">
        <f>IFERROR(INDEX(tblWardConfig[BedComplement],MATCH("MW",tblWardConfig[Export Year-End],0)),0)</f>
        <v>32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  <c r="I124" s="5" t="str">
        <f>IFERROR(IF(SUMIFS(tblDaily[MalariaCases],tblDaily[EntryDate],DATE(2026,4,1),tblDaily[WardCode],"MW")=0,"",SUMIFS(tblDaily[MalariaCases],tblDaily[EntryDate],DATE(2026,4,1),tblDaily[WardCode],"MW")),"")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  <c r="I125" s="5" t="str">
        <f>IFERROR(IF(SUMIFS(tblDaily[MalariaCases],tblDaily[EntryDate],DATE(2026,4,2),tblDaily[WardCode],"MW")=0,"",SUMIFS(tblDaily[MalariaCases],tblDaily[EntryDate],DATE(2026,4,2),tblDaily[WardCode],"MW")),"")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  <c r="I126" s="5" t="str">
        <f>IFERROR(IF(SUMIFS(tblDaily[MalariaCases],tblDaily[EntryDate],DATE(2026,4,3),tblDaily[WardCode],"MW")=0,"",SUMIFS(tblDaily[MalariaCases],tblDaily[EntryDate],DATE(2026,4,3),tblDaily[WardCode],"MW")),"")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  <c r="I127" s="5" t="str">
        <f>IFERROR(IF(SUMIFS(tblDaily[MalariaCases],tblDaily[EntryDate],DATE(2026,4,4),tblDaily[WardCode],"MW")=0,"",SUMIFS(tblDaily[MalariaCases],tblDaily[EntryDate],DATE(2026,4,4),tblDaily[WardCode],"MW")),"")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  <c r="I128" s="5" t="str">
        <f>IFERROR(IF(SUMIFS(tblDaily[MalariaCases],tblDaily[EntryDate],DATE(2026,4,5),tblDaily[WardCode],"MW")=0,"",SUMIFS(tblDaily[MalariaCases],tblDaily[EntryDate],DATE(2026,4,5),tblDaily[WardCode],"MW")),"")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  <c r="I129" s="5" t="str">
        <f>IFERROR(IF(SUMIFS(tblDaily[MalariaCases],tblDaily[EntryDate],DATE(2026,4,6),tblDaily[WardCode],"MW")=0,"",SUMIFS(tblDaily[MalariaCases],tblDaily[EntryDate],DATE(2026,4,6),tblDaily[WardCode],"MW")),"")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  <c r="I130" s="5" t="str">
        <f>IFERROR(IF(SUMIFS(tblDaily[MalariaCases],tblDaily[EntryDate],DATE(2026,4,7),tblDaily[WardCode],"MW")=0,"",SUMIFS(tblDaily[MalariaCases],tblDaily[EntryDate],DATE(2026,4,7),tblDaily[WardCode],"MW")),"")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  <c r="I131" s="5" t="str">
        <f>IFERROR(IF(SUMIFS(tblDaily[MalariaCases],tblDaily[EntryDate],DATE(2026,4,8),tblDaily[WardCode],"MW")=0,"",SUMIFS(tblDaily[MalariaCases],tblDaily[EntryDate],DATE(2026,4,8),tblDaily[WardCode],"MW")),"")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  <c r="I132" s="5" t="str">
        <f>IFERROR(IF(SUMIFS(tblDaily[MalariaCases],tblDaily[EntryDate],DATE(2026,4,9),tblDaily[WardCode],"MW")=0,"",SUMIFS(tblDaily[MalariaCases],tblDaily[EntryDate],DATE(2026,4,9),tblDaily[WardCode],"MW")),"")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  <c r="I133" s="5" t="str">
        <f>IFERROR(IF(SUMIFS(tblDaily[MalariaCases],tblDaily[EntryDate],DATE(2026,4,10),tblDaily[WardCode],"MW")=0,"",SUMIFS(tblDaily[MalariaCases],tblDaily[EntryDate],DATE(2026,4,10),tblDaily[WardCode],"MW")),"")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  <c r="I134" s="5" t="str">
        <f>IFERROR(IF(SUMIFS(tblDaily[MalariaCases],tblDaily[EntryDate],DATE(2026,4,11),tblDaily[WardCode],"MW")=0,"",SUMIFS(tblDaily[MalariaCases],tblDaily[EntryDate],DATE(2026,4,11),tblDaily[WardCode],"MW")),"")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  <c r="I135" s="5" t="str">
        <f>IFERROR(IF(SUMIFS(tblDaily[MalariaCases],tblDaily[EntryDate],DATE(2026,4,12),tblDaily[WardCode],"MW")=0,"",SUMIFS(tblDaily[MalariaCases],tblDaily[EntryDate],DATE(2026,4,12),tblDaily[WardCode],"MW")),"")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  <c r="I136" s="5" t="str">
        <f>IFERROR(IF(SUMIFS(tblDaily[MalariaCases],tblDaily[EntryDate],DATE(2026,4,13),tblDaily[WardCode],"MW")=0,"",SUMIFS(tblDaily[MalariaCases],tblDaily[EntryDate],DATE(2026,4,13),tblDaily[WardCode],"MW")),"")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  <c r="I137" s="5" t="str">
        <f>IFERROR(IF(SUMIFS(tblDaily[MalariaCases],tblDaily[EntryDate],DATE(2026,4,14),tblDaily[WardCode],"MW")=0,"",SUMIFS(tblDaily[MalariaCases],tblDaily[EntryDate],DATE(2026,4,14),tblDaily[WardCode],"MW")),"")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  <c r="I138" s="5" t="str">
        <f>IFERROR(IF(SUMIFS(tblDaily[MalariaCases],tblDaily[EntryDate],DATE(2026,4,15),tblDaily[WardCode],"MW")=0,"",SUMIFS(tblDaily[MalariaCases],tblDaily[EntryDate],DATE(2026,4,15),tblDaily[WardCode],"MW")),"")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  <c r="I139" s="5" t="str">
        <f>IFERROR(IF(SUMIFS(tblDaily[MalariaCases],tblDaily[EntryDate],DATE(2026,4,16),tblDaily[WardCode],"MW")=0,"",SUMIFS(tblDaily[MalariaCases],tblDaily[EntryDate],DATE(2026,4,16),tblDaily[WardCode],"MW")),"")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  <c r="I140" s="5" t="str">
        <f>IFERROR(IF(SUMIFS(tblDaily[MalariaCases],tblDaily[EntryDate],DATE(2026,4,17),tblDaily[WardCode],"MW")=0,"",SUMIFS(tblDaily[MalariaCases],tblDaily[EntryDate],DATE(2026,4,17),tblDaily[WardCode],"MW")),"")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  <c r="I141" s="5" t="str">
        <f>IFERROR(IF(SUMIFS(tblDaily[MalariaCases],tblDaily[EntryDate],DATE(2026,4,18),tblDaily[WardCode],"MW")=0,"",SUMIFS(tblDaily[MalariaCases],tblDaily[EntryDate],DATE(2026,4,18),tblDaily[WardCode],"MW")),"")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  <c r="I142" s="5" t="str">
        <f>IFERROR(IF(SUMIFS(tblDaily[MalariaCases],tblDaily[EntryDate],DATE(2026,4,19),tblDaily[WardCode],"MW")=0,"",SUMIFS(tblDaily[MalariaCases],tblDaily[EntryDate],DATE(2026,4,19),tblDaily[WardCode],"MW")),"")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  <c r="I143" s="5" t="str">
        <f>IFERROR(IF(SUMIFS(tblDaily[MalariaCases],tblDaily[EntryDate],DATE(2026,4,20),tblDaily[WardCode],"MW")=0,"",SUMIFS(tblDaily[MalariaCases],tblDaily[EntryDate],DATE(2026,4,20),tblDaily[WardCode],"MW")),"")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  <c r="I144" s="5" t="str">
        <f>IFERROR(IF(SUMIFS(tblDaily[MalariaCases],tblDaily[EntryDate],DATE(2026,4,21),tblDaily[WardCode],"MW")=0,"",SUMIFS(tblDaily[MalariaCases],tblDaily[EntryDate],DATE(2026,4,21),tblDaily[WardCode],"MW")),"")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  <c r="I145" s="5" t="str">
        <f>IFERROR(IF(SUMIFS(tblDaily[MalariaCases],tblDaily[EntryDate],DATE(2026,4,22),tblDaily[WardCode],"MW")=0,"",SUMIFS(tblDaily[MalariaCases],tblDaily[EntryDate],DATE(2026,4,22),tblDaily[WardCode],"MW")),"")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  <c r="I146" s="5" t="str">
        <f>IFERROR(IF(SUMIFS(tblDaily[MalariaCases],tblDaily[EntryDate],DATE(2026,4,23),tblDaily[WardCode],"MW")=0,"",SUMIFS(tblDaily[MalariaCases],tblDaily[EntryDate],DATE(2026,4,23),tblDaily[WardCode],"MW")),"")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  <c r="I147" s="5" t="str">
        <f>IFERROR(IF(SUMIFS(tblDaily[MalariaCases],tblDaily[EntryDate],DATE(2026,4,24),tblDaily[WardCode],"MW")=0,"",SUMIFS(tblDaily[MalariaCases],tblDaily[EntryDate],DATE(2026,4,24),tblDaily[WardCode],"MW")),"")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  <c r="I148" s="5" t="str">
        <f>IFERROR(IF(SUMIFS(tblDaily[MalariaCases],tblDaily[EntryDate],DATE(2026,4,25),tblDaily[WardCode],"MW")=0,"",SUMIFS(tblDaily[MalariaCases],tblDaily[EntryDate],DATE(2026,4,25),tblDaily[WardCode],"MW")),"")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  <c r="I149" s="5" t="str">
        <f>IFERROR(IF(SUMIFS(tblDaily[MalariaCases],tblDaily[EntryDate],DATE(2026,4,26),tblDaily[WardCode],"MW")=0,"",SUMIFS(tblDaily[MalariaCases],tblDaily[EntryDate],DATE(2026,4,26),tblDaily[WardCode],"MW")),"")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  <c r="I150" s="5" t="str">
        <f>IFERROR(IF(SUMIFS(tblDaily[MalariaCases],tblDaily[EntryDate],DATE(2026,4,27),tblDaily[WardCode],"MW")=0,"",SUMIFS(tblDaily[MalariaCases],tblDaily[EntryDate],DATE(2026,4,27),tblDaily[WardCode],"MW")),"")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  <c r="I151" s="5" t="str">
        <f>IFERROR(IF(SUMIFS(tblDaily[MalariaCases],tblDaily[EntryDate],DATE(2026,4,28),tblDaily[WardCode],"MW")=0,"",SUMIFS(tblDaily[MalariaCases],tblDaily[EntryDate],DATE(2026,4,28),tblDaily[WardCode],"MW")),"")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  <c r="I152" s="5" t="str">
        <f>IFERROR(IF(SUMIFS(tblDaily[MalariaCases],tblDaily[EntryDate],DATE(2026,4,29),tblDaily[WardCode],"MW")=0,"",SUMIFS(tblDaily[MalariaCases],tblDaily[EntryDate],DATE(2026,4,29),tblDaily[WardCode],"MW")),"")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  <c r="I153" s="5" t="str">
        <f>IFERROR(IF(SUMIFS(tblDaily[MalariaCases],tblDaily[EntryDate],DATE(2026,4,30),tblDaily[WardCode],"MW")=0,"",SUMIFS(tblDaily[MalariaCases],tblDaily[EntryDate],DATE(2026,4,30),tblDaily[WardCode],"MW")),"")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84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IFERROR(SUMIFS(tblDaily[Remaining],tblDaily[EntryDate],DATE(2026,4,30),tblDaily[WardCode],"MW"),0)</f>
        <v>0</v>
      </c>
    </row>
    <row r="161" spans="1:9" x14ac:dyDescent="0.25">
      <c r="A161" s="1" t="s">
        <v>87</v>
      </c>
      <c r="H161" s="7">
        <f>IFERROR(INDEX(tblWardConfig[BedComplement],MATCH("MW",tblWardConfig[Export Year-End],0)),0)</f>
        <v>32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  <c r="I163" s="5" t="str">
        <f>IFERROR(IF(SUMIFS(tblDaily[MalariaCases],tblDaily[EntryDate],DATE(2026,5,1),tblDaily[WardCode],"MW")=0,"",SUMIFS(tblDaily[MalariaCases],tblDaily[EntryDate],DATE(2026,5,1),tblDaily[WardCode],"MW")),"")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  <c r="I164" s="5" t="str">
        <f>IFERROR(IF(SUMIFS(tblDaily[MalariaCases],tblDaily[EntryDate],DATE(2026,5,2),tblDaily[WardCode],"MW")=0,"",SUMIFS(tblDaily[MalariaCases],tblDaily[EntryDate],DATE(2026,5,2),tblDaily[WardCode],"MW")),"")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  <c r="I165" s="5" t="str">
        <f>IFERROR(IF(SUMIFS(tblDaily[MalariaCases],tblDaily[EntryDate],DATE(2026,5,3),tblDaily[WardCode],"MW")=0,"",SUMIFS(tblDaily[MalariaCases],tblDaily[EntryDate],DATE(2026,5,3),tblDaily[WardCode],"MW")),"")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  <c r="I166" s="5" t="str">
        <f>IFERROR(IF(SUMIFS(tblDaily[MalariaCases],tblDaily[EntryDate],DATE(2026,5,4),tblDaily[WardCode],"MW")=0,"",SUMIFS(tblDaily[MalariaCases],tblDaily[EntryDate],DATE(2026,5,4),tblDaily[WardCode],"MW")),"")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  <c r="I167" s="5" t="str">
        <f>IFERROR(IF(SUMIFS(tblDaily[MalariaCases],tblDaily[EntryDate],DATE(2026,5,5),tblDaily[WardCode],"MW")=0,"",SUMIFS(tblDaily[MalariaCases],tblDaily[EntryDate],DATE(2026,5,5),tblDaily[WardCode],"MW")),"")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  <c r="I168" s="5" t="str">
        <f>IFERROR(IF(SUMIFS(tblDaily[MalariaCases],tblDaily[EntryDate],DATE(2026,5,6),tblDaily[WardCode],"MW")=0,"",SUMIFS(tblDaily[MalariaCases],tblDaily[EntryDate],DATE(2026,5,6),tblDaily[WardCode],"MW")),"")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  <c r="I169" s="5" t="str">
        <f>IFERROR(IF(SUMIFS(tblDaily[MalariaCases],tblDaily[EntryDate],DATE(2026,5,7),tblDaily[WardCode],"MW")=0,"",SUMIFS(tblDaily[MalariaCases],tblDaily[EntryDate],DATE(2026,5,7),tblDaily[WardCode],"MW")),"")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  <c r="I170" s="5" t="str">
        <f>IFERROR(IF(SUMIFS(tblDaily[MalariaCases],tblDaily[EntryDate],DATE(2026,5,8),tblDaily[WardCode],"MW")=0,"",SUMIFS(tblDaily[MalariaCases],tblDaily[EntryDate],DATE(2026,5,8),tblDaily[WardCode],"MW")),"")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  <c r="I171" s="5" t="str">
        <f>IFERROR(IF(SUMIFS(tblDaily[MalariaCases],tblDaily[EntryDate],DATE(2026,5,9),tblDaily[WardCode],"MW")=0,"",SUMIFS(tblDaily[MalariaCases],tblDaily[EntryDate],DATE(2026,5,9),tblDaily[WardCode],"MW")),"")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  <c r="I172" s="5" t="str">
        <f>IFERROR(IF(SUMIFS(tblDaily[MalariaCases],tblDaily[EntryDate],DATE(2026,5,10),tblDaily[WardCode],"MW")=0,"",SUMIFS(tblDaily[MalariaCases],tblDaily[EntryDate],DATE(2026,5,10),tblDaily[WardCode],"MW")),"")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  <c r="I173" s="5" t="str">
        <f>IFERROR(IF(SUMIFS(tblDaily[MalariaCases],tblDaily[EntryDate],DATE(2026,5,11),tblDaily[WardCode],"MW")=0,"",SUMIFS(tblDaily[MalariaCases],tblDaily[EntryDate],DATE(2026,5,11),tblDaily[WardCode],"MW")),"")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  <c r="I174" s="5" t="str">
        <f>IFERROR(IF(SUMIFS(tblDaily[MalariaCases],tblDaily[EntryDate],DATE(2026,5,12),tblDaily[WardCode],"MW")=0,"",SUMIFS(tblDaily[MalariaCases],tblDaily[EntryDate],DATE(2026,5,12),tblDaily[WardCode],"MW")),"")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  <c r="I175" s="5" t="str">
        <f>IFERROR(IF(SUMIFS(tblDaily[MalariaCases],tblDaily[EntryDate],DATE(2026,5,13),tblDaily[WardCode],"MW")=0,"",SUMIFS(tblDaily[MalariaCases],tblDaily[EntryDate],DATE(2026,5,13),tblDaily[WardCode],"MW")),"")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  <c r="I176" s="5" t="str">
        <f>IFERROR(IF(SUMIFS(tblDaily[MalariaCases],tblDaily[EntryDate],DATE(2026,5,14),tblDaily[WardCode],"MW")=0,"",SUMIFS(tblDaily[MalariaCases],tblDaily[EntryDate],DATE(2026,5,14),tblDaily[WardCode],"MW")),"")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  <c r="I177" s="5" t="str">
        <f>IFERROR(IF(SUMIFS(tblDaily[MalariaCases],tblDaily[EntryDate],DATE(2026,5,15),tblDaily[WardCode],"MW")=0,"",SUMIFS(tblDaily[MalariaCases],tblDaily[EntryDate],DATE(2026,5,15),tblDaily[WardCode],"MW")),"")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  <c r="I178" s="5" t="str">
        <f>IFERROR(IF(SUMIFS(tblDaily[MalariaCases],tblDaily[EntryDate],DATE(2026,5,16),tblDaily[WardCode],"MW")=0,"",SUMIFS(tblDaily[MalariaCases],tblDaily[EntryDate],DATE(2026,5,16),tblDaily[WardCode],"MW")),"")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  <c r="I179" s="5" t="str">
        <f>IFERROR(IF(SUMIFS(tblDaily[MalariaCases],tblDaily[EntryDate],DATE(2026,5,17),tblDaily[WardCode],"MW")=0,"",SUMIFS(tblDaily[MalariaCases],tblDaily[EntryDate],DATE(2026,5,17),tblDaily[WardCode],"MW")),"")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  <c r="I180" s="5" t="str">
        <f>IFERROR(IF(SUMIFS(tblDaily[MalariaCases],tblDaily[EntryDate],DATE(2026,5,18),tblDaily[WardCode],"MW")=0,"",SUMIFS(tblDaily[MalariaCases],tblDaily[EntryDate],DATE(2026,5,18),tblDaily[WardCode],"MW")),"")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  <c r="I181" s="5" t="str">
        <f>IFERROR(IF(SUMIFS(tblDaily[MalariaCases],tblDaily[EntryDate],DATE(2026,5,19),tblDaily[WardCode],"MW")=0,"",SUMIFS(tblDaily[MalariaCases],tblDaily[EntryDate],DATE(2026,5,19),tblDaily[WardCode],"MW")),"")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  <c r="I182" s="5" t="str">
        <f>IFERROR(IF(SUMIFS(tblDaily[MalariaCases],tblDaily[EntryDate],DATE(2026,5,20),tblDaily[WardCode],"MW")=0,"",SUMIFS(tblDaily[MalariaCases],tblDaily[EntryDate],DATE(2026,5,20),tblDaily[WardCode],"MW")),"")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  <c r="I183" s="5" t="str">
        <f>IFERROR(IF(SUMIFS(tblDaily[MalariaCases],tblDaily[EntryDate],DATE(2026,5,21),tblDaily[WardCode],"MW")=0,"",SUMIFS(tblDaily[MalariaCases],tblDaily[EntryDate],DATE(2026,5,21),tblDaily[WardCode],"MW")),"")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  <c r="I184" s="5" t="str">
        <f>IFERROR(IF(SUMIFS(tblDaily[MalariaCases],tblDaily[EntryDate],DATE(2026,5,22),tblDaily[WardCode],"MW")=0,"",SUMIFS(tblDaily[MalariaCases],tblDaily[EntryDate],DATE(2026,5,22),tblDaily[WardCode],"MW")),"")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  <c r="I185" s="5" t="str">
        <f>IFERROR(IF(SUMIFS(tblDaily[MalariaCases],tblDaily[EntryDate],DATE(2026,5,23),tblDaily[WardCode],"MW")=0,"",SUMIFS(tblDaily[MalariaCases],tblDaily[EntryDate],DATE(2026,5,23),tblDaily[WardCode],"MW")),"")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  <c r="I186" s="5" t="str">
        <f>IFERROR(IF(SUMIFS(tblDaily[MalariaCases],tblDaily[EntryDate],DATE(2026,5,24),tblDaily[WardCode],"MW")=0,"",SUMIFS(tblDaily[MalariaCases],tblDaily[EntryDate],DATE(2026,5,24),tblDaily[WardCode],"MW")),"")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  <c r="I187" s="5" t="str">
        <f>IFERROR(IF(SUMIFS(tblDaily[MalariaCases],tblDaily[EntryDate],DATE(2026,5,25),tblDaily[WardCode],"MW")=0,"",SUMIFS(tblDaily[MalariaCases],tblDaily[EntryDate],DATE(2026,5,25),tblDaily[WardCode],"MW")),"")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  <c r="I188" s="5" t="str">
        <f>IFERROR(IF(SUMIFS(tblDaily[MalariaCases],tblDaily[EntryDate],DATE(2026,5,26),tblDaily[WardCode],"MW")=0,"",SUMIFS(tblDaily[MalariaCases],tblDaily[EntryDate],DATE(2026,5,26),tblDaily[WardCode],"MW")),"")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  <c r="I189" s="5" t="str">
        <f>IFERROR(IF(SUMIFS(tblDaily[MalariaCases],tblDaily[EntryDate],DATE(2026,5,27),tblDaily[WardCode],"MW")=0,"",SUMIFS(tblDaily[MalariaCases],tblDaily[EntryDate],DATE(2026,5,27),tblDaily[WardCode],"MW")),"")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  <c r="I190" s="5" t="str">
        <f>IFERROR(IF(SUMIFS(tblDaily[MalariaCases],tblDaily[EntryDate],DATE(2026,5,28),tblDaily[WardCode],"MW")=0,"",SUMIFS(tblDaily[MalariaCases],tblDaily[EntryDate],DATE(2026,5,28),tblDaily[WardCode],"MW")),"")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  <c r="I191" s="5" t="str">
        <f>IFERROR(IF(SUMIFS(tblDaily[MalariaCases],tblDaily[EntryDate],DATE(2026,5,29),tblDaily[WardCode],"MW")=0,"",SUMIFS(tblDaily[MalariaCases],tblDaily[EntryDate],DATE(2026,5,29),tblDaily[WardCode],"MW")),"")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  <c r="I192" s="5" t="str">
        <f>IFERROR(IF(SUMIFS(tblDaily[MalariaCases],tblDaily[EntryDate],DATE(2026,5,30),tblDaily[WardCode],"MW")=0,"",SUMIFS(tblDaily[MalariaCases],tblDaily[EntryDate],DATE(2026,5,30),tblDaily[WardCode],"MW")),"")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  <c r="I193" s="5" t="str">
        <f>IFERROR(IF(SUMIFS(tblDaily[MalariaCases],tblDaily[EntryDate],DATE(2026,5,31),tblDaily[WardCode],"MW")=0,"",SUMIFS(tblDaily[MalariaCases],tblDaily[EntryDate],DATE(2026,5,31),tblDaily[WardCode],"MW")),"")</f>
        <v/>
      </c>
    </row>
    <row r="194" spans="1:9" x14ac:dyDescent="0.25">
      <c r="A194" s="9" t="s">
        <v>94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84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IFERROR(SUMIFS(tblDaily[Remaining],tblDaily[EntryDate],DATE(2026,5,31),tblDaily[WardCode],"MW"),0)</f>
        <v>0</v>
      </c>
    </row>
    <row r="200" spans="1:9" x14ac:dyDescent="0.25">
      <c r="A200" s="1" t="s">
        <v>87</v>
      </c>
      <c r="H200" s="7">
        <f>IFERROR(INDEX(tblWardConfig[BedComplement],MATCH("MW",tblWardConfig[Export Year-End],0)),0)</f>
        <v>32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  <c r="I202" s="5" t="str">
        <f>IFERROR(IF(SUMIFS(tblDaily[MalariaCases],tblDaily[EntryDate],DATE(2026,6,1),tblDaily[WardCode],"MW")=0,"",SUMIFS(tblDaily[MalariaCases],tblDaily[EntryDate],DATE(2026,6,1),tblDaily[WardCode],"MW")),"")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  <c r="I203" s="5" t="str">
        <f>IFERROR(IF(SUMIFS(tblDaily[MalariaCases],tblDaily[EntryDate],DATE(2026,6,2),tblDaily[WardCode],"MW")=0,"",SUMIFS(tblDaily[MalariaCases],tblDaily[EntryDate],DATE(2026,6,2),tblDaily[WardCode],"MW")),"")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  <c r="I204" s="5" t="str">
        <f>IFERROR(IF(SUMIFS(tblDaily[MalariaCases],tblDaily[EntryDate],DATE(2026,6,3),tblDaily[WardCode],"MW")=0,"",SUMIFS(tblDaily[MalariaCases],tblDaily[EntryDate],DATE(2026,6,3),tblDaily[WardCode],"MW")),"")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  <c r="I205" s="5" t="str">
        <f>IFERROR(IF(SUMIFS(tblDaily[MalariaCases],tblDaily[EntryDate],DATE(2026,6,4),tblDaily[WardCode],"MW")=0,"",SUMIFS(tblDaily[MalariaCases],tblDaily[EntryDate],DATE(2026,6,4),tblDaily[WardCode],"MW")),"")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  <c r="I206" s="5" t="str">
        <f>IFERROR(IF(SUMIFS(tblDaily[MalariaCases],tblDaily[EntryDate],DATE(2026,6,5),tblDaily[WardCode],"MW")=0,"",SUMIFS(tblDaily[MalariaCases],tblDaily[EntryDate],DATE(2026,6,5),tblDaily[WardCode],"MW")),"")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  <c r="I207" s="5" t="str">
        <f>IFERROR(IF(SUMIFS(tblDaily[MalariaCases],tblDaily[EntryDate],DATE(2026,6,6),tblDaily[WardCode],"MW")=0,"",SUMIFS(tblDaily[MalariaCases],tblDaily[EntryDate],DATE(2026,6,6),tblDaily[WardCode],"MW")),"")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  <c r="I208" s="5" t="str">
        <f>IFERROR(IF(SUMIFS(tblDaily[MalariaCases],tblDaily[EntryDate],DATE(2026,6,7),tblDaily[WardCode],"MW")=0,"",SUMIFS(tblDaily[MalariaCases],tblDaily[EntryDate],DATE(2026,6,7),tblDaily[WardCode],"MW")),"")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  <c r="I209" s="5" t="str">
        <f>IFERROR(IF(SUMIFS(tblDaily[MalariaCases],tblDaily[EntryDate],DATE(2026,6,8),tblDaily[WardCode],"MW")=0,"",SUMIFS(tblDaily[MalariaCases],tblDaily[EntryDate],DATE(2026,6,8),tblDaily[WardCode],"MW")),"")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  <c r="I210" s="5" t="str">
        <f>IFERROR(IF(SUMIFS(tblDaily[MalariaCases],tblDaily[EntryDate],DATE(2026,6,9),tblDaily[WardCode],"MW")=0,"",SUMIFS(tblDaily[MalariaCases],tblDaily[EntryDate],DATE(2026,6,9),tblDaily[WardCode],"MW")),"")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  <c r="I211" s="5" t="str">
        <f>IFERROR(IF(SUMIFS(tblDaily[MalariaCases],tblDaily[EntryDate],DATE(2026,6,10),tblDaily[WardCode],"MW")=0,"",SUMIFS(tblDaily[MalariaCases],tblDaily[EntryDate],DATE(2026,6,10),tblDaily[WardCode],"MW")),"")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  <c r="I212" s="5" t="str">
        <f>IFERROR(IF(SUMIFS(tblDaily[MalariaCases],tblDaily[EntryDate],DATE(2026,6,11),tblDaily[WardCode],"MW")=0,"",SUMIFS(tblDaily[MalariaCases],tblDaily[EntryDate],DATE(2026,6,11),tblDaily[WardCode],"MW")),"")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  <c r="I213" s="5" t="str">
        <f>IFERROR(IF(SUMIFS(tblDaily[MalariaCases],tblDaily[EntryDate],DATE(2026,6,12),tblDaily[WardCode],"MW")=0,"",SUMIFS(tblDaily[MalariaCases],tblDaily[EntryDate],DATE(2026,6,12),tblDaily[WardCode],"MW")),"")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  <c r="I214" s="5" t="str">
        <f>IFERROR(IF(SUMIFS(tblDaily[MalariaCases],tblDaily[EntryDate],DATE(2026,6,13),tblDaily[WardCode],"MW")=0,"",SUMIFS(tblDaily[MalariaCases],tblDaily[EntryDate],DATE(2026,6,13),tblDaily[WardCode],"MW")),"")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  <c r="I215" s="5" t="str">
        <f>IFERROR(IF(SUMIFS(tblDaily[MalariaCases],tblDaily[EntryDate],DATE(2026,6,14),tblDaily[WardCode],"MW")=0,"",SUMIFS(tblDaily[MalariaCases],tblDaily[EntryDate],DATE(2026,6,14),tblDaily[WardCode],"MW")),"")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  <c r="I216" s="5" t="str">
        <f>IFERROR(IF(SUMIFS(tblDaily[MalariaCases],tblDaily[EntryDate],DATE(2026,6,15),tblDaily[WardCode],"MW")=0,"",SUMIFS(tblDaily[MalariaCases],tblDaily[EntryDate],DATE(2026,6,15),tblDaily[WardCode],"MW")),"")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  <c r="I217" s="5" t="str">
        <f>IFERROR(IF(SUMIFS(tblDaily[MalariaCases],tblDaily[EntryDate],DATE(2026,6,16),tblDaily[WardCode],"MW")=0,"",SUMIFS(tblDaily[MalariaCases],tblDaily[EntryDate],DATE(2026,6,16),tblDaily[WardCode],"MW")),"")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  <c r="I218" s="5" t="str">
        <f>IFERROR(IF(SUMIFS(tblDaily[MalariaCases],tblDaily[EntryDate],DATE(2026,6,17),tblDaily[WardCode],"MW")=0,"",SUMIFS(tblDaily[MalariaCases],tblDaily[EntryDate],DATE(2026,6,17),tblDaily[WardCode],"MW")),"")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  <c r="I219" s="5" t="str">
        <f>IFERROR(IF(SUMIFS(tblDaily[MalariaCases],tblDaily[EntryDate],DATE(2026,6,18),tblDaily[WardCode],"MW")=0,"",SUMIFS(tblDaily[MalariaCases],tblDaily[EntryDate],DATE(2026,6,18),tblDaily[WardCode],"MW")),"")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  <c r="I220" s="5" t="str">
        <f>IFERROR(IF(SUMIFS(tblDaily[MalariaCases],tblDaily[EntryDate],DATE(2026,6,19),tblDaily[WardCode],"MW")=0,"",SUMIFS(tblDaily[MalariaCases],tblDaily[EntryDate],DATE(2026,6,19),tblDaily[WardCode],"MW")),"")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  <c r="I221" s="5" t="str">
        <f>IFERROR(IF(SUMIFS(tblDaily[MalariaCases],tblDaily[EntryDate],DATE(2026,6,20),tblDaily[WardCode],"MW")=0,"",SUMIFS(tblDaily[MalariaCases],tblDaily[EntryDate],DATE(2026,6,20),tblDaily[WardCode],"MW")),"")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  <c r="I222" s="5" t="str">
        <f>IFERROR(IF(SUMIFS(tblDaily[MalariaCases],tblDaily[EntryDate],DATE(2026,6,21),tblDaily[WardCode],"MW")=0,"",SUMIFS(tblDaily[MalariaCases],tblDaily[EntryDate],DATE(2026,6,21),tblDaily[WardCode],"MW")),"")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  <c r="I223" s="5" t="str">
        <f>IFERROR(IF(SUMIFS(tblDaily[MalariaCases],tblDaily[EntryDate],DATE(2026,6,22),tblDaily[WardCode],"MW")=0,"",SUMIFS(tblDaily[MalariaCases],tblDaily[EntryDate],DATE(2026,6,22),tblDaily[WardCode],"MW")),"")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  <c r="I224" s="5" t="str">
        <f>IFERROR(IF(SUMIFS(tblDaily[MalariaCases],tblDaily[EntryDate],DATE(2026,6,23),tblDaily[WardCode],"MW")=0,"",SUMIFS(tblDaily[MalariaCases],tblDaily[EntryDate],DATE(2026,6,23),tblDaily[WardCode],"MW")),"")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  <c r="I225" s="5" t="str">
        <f>IFERROR(IF(SUMIFS(tblDaily[MalariaCases],tblDaily[EntryDate],DATE(2026,6,24),tblDaily[WardCode],"MW")=0,"",SUMIFS(tblDaily[MalariaCases],tblDaily[EntryDate],DATE(2026,6,24),tblDaily[WardCode],"MW")),"")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  <c r="I226" s="5" t="str">
        <f>IFERROR(IF(SUMIFS(tblDaily[MalariaCases],tblDaily[EntryDate],DATE(2026,6,25),tblDaily[WardCode],"MW")=0,"",SUMIFS(tblDaily[MalariaCases],tblDaily[EntryDate],DATE(2026,6,25),tblDaily[WardCode],"MW")),"")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  <c r="I227" s="5" t="str">
        <f>IFERROR(IF(SUMIFS(tblDaily[MalariaCases],tblDaily[EntryDate],DATE(2026,6,26),tblDaily[WardCode],"MW")=0,"",SUMIFS(tblDaily[MalariaCases],tblDaily[EntryDate],DATE(2026,6,26),tblDaily[WardCode],"MW")),"")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  <c r="I228" s="5" t="str">
        <f>IFERROR(IF(SUMIFS(tblDaily[MalariaCases],tblDaily[EntryDate],DATE(2026,6,27),tblDaily[WardCode],"MW")=0,"",SUMIFS(tblDaily[MalariaCases],tblDaily[EntryDate],DATE(2026,6,27),tblDaily[WardCode],"MW")),"")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  <c r="I229" s="5" t="str">
        <f>IFERROR(IF(SUMIFS(tblDaily[MalariaCases],tblDaily[EntryDate],DATE(2026,6,28),tblDaily[WardCode],"MW")=0,"",SUMIFS(tblDaily[MalariaCases],tblDaily[EntryDate],DATE(2026,6,28),tblDaily[WardCode],"MW")),"")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  <c r="I230" s="5" t="str">
        <f>IFERROR(IF(SUMIFS(tblDaily[MalariaCases],tblDaily[EntryDate],DATE(2026,6,29),tblDaily[WardCode],"MW")=0,"",SUMIFS(tblDaily[MalariaCases],tblDaily[EntryDate],DATE(2026,6,29),tblDaily[WardCode],"MW")),"")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  <c r="I231" s="5" t="str">
        <f>IFERROR(IF(SUMIFS(tblDaily[MalariaCases],tblDaily[EntryDate],DATE(2026,6,30),tblDaily[WardCode],"MW")=0,"",SUMIFS(tblDaily[MalariaCases],tblDaily[EntryDate],DATE(2026,6,30),tblDaily[WardCode],"MW")),"")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84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IFERROR(SUMIFS(tblDaily[Remaining],tblDaily[EntryDate],DATE(2026,6,30),tblDaily[WardCode],"MW"),0)</f>
        <v>0</v>
      </c>
    </row>
    <row r="239" spans="1:9" x14ac:dyDescent="0.25">
      <c r="A239" s="1" t="s">
        <v>87</v>
      </c>
      <c r="H239" s="7">
        <f>IFERROR(INDEX(tblWardConfig[BedComplement],MATCH("MW",tblWardConfig[Export Year-End],0)),0)</f>
        <v>32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  <c r="I241" s="5" t="str">
        <f>IFERROR(IF(SUMIFS(tblDaily[MalariaCases],tblDaily[EntryDate],DATE(2026,7,1),tblDaily[WardCode],"MW")=0,"",SUMIFS(tblDaily[MalariaCases],tblDaily[EntryDate],DATE(2026,7,1),tblDaily[WardCode],"MW")),"")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  <c r="I242" s="5" t="str">
        <f>IFERROR(IF(SUMIFS(tblDaily[MalariaCases],tblDaily[EntryDate],DATE(2026,7,2),tblDaily[WardCode],"MW")=0,"",SUMIFS(tblDaily[MalariaCases],tblDaily[EntryDate],DATE(2026,7,2),tblDaily[WardCode],"MW")),"")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  <c r="I243" s="5" t="str">
        <f>IFERROR(IF(SUMIFS(tblDaily[MalariaCases],tblDaily[EntryDate],DATE(2026,7,3),tblDaily[WardCode],"MW")=0,"",SUMIFS(tblDaily[MalariaCases],tblDaily[EntryDate],DATE(2026,7,3),tblDaily[WardCode],"MW")),"")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  <c r="I244" s="5" t="str">
        <f>IFERROR(IF(SUMIFS(tblDaily[MalariaCases],tblDaily[EntryDate],DATE(2026,7,4),tblDaily[WardCode],"MW")=0,"",SUMIFS(tblDaily[MalariaCases],tblDaily[EntryDate],DATE(2026,7,4),tblDaily[WardCode],"MW")),"")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  <c r="I245" s="5" t="str">
        <f>IFERROR(IF(SUMIFS(tblDaily[MalariaCases],tblDaily[EntryDate],DATE(2026,7,5),tblDaily[WardCode],"MW")=0,"",SUMIFS(tblDaily[MalariaCases],tblDaily[EntryDate],DATE(2026,7,5),tblDaily[WardCode],"MW")),"")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  <c r="I246" s="5" t="str">
        <f>IFERROR(IF(SUMIFS(tblDaily[MalariaCases],tblDaily[EntryDate],DATE(2026,7,6),tblDaily[WardCode],"MW")=0,"",SUMIFS(tblDaily[MalariaCases],tblDaily[EntryDate],DATE(2026,7,6),tblDaily[WardCode],"MW")),"")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  <c r="I247" s="5" t="str">
        <f>IFERROR(IF(SUMIFS(tblDaily[MalariaCases],tblDaily[EntryDate],DATE(2026,7,7),tblDaily[WardCode],"MW")=0,"",SUMIFS(tblDaily[MalariaCases],tblDaily[EntryDate],DATE(2026,7,7),tblDaily[WardCode],"MW")),"")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  <c r="I248" s="5" t="str">
        <f>IFERROR(IF(SUMIFS(tblDaily[MalariaCases],tblDaily[EntryDate],DATE(2026,7,8),tblDaily[WardCode],"MW")=0,"",SUMIFS(tblDaily[MalariaCases],tblDaily[EntryDate],DATE(2026,7,8),tblDaily[WardCode],"MW")),"")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  <c r="I249" s="5" t="str">
        <f>IFERROR(IF(SUMIFS(tblDaily[MalariaCases],tblDaily[EntryDate],DATE(2026,7,9),tblDaily[WardCode],"MW")=0,"",SUMIFS(tblDaily[MalariaCases],tblDaily[EntryDate],DATE(2026,7,9),tblDaily[WardCode],"MW")),"")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  <c r="I250" s="5" t="str">
        <f>IFERROR(IF(SUMIFS(tblDaily[MalariaCases],tblDaily[EntryDate],DATE(2026,7,10),tblDaily[WardCode],"MW")=0,"",SUMIFS(tblDaily[MalariaCases],tblDaily[EntryDate],DATE(2026,7,10),tblDaily[WardCode],"MW")),"")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  <c r="I251" s="5" t="str">
        <f>IFERROR(IF(SUMIFS(tblDaily[MalariaCases],tblDaily[EntryDate],DATE(2026,7,11),tblDaily[WardCode],"MW")=0,"",SUMIFS(tblDaily[MalariaCases],tblDaily[EntryDate],DATE(2026,7,11),tblDaily[WardCode],"MW")),"")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  <c r="I252" s="5" t="str">
        <f>IFERROR(IF(SUMIFS(tblDaily[MalariaCases],tblDaily[EntryDate],DATE(2026,7,12),tblDaily[WardCode],"MW")=0,"",SUMIFS(tblDaily[MalariaCases],tblDaily[EntryDate],DATE(2026,7,12),tblDaily[WardCode],"MW")),"")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  <c r="I253" s="5" t="str">
        <f>IFERROR(IF(SUMIFS(tblDaily[MalariaCases],tblDaily[EntryDate],DATE(2026,7,13),tblDaily[WardCode],"MW")=0,"",SUMIFS(tblDaily[MalariaCases],tblDaily[EntryDate],DATE(2026,7,13),tblDaily[WardCode],"MW")),"")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  <c r="I254" s="5" t="str">
        <f>IFERROR(IF(SUMIFS(tblDaily[MalariaCases],tblDaily[EntryDate],DATE(2026,7,14),tblDaily[WardCode],"MW")=0,"",SUMIFS(tblDaily[MalariaCases],tblDaily[EntryDate],DATE(2026,7,14),tblDaily[WardCode],"MW")),"")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  <c r="I255" s="5" t="str">
        <f>IFERROR(IF(SUMIFS(tblDaily[MalariaCases],tblDaily[EntryDate],DATE(2026,7,15),tblDaily[WardCode],"MW")=0,"",SUMIFS(tblDaily[MalariaCases],tblDaily[EntryDate],DATE(2026,7,15),tblDaily[WardCode],"MW")),"")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  <c r="I256" s="5" t="str">
        <f>IFERROR(IF(SUMIFS(tblDaily[MalariaCases],tblDaily[EntryDate],DATE(2026,7,16),tblDaily[WardCode],"MW")=0,"",SUMIFS(tblDaily[MalariaCases],tblDaily[EntryDate],DATE(2026,7,16),tblDaily[WardCode],"MW")),"")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  <c r="I257" s="5" t="str">
        <f>IFERROR(IF(SUMIFS(tblDaily[MalariaCases],tblDaily[EntryDate],DATE(2026,7,17),tblDaily[WardCode],"MW")=0,"",SUMIFS(tblDaily[MalariaCases],tblDaily[EntryDate],DATE(2026,7,17),tblDaily[WardCode],"MW")),"")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  <c r="I258" s="5" t="str">
        <f>IFERROR(IF(SUMIFS(tblDaily[MalariaCases],tblDaily[EntryDate],DATE(2026,7,18),tblDaily[WardCode],"MW")=0,"",SUMIFS(tblDaily[MalariaCases],tblDaily[EntryDate],DATE(2026,7,18),tblDaily[WardCode],"MW")),"")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  <c r="I259" s="5" t="str">
        <f>IFERROR(IF(SUMIFS(tblDaily[MalariaCases],tblDaily[EntryDate],DATE(2026,7,19),tblDaily[WardCode],"MW")=0,"",SUMIFS(tblDaily[MalariaCases],tblDaily[EntryDate],DATE(2026,7,19),tblDaily[WardCode],"MW")),"")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  <c r="I260" s="5" t="str">
        <f>IFERROR(IF(SUMIFS(tblDaily[MalariaCases],tblDaily[EntryDate],DATE(2026,7,20),tblDaily[WardCode],"MW")=0,"",SUMIFS(tblDaily[MalariaCases],tblDaily[EntryDate],DATE(2026,7,20),tblDaily[WardCode],"MW")),"")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  <c r="I261" s="5" t="str">
        <f>IFERROR(IF(SUMIFS(tblDaily[MalariaCases],tblDaily[EntryDate],DATE(2026,7,21),tblDaily[WardCode],"MW")=0,"",SUMIFS(tblDaily[MalariaCases],tblDaily[EntryDate],DATE(2026,7,21),tblDaily[WardCode],"MW")),"")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  <c r="I262" s="5" t="str">
        <f>IFERROR(IF(SUMIFS(tblDaily[MalariaCases],tblDaily[EntryDate],DATE(2026,7,22),tblDaily[WardCode],"MW")=0,"",SUMIFS(tblDaily[MalariaCases],tblDaily[EntryDate],DATE(2026,7,22),tblDaily[WardCode],"MW")),"")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  <c r="I263" s="5" t="str">
        <f>IFERROR(IF(SUMIFS(tblDaily[MalariaCases],tblDaily[EntryDate],DATE(2026,7,23),tblDaily[WardCode],"MW")=0,"",SUMIFS(tblDaily[MalariaCases],tblDaily[EntryDate],DATE(2026,7,23),tblDaily[WardCode],"MW")),"")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  <c r="I264" s="5" t="str">
        <f>IFERROR(IF(SUMIFS(tblDaily[MalariaCases],tblDaily[EntryDate],DATE(2026,7,24),tblDaily[WardCode],"MW")=0,"",SUMIFS(tblDaily[MalariaCases],tblDaily[EntryDate],DATE(2026,7,24),tblDaily[WardCode],"MW")),"")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  <c r="I265" s="5" t="str">
        <f>IFERROR(IF(SUMIFS(tblDaily[MalariaCases],tblDaily[EntryDate],DATE(2026,7,25),tblDaily[WardCode],"MW")=0,"",SUMIFS(tblDaily[MalariaCases],tblDaily[EntryDate],DATE(2026,7,25),tblDaily[WardCode],"MW")),"")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  <c r="I266" s="5" t="str">
        <f>IFERROR(IF(SUMIFS(tblDaily[MalariaCases],tblDaily[EntryDate],DATE(2026,7,26),tblDaily[WardCode],"MW")=0,"",SUMIFS(tblDaily[MalariaCases],tblDaily[EntryDate],DATE(2026,7,26),tblDaily[WardCode],"MW")),"")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  <c r="I267" s="5" t="str">
        <f>IFERROR(IF(SUMIFS(tblDaily[MalariaCases],tblDaily[EntryDate],DATE(2026,7,27),tblDaily[WardCode],"MW")=0,"",SUMIFS(tblDaily[MalariaCases],tblDaily[EntryDate],DATE(2026,7,27),tblDaily[WardCode],"MW")),"")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  <c r="I268" s="5" t="str">
        <f>IFERROR(IF(SUMIFS(tblDaily[MalariaCases],tblDaily[EntryDate],DATE(2026,7,28),tblDaily[WardCode],"MW")=0,"",SUMIFS(tblDaily[MalariaCases],tblDaily[EntryDate],DATE(2026,7,28),tblDaily[WardCode],"MW")),"")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  <c r="I269" s="5" t="str">
        <f>IFERROR(IF(SUMIFS(tblDaily[MalariaCases],tblDaily[EntryDate],DATE(2026,7,29),tblDaily[WardCode],"MW")=0,"",SUMIFS(tblDaily[MalariaCases],tblDaily[EntryDate],DATE(2026,7,29),tblDaily[WardCode],"MW")),"")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  <c r="I270" s="5" t="str">
        <f>IFERROR(IF(SUMIFS(tblDaily[MalariaCases],tblDaily[EntryDate],DATE(2026,7,30),tblDaily[WardCode],"MW")=0,"",SUMIFS(tblDaily[MalariaCases],tblDaily[EntryDate],DATE(2026,7,30),tblDaily[WardCode],"MW")),"")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  <c r="I271" s="5" t="str">
        <f>IFERROR(IF(SUMIFS(tblDaily[MalariaCases],tblDaily[EntryDate],DATE(2026,7,31),tblDaily[WardCode],"MW")=0,"",SUMIFS(tblDaily[MalariaCases],tblDaily[EntryDate],DATE(2026,7,31),tblDaily[WardCode],"MW")),"")</f>
        <v/>
      </c>
    </row>
    <row r="272" spans="1:9" x14ac:dyDescent="0.25">
      <c r="A272" s="9" t="s">
        <v>94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84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IFERROR(SUMIFS(tblDaily[Remaining],tblDaily[EntryDate],DATE(2026,7,31),tblDaily[WardCode],"MW"),0)</f>
        <v>0</v>
      </c>
    </row>
    <row r="278" spans="1:9" x14ac:dyDescent="0.25">
      <c r="A278" s="1" t="s">
        <v>87</v>
      </c>
      <c r="H278" s="7">
        <f>IFERROR(INDEX(tblWardConfig[BedComplement],MATCH("MW",tblWardConfig[Export Year-End],0)),0)</f>
        <v>32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  <c r="I280" s="5" t="str">
        <f>IFERROR(IF(SUMIFS(tblDaily[MalariaCases],tblDaily[EntryDate],DATE(2026,8,1),tblDaily[WardCode],"MW")=0,"",SUMIFS(tblDaily[MalariaCases],tblDaily[EntryDate],DATE(2026,8,1),tblDaily[WardCode],"MW")),"")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  <c r="I281" s="5" t="str">
        <f>IFERROR(IF(SUMIFS(tblDaily[MalariaCases],tblDaily[EntryDate],DATE(2026,8,2),tblDaily[WardCode],"MW")=0,"",SUMIFS(tblDaily[MalariaCases],tblDaily[EntryDate],DATE(2026,8,2),tblDaily[WardCode],"MW")),"")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  <c r="I282" s="5" t="str">
        <f>IFERROR(IF(SUMIFS(tblDaily[MalariaCases],tblDaily[EntryDate],DATE(2026,8,3),tblDaily[WardCode],"MW")=0,"",SUMIFS(tblDaily[MalariaCases],tblDaily[EntryDate],DATE(2026,8,3),tblDaily[WardCode],"MW")),"")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  <c r="I283" s="5" t="str">
        <f>IFERROR(IF(SUMIFS(tblDaily[MalariaCases],tblDaily[EntryDate],DATE(2026,8,4),tblDaily[WardCode],"MW")=0,"",SUMIFS(tblDaily[MalariaCases],tblDaily[EntryDate],DATE(2026,8,4),tblDaily[WardCode],"MW")),"")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  <c r="I284" s="5" t="str">
        <f>IFERROR(IF(SUMIFS(tblDaily[MalariaCases],tblDaily[EntryDate],DATE(2026,8,5),tblDaily[WardCode],"MW")=0,"",SUMIFS(tblDaily[MalariaCases],tblDaily[EntryDate],DATE(2026,8,5),tblDaily[WardCode],"MW")),"")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  <c r="I285" s="5" t="str">
        <f>IFERROR(IF(SUMIFS(tblDaily[MalariaCases],tblDaily[EntryDate],DATE(2026,8,6),tblDaily[WardCode],"MW")=0,"",SUMIFS(tblDaily[MalariaCases],tblDaily[EntryDate],DATE(2026,8,6),tblDaily[WardCode],"MW")),"")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  <c r="I286" s="5" t="str">
        <f>IFERROR(IF(SUMIFS(tblDaily[MalariaCases],tblDaily[EntryDate],DATE(2026,8,7),tblDaily[WardCode],"MW")=0,"",SUMIFS(tblDaily[MalariaCases],tblDaily[EntryDate],DATE(2026,8,7),tblDaily[WardCode],"MW")),"")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  <c r="I287" s="5" t="str">
        <f>IFERROR(IF(SUMIFS(tblDaily[MalariaCases],tblDaily[EntryDate],DATE(2026,8,8),tblDaily[WardCode],"MW")=0,"",SUMIFS(tblDaily[MalariaCases],tblDaily[EntryDate],DATE(2026,8,8),tblDaily[WardCode],"MW")),"")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  <c r="I288" s="5" t="str">
        <f>IFERROR(IF(SUMIFS(tblDaily[MalariaCases],tblDaily[EntryDate],DATE(2026,8,9),tblDaily[WardCode],"MW")=0,"",SUMIFS(tblDaily[MalariaCases],tblDaily[EntryDate],DATE(2026,8,9),tblDaily[WardCode],"MW")),"")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  <c r="I289" s="5" t="str">
        <f>IFERROR(IF(SUMIFS(tblDaily[MalariaCases],tblDaily[EntryDate],DATE(2026,8,10),tblDaily[WardCode],"MW")=0,"",SUMIFS(tblDaily[MalariaCases],tblDaily[EntryDate],DATE(2026,8,10),tblDaily[WardCode],"MW")),"")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  <c r="I290" s="5" t="str">
        <f>IFERROR(IF(SUMIFS(tblDaily[MalariaCases],tblDaily[EntryDate],DATE(2026,8,11),tblDaily[WardCode],"MW")=0,"",SUMIFS(tblDaily[MalariaCases],tblDaily[EntryDate],DATE(2026,8,11),tblDaily[WardCode],"MW")),"")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  <c r="I291" s="5" t="str">
        <f>IFERROR(IF(SUMIFS(tblDaily[MalariaCases],tblDaily[EntryDate],DATE(2026,8,12),tblDaily[WardCode],"MW")=0,"",SUMIFS(tblDaily[MalariaCases],tblDaily[EntryDate],DATE(2026,8,12),tblDaily[WardCode],"MW")),"")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  <c r="I292" s="5" t="str">
        <f>IFERROR(IF(SUMIFS(tblDaily[MalariaCases],tblDaily[EntryDate],DATE(2026,8,13),tblDaily[WardCode],"MW")=0,"",SUMIFS(tblDaily[MalariaCases],tblDaily[EntryDate],DATE(2026,8,13),tblDaily[WardCode],"MW")),"")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  <c r="I293" s="5" t="str">
        <f>IFERROR(IF(SUMIFS(tblDaily[MalariaCases],tblDaily[EntryDate],DATE(2026,8,14),tblDaily[WardCode],"MW")=0,"",SUMIFS(tblDaily[MalariaCases],tblDaily[EntryDate],DATE(2026,8,14),tblDaily[WardCode],"MW")),"")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  <c r="I294" s="5" t="str">
        <f>IFERROR(IF(SUMIFS(tblDaily[MalariaCases],tblDaily[EntryDate],DATE(2026,8,15),tblDaily[WardCode],"MW")=0,"",SUMIFS(tblDaily[MalariaCases],tblDaily[EntryDate],DATE(2026,8,15),tblDaily[WardCode],"MW")),"")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  <c r="I295" s="5" t="str">
        <f>IFERROR(IF(SUMIFS(tblDaily[MalariaCases],tblDaily[EntryDate],DATE(2026,8,16),tblDaily[WardCode],"MW")=0,"",SUMIFS(tblDaily[MalariaCases],tblDaily[EntryDate],DATE(2026,8,16),tblDaily[WardCode],"MW")),"")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  <c r="I296" s="5" t="str">
        <f>IFERROR(IF(SUMIFS(tblDaily[MalariaCases],tblDaily[EntryDate],DATE(2026,8,17),tblDaily[WardCode],"MW")=0,"",SUMIFS(tblDaily[MalariaCases],tblDaily[EntryDate],DATE(2026,8,17),tblDaily[WardCode],"MW")),"")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  <c r="I297" s="5" t="str">
        <f>IFERROR(IF(SUMIFS(tblDaily[MalariaCases],tblDaily[EntryDate],DATE(2026,8,18),tblDaily[WardCode],"MW")=0,"",SUMIFS(tblDaily[MalariaCases],tblDaily[EntryDate],DATE(2026,8,18),tblDaily[WardCode],"MW")),"")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  <c r="I298" s="5" t="str">
        <f>IFERROR(IF(SUMIFS(tblDaily[MalariaCases],tblDaily[EntryDate],DATE(2026,8,19),tblDaily[WardCode],"MW")=0,"",SUMIFS(tblDaily[MalariaCases],tblDaily[EntryDate],DATE(2026,8,19),tblDaily[WardCode],"MW")),"")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  <c r="I299" s="5" t="str">
        <f>IFERROR(IF(SUMIFS(tblDaily[MalariaCases],tblDaily[EntryDate],DATE(2026,8,20),tblDaily[WardCode],"MW")=0,"",SUMIFS(tblDaily[MalariaCases],tblDaily[EntryDate],DATE(2026,8,20),tblDaily[WardCode],"MW")),"")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  <c r="I300" s="5" t="str">
        <f>IFERROR(IF(SUMIFS(tblDaily[MalariaCases],tblDaily[EntryDate],DATE(2026,8,21),tblDaily[WardCode],"MW")=0,"",SUMIFS(tblDaily[MalariaCases],tblDaily[EntryDate],DATE(2026,8,21),tblDaily[WardCode],"MW")),"")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  <c r="I301" s="5" t="str">
        <f>IFERROR(IF(SUMIFS(tblDaily[MalariaCases],tblDaily[EntryDate],DATE(2026,8,22),tblDaily[WardCode],"MW")=0,"",SUMIFS(tblDaily[MalariaCases],tblDaily[EntryDate],DATE(2026,8,22),tblDaily[WardCode],"MW")),"")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  <c r="I302" s="5" t="str">
        <f>IFERROR(IF(SUMIFS(tblDaily[MalariaCases],tblDaily[EntryDate],DATE(2026,8,23),tblDaily[WardCode],"MW")=0,"",SUMIFS(tblDaily[MalariaCases],tblDaily[EntryDate],DATE(2026,8,23),tblDaily[WardCode],"MW")),"")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  <c r="I303" s="5" t="str">
        <f>IFERROR(IF(SUMIFS(tblDaily[MalariaCases],tblDaily[EntryDate],DATE(2026,8,24),tblDaily[WardCode],"MW")=0,"",SUMIFS(tblDaily[MalariaCases],tblDaily[EntryDate],DATE(2026,8,24),tblDaily[WardCode],"MW")),"")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  <c r="I304" s="5" t="str">
        <f>IFERROR(IF(SUMIFS(tblDaily[MalariaCases],tblDaily[EntryDate],DATE(2026,8,25),tblDaily[WardCode],"MW")=0,"",SUMIFS(tblDaily[MalariaCases],tblDaily[EntryDate],DATE(2026,8,25),tblDaily[WardCode],"MW")),"")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  <c r="I305" s="5" t="str">
        <f>IFERROR(IF(SUMIFS(tblDaily[MalariaCases],tblDaily[EntryDate],DATE(2026,8,26),tblDaily[WardCode],"MW")=0,"",SUMIFS(tblDaily[MalariaCases],tblDaily[EntryDate],DATE(2026,8,26),tblDaily[WardCode],"MW")),"")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  <c r="I306" s="5" t="str">
        <f>IFERROR(IF(SUMIFS(tblDaily[MalariaCases],tblDaily[EntryDate],DATE(2026,8,27),tblDaily[WardCode],"MW")=0,"",SUMIFS(tblDaily[MalariaCases],tblDaily[EntryDate],DATE(2026,8,27),tblDaily[WardCode],"MW")),"")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  <c r="I307" s="5" t="str">
        <f>IFERROR(IF(SUMIFS(tblDaily[MalariaCases],tblDaily[EntryDate],DATE(2026,8,28),tblDaily[WardCode],"MW")=0,"",SUMIFS(tblDaily[MalariaCases],tblDaily[EntryDate],DATE(2026,8,28),tblDaily[WardCode],"MW")),"")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  <c r="I308" s="5" t="str">
        <f>IFERROR(IF(SUMIFS(tblDaily[MalariaCases],tblDaily[EntryDate],DATE(2026,8,29),tblDaily[WardCode],"MW")=0,"",SUMIFS(tblDaily[MalariaCases],tblDaily[EntryDate],DATE(2026,8,29),tblDaily[WardCode],"MW")),"")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  <c r="I309" s="5" t="str">
        <f>IFERROR(IF(SUMIFS(tblDaily[MalariaCases],tblDaily[EntryDate],DATE(2026,8,30),tblDaily[WardCode],"MW")=0,"",SUMIFS(tblDaily[MalariaCases],tblDaily[EntryDate],DATE(2026,8,30),tblDaily[WardCode],"MW")),"")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  <c r="I310" s="5" t="str">
        <f>IFERROR(IF(SUMIFS(tblDaily[MalariaCases],tblDaily[EntryDate],DATE(2026,8,31),tblDaily[WardCode],"MW")=0,"",SUMIFS(tblDaily[MalariaCases],tblDaily[EntryDate],DATE(2026,8,31),tblDaily[WardCode],"MW")),"")</f>
        <v/>
      </c>
    </row>
    <row r="311" spans="1:9" x14ac:dyDescent="0.25">
      <c r="A311" s="9" t="s">
        <v>94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84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IFERROR(SUMIFS(tblDaily[Remaining],tblDaily[EntryDate],DATE(2026,8,31),tblDaily[WardCode],"MW"),0)</f>
        <v>0</v>
      </c>
    </row>
    <row r="317" spans="1:9" x14ac:dyDescent="0.25">
      <c r="A317" s="1" t="s">
        <v>87</v>
      </c>
      <c r="H317" s="7">
        <f>IFERROR(INDEX(tblWardConfig[BedComplement],MATCH("MW",tblWardConfig[Export Year-End],0)),0)</f>
        <v>32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  <c r="I319" s="5" t="str">
        <f>IFERROR(IF(SUMIFS(tblDaily[MalariaCases],tblDaily[EntryDate],DATE(2026,9,1),tblDaily[WardCode],"MW")=0,"",SUMIFS(tblDaily[MalariaCases],tblDaily[EntryDate],DATE(2026,9,1),tblDaily[WardCode],"MW")),"")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  <c r="I320" s="5" t="str">
        <f>IFERROR(IF(SUMIFS(tblDaily[MalariaCases],tblDaily[EntryDate],DATE(2026,9,2),tblDaily[WardCode],"MW")=0,"",SUMIFS(tblDaily[MalariaCases],tblDaily[EntryDate],DATE(2026,9,2),tblDaily[WardCode],"MW")),"")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  <c r="I321" s="5" t="str">
        <f>IFERROR(IF(SUMIFS(tblDaily[MalariaCases],tblDaily[EntryDate],DATE(2026,9,3),tblDaily[WardCode],"MW")=0,"",SUMIFS(tblDaily[MalariaCases],tblDaily[EntryDate],DATE(2026,9,3),tblDaily[WardCode],"MW")),"")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  <c r="I322" s="5" t="str">
        <f>IFERROR(IF(SUMIFS(tblDaily[MalariaCases],tblDaily[EntryDate],DATE(2026,9,4),tblDaily[WardCode],"MW")=0,"",SUMIFS(tblDaily[MalariaCases],tblDaily[EntryDate],DATE(2026,9,4),tblDaily[WardCode],"MW")),"")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  <c r="I323" s="5" t="str">
        <f>IFERROR(IF(SUMIFS(tblDaily[MalariaCases],tblDaily[EntryDate],DATE(2026,9,5),tblDaily[WardCode],"MW")=0,"",SUMIFS(tblDaily[MalariaCases],tblDaily[EntryDate],DATE(2026,9,5),tblDaily[WardCode],"MW")),"")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  <c r="I324" s="5" t="str">
        <f>IFERROR(IF(SUMIFS(tblDaily[MalariaCases],tblDaily[EntryDate],DATE(2026,9,6),tblDaily[WardCode],"MW")=0,"",SUMIFS(tblDaily[MalariaCases],tblDaily[EntryDate],DATE(2026,9,6),tblDaily[WardCode],"MW")),"")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  <c r="I325" s="5" t="str">
        <f>IFERROR(IF(SUMIFS(tblDaily[MalariaCases],tblDaily[EntryDate],DATE(2026,9,7),tblDaily[WardCode],"MW")=0,"",SUMIFS(tblDaily[MalariaCases],tblDaily[EntryDate],DATE(2026,9,7),tblDaily[WardCode],"MW")),"")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  <c r="I326" s="5" t="str">
        <f>IFERROR(IF(SUMIFS(tblDaily[MalariaCases],tblDaily[EntryDate],DATE(2026,9,8),tblDaily[WardCode],"MW")=0,"",SUMIFS(tblDaily[MalariaCases],tblDaily[EntryDate],DATE(2026,9,8),tblDaily[WardCode],"MW")),"")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  <c r="I327" s="5" t="str">
        <f>IFERROR(IF(SUMIFS(tblDaily[MalariaCases],tblDaily[EntryDate],DATE(2026,9,9),tblDaily[WardCode],"MW")=0,"",SUMIFS(tblDaily[MalariaCases],tblDaily[EntryDate],DATE(2026,9,9),tblDaily[WardCode],"MW")),"")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  <c r="I328" s="5" t="str">
        <f>IFERROR(IF(SUMIFS(tblDaily[MalariaCases],tblDaily[EntryDate],DATE(2026,9,10),tblDaily[WardCode],"MW")=0,"",SUMIFS(tblDaily[MalariaCases],tblDaily[EntryDate],DATE(2026,9,10),tblDaily[WardCode],"MW")),"")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  <c r="I329" s="5" t="str">
        <f>IFERROR(IF(SUMIFS(tblDaily[MalariaCases],tblDaily[EntryDate],DATE(2026,9,11),tblDaily[WardCode],"MW")=0,"",SUMIFS(tblDaily[MalariaCases],tblDaily[EntryDate],DATE(2026,9,11),tblDaily[WardCode],"MW")),"")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  <c r="I330" s="5" t="str">
        <f>IFERROR(IF(SUMIFS(tblDaily[MalariaCases],tblDaily[EntryDate],DATE(2026,9,12),tblDaily[WardCode],"MW")=0,"",SUMIFS(tblDaily[MalariaCases],tblDaily[EntryDate],DATE(2026,9,12),tblDaily[WardCode],"MW")),"")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  <c r="I331" s="5" t="str">
        <f>IFERROR(IF(SUMIFS(tblDaily[MalariaCases],tblDaily[EntryDate],DATE(2026,9,13),tblDaily[WardCode],"MW")=0,"",SUMIFS(tblDaily[MalariaCases],tblDaily[EntryDate],DATE(2026,9,13),tblDaily[WardCode],"MW")),"")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  <c r="I332" s="5" t="str">
        <f>IFERROR(IF(SUMIFS(tblDaily[MalariaCases],tblDaily[EntryDate],DATE(2026,9,14),tblDaily[WardCode],"MW")=0,"",SUMIFS(tblDaily[MalariaCases],tblDaily[EntryDate],DATE(2026,9,14),tblDaily[WardCode],"MW")),"")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  <c r="I333" s="5" t="str">
        <f>IFERROR(IF(SUMIFS(tblDaily[MalariaCases],tblDaily[EntryDate],DATE(2026,9,15),tblDaily[WardCode],"MW")=0,"",SUMIFS(tblDaily[MalariaCases],tblDaily[EntryDate],DATE(2026,9,15),tblDaily[WardCode],"MW")),"")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  <c r="I334" s="5" t="str">
        <f>IFERROR(IF(SUMIFS(tblDaily[MalariaCases],tblDaily[EntryDate],DATE(2026,9,16),tblDaily[WardCode],"MW")=0,"",SUMIFS(tblDaily[MalariaCases],tblDaily[EntryDate],DATE(2026,9,16),tblDaily[WardCode],"MW")),"")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  <c r="I335" s="5" t="str">
        <f>IFERROR(IF(SUMIFS(tblDaily[MalariaCases],tblDaily[EntryDate],DATE(2026,9,17),tblDaily[WardCode],"MW")=0,"",SUMIFS(tblDaily[MalariaCases],tblDaily[EntryDate],DATE(2026,9,17),tblDaily[WardCode],"MW")),"")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  <c r="I336" s="5" t="str">
        <f>IFERROR(IF(SUMIFS(tblDaily[MalariaCases],tblDaily[EntryDate],DATE(2026,9,18),tblDaily[WardCode],"MW")=0,"",SUMIFS(tblDaily[MalariaCases],tblDaily[EntryDate],DATE(2026,9,18),tblDaily[WardCode],"MW")),"")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  <c r="I337" s="5" t="str">
        <f>IFERROR(IF(SUMIFS(tblDaily[MalariaCases],tblDaily[EntryDate],DATE(2026,9,19),tblDaily[WardCode],"MW")=0,"",SUMIFS(tblDaily[MalariaCases],tblDaily[EntryDate],DATE(2026,9,19),tblDaily[WardCode],"MW")),"")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  <c r="I338" s="5" t="str">
        <f>IFERROR(IF(SUMIFS(tblDaily[MalariaCases],tblDaily[EntryDate],DATE(2026,9,20),tblDaily[WardCode],"MW")=0,"",SUMIFS(tblDaily[MalariaCases],tblDaily[EntryDate],DATE(2026,9,20),tblDaily[WardCode],"MW")),"")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  <c r="I339" s="5" t="str">
        <f>IFERROR(IF(SUMIFS(tblDaily[MalariaCases],tblDaily[EntryDate],DATE(2026,9,21),tblDaily[WardCode],"MW")=0,"",SUMIFS(tblDaily[MalariaCases],tblDaily[EntryDate],DATE(2026,9,21),tblDaily[WardCode],"MW")),"")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  <c r="I340" s="5" t="str">
        <f>IFERROR(IF(SUMIFS(tblDaily[MalariaCases],tblDaily[EntryDate],DATE(2026,9,22),tblDaily[WardCode],"MW")=0,"",SUMIFS(tblDaily[MalariaCases],tblDaily[EntryDate],DATE(2026,9,22),tblDaily[WardCode],"MW")),"")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  <c r="I341" s="5" t="str">
        <f>IFERROR(IF(SUMIFS(tblDaily[MalariaCases],tblDaily[EntryDate],DATE(2026,9,23),tblDaily[WardCode],"MW")=0,"",SUMIFS(tblDaily[MalariaCases],tblDaily[EntryDate],DATE(2026,9,23),tblDaily[WardCode],"MW")),"")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  <c r="I342" s="5" t="str">
        <f>IFERROR(IF(SUMIFS(tblDaily[MalariaCases],tblDaily[EntryDate],DATE(2026,9,24),tblDaily[WardCode],"MW")=0,"",SUMIFS(tblDaily[MalariaCases],tblDaily[EntryDate],DATE(2026,9,24),tblDaily[WardCode],"MW")),"")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  <c r="I343" s="5" t="str">
        <f>IFERROR(IF(SUMIFS(tblDaily[MalariaCases],tblDaily[EntryDate],DATE(2026,9,25),tblDaily[WardCode],"MW")=0,"",SUMIFS(tblDaily[MalariaCases],tblDaily[EntryDate],DATE(2026,9,25),tblDaily[WardCode],"MW")),"")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  <c r="I344" s="5" t="str">
        <f>IFERROR(IF(SUMIFS(tblDaily[MalariaCases],tblDaily[EntryDate],DATE(2026,9,26),tblDaily[WardCode],"MW")=0,"",SUMIFS(tblDaily[MalariaCases],tblDaily[EntryDate],DATE(2026,9,26),tblDaily[WardCode],"MW")),"")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  <c r="I345" s="5" t="str">
        <f>IFERROR(IF(SUMIFS(tblDaily[MalariaCases],tblDaily[EntryDate],DATE(2026,9,27),tblDaily[WardCode],"MW")=0,"",SUMIFS(tblDaily[MalariaCases],tblDaily[EntryDate],DATE(2026,9,27),tblDaily[WardCode],"MW")),"")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  <c r="I346" s="5" t="str">
        <f>IFERROR(IF(SUMIFS(tblDaily[MalariaCases],tblDaily[EntryDate],DATE(2026,9,28),tblDaily[WardCode],"MW")=0,"",SUMIFS(tblDaily[MalariaCases],tblDaily[EntryDate],DATE(2026,9,28),tblDaily[WardCode],"MW")),"")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  <c r="I347" s="5" t="str">
        <f>IFERROR(IF(SUMIFS(tblDaily[MalariaCases],tblDaily[EntryDate],DATE(2026,9,29),tblDaily[WardCode],"MW")=0,"",SUMIFS(tblDaily[MalariaCases],tblDaily[EntryDate],DATE(2026,9,29),tblDaily[WardCode],"MW")),"")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  <c r="I348" s="5" t="str">
        <f>IFERROR(IF(SUMIFS(tblDaily[MalariaCases],tblDaily[EntryDate],DATE(2026,9,30),tblDaily[WardCode],"MW")=0,"",SUMIFS(tblDaily[MalariaCases],tblDaily[EntryDate],DATE(2026,9,30),tblDaily[WardCode],"MW")),"")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84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IFERROR(SUMIFS(tblDaily[Remaining],tblDaily[EntryDate],DATE(2026,9,30),tblDaily[WardCode],"MW"),0)</f>
        <v>0</v>
      </c>
    </row>
    <row r="356" spans="1:9" x14ac:dyDescent="0.25">
      <c r="A356" s="1" t="s">
        <v>87</v>
      </c>
      <c r="H356" s="7">
        <f>IFERROR(INDEX(tblWardConfig[BedComplement],MATCH("MW",tblWardConfig[Export Year-End],0)),0)</f>
        <v>32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  <c r="I358" s="5" t="str">
        <f>IFERROR(IF(SUMIFS(tblDaily[MalariaCases],tblDaily[EntryDate],DATE(2026,10,1),tblDaily[WardCode],"MW")=0,"",SUMIFS(tblDaily[MalariaCases],tblDaily[EntryDate],DATE(2026,10,1),tblDaily[WardCode],"MW")),"")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  <c r="I359" s="5" t="str">
        <f>IFERROR(IF(SUMIFS(tblDaily[MalariaCases],tblDaily[EntryDate],DATE(2026,10,2),tblDaily[WardCode],"MW")=0,"",SUMIFS(tblDaily[MalariaCases],tblDaily[EntryDate],DATE(2026,10,2),tblDaily[WardCode],"MW")),"")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  <c r="I360" s="5" t="str">
        <f>IFERROR(IF(SUMIFS(tblDaily[MalariaCases],tblDaily[EntryDate],DATE(2026,10,3),tblDaily[WardCode],"MW")=0,"",SUMIFS(tblDaily[MalariaCases],tblDaily[EntryDate],DATE(2026,10,3),tblDaily[WardCode],"MW")),"")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  <c r="I361" s="5" t="str">
        <f>IFERROR(IF(SUMIFS(tblDaily[MalariaCases],tblDaily[EntryDate],DATE(2026,10,4),tblDaily[WardCode],"MW")=0,"",SUMIFS(tblDaily[MalariaCases],tblDaily[EntryDate],DATE(2026,10,4),tblDaily[WardCode],"MW")),"")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  <c r="I362" s="5" t="str">
        <f>IFERROR(IF(SUMIFS(tblDaily[MalariaCases],tblDaily[EntryDate],DATE(2026,10,5),tblDaily[WardCode],"MW")=0,"",SUMIFS(tblDaily[MalariaCases],tblDaily[EntryDate],DATE(2026,10,5),tblDaily[WardCode],"MW")),"")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  <c r="I363" s="5" t="str">
        <f>IFERROR(IF(SUMIFS(tblDaily[MalariaCases],tblDaily[EntryDate],DATE(2026,10,6),tblDaily[WardCode],"MW")=0,"",SUMIFS(tblDaily[MalariaCases],tblDaily[EntryDate],DATE(2026,10,6),tblDaily[WardCode],"MW")),"")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  <c r="I364" s="5" t="str">
        <f>IFERROR(IF(SUMIFS(tblDaily[MalariaCases],tblDaily[EntryDate],DATE(2026,10,7),tblDaily[WardCode],"MW")=0,"",SUMIFS(tblDaily[MalariaCases],tblDaily[EntryDate],DATE(2026,10,7),tblDaily[WardCode],"MW")),"")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  <c r="I365" s="5" t="str">
        <f>IFERROR(IF(SUMIFS(tblDaily[MalariaCases],tblDaily[EntryDate],DATE(2026,10,8),tblDaily[WardCode],"MW")=0,"",SUMIFS(tblDaily[MalariaCases],tblDaily[EntryDate],DATE(2026,10,8),tblDaily[WardCode],"MW")),"")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  <c r="I366" s="5" t="str">
        <f>IFERROR(IF(SUMIFS(tblDaily[MalariaCases],tblDaily[EntryDate],DATE(2026,10,9),tblDaily[WardCode],"MW")=0,"",SUMIFS(tblDaily[MalariaCases],tblDaily[EntryDate],DATE(2026,10,9),tblDaily[WardCode],"MW")),"")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  <c r="I367" s="5" t="str">
        <f>IFERROR(IF(SUMIFS(tblDaily[MalariaCases],tblDaily[EntryDate],DATE(2026,10,10),tblDaily[WardCode],"MW")=0,"",SUMIFS(tblDaily[MalariaCases],tblDaily[EntryDate],DATE(2026,10,10),tblDaily[WardCode],"MW")),"")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  <c r="I368" s="5" t="str">
        <f>IFERROR(IF(SUMIFS(tblDaily[MalariaCases],tblDaily[EntryDate],DATE(2026,10,11),tblDaily[WardCode],"MW")=0,"",SUMIFS(tblDaily[MalariaCases],tblDaily[EntryDate],DATE(2026,10,11),tblDaily[WardCode],"MW")),"")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  <c r="I369" s="5" t="str">
        <f>IFERROR(IF(SUMIFS(tblDaily[MalariaCases],tblDaily[EntryDate],DATE(2026,10,12),tblDaily[WardCode],"MW")=0,"",SUMIFS(tblDaily[MalariaCases],tblDaily[EntryDate],DATE(2026,10,12),tblDaily[WardCode],"MW")),"")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  <c r="I370" s="5" t="str">
        <f>IFERROR(IF(SUMIFS(tblDaily[MalariaCases],tblDaily[EntryDate],DATE(2026,10,13),tblDaily[WardCode],"MW")=0,"",SUMIFS(tblDaily[MalariaCases],tblDaily[EntryDate],DATE(2026,10,13),tblDaily[WardCode],"MW")),"")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  <c r="I371" s="5" t="str">
        <f>IFERROR(IF(SUMIFS(tblDaily[MalariaCases],tblDaily[EntryDate],DATE(2026,10,14),tblDaily[WardCode],"MW")=0,"",SUMIFS(tblDaily[MalariaCases],tblDaily[EntryDate],DATE(2026,10,14),tblDaily[WardCode],"MW")),"")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  <c r="I372" s="5" t="str">
        <f>IFERROR(IF(SUMIFS(tblDaily[MalariaCases],tblDaily[EntryDate],DATE(2026,10,15),tblDaily[WardCode],"MW")=0,"",SUMIFS(tblDaily[MalariaCases],tblDaily[EntryDate],DATE(2026,10,15),tblDaily[WardCode],"MW")),"")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  <c r="I373" s="5" t="str">
        <f>IFERROR(IF(SUMIFS(tblDaily[MalariaCases],tblDaily[EntryDate],DATE(2026,10,16),tblDaily[WardCode],"MW")=0,"",SUMIFS(tblDaily[MalariaCases],tblDaily[EntryDate],DATE(2026,10,16),tblDaily[WardCode],"MW")),"")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  <c r="I374" s="5" t="str">
        <f>IFERROR(IF(SUMIFS(tblDaily[MalariaCases],tblDaily[EntryDate],DATE(2026,10,17),tblDaily[WardCode],"MW")=0,"",SUMIFS(tblDaily[MalariaCases],tblDaily[EntryDate],DATE(2026,10,17),tblDaily[WardCode],"MW")),"")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  <c r="I375" s="5" t="str">
        <f>IFERROR(IF(SUMIFS(tblDaily[MalariaCases],tblDaily[EntryDate],DATE(2026,10,18),tblDaily[WardCode],"MW")=0,"",SUMIFS(tblDaily[MalariaCases],tblDaily[EntryDate],DATE(2026,10,18),tblDaily[WardCode],"MW")),"")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  <c r="I376" s="5" t="str">
        <f>IFERROR(IF(SUMIFS(tblDaily[MalariaCases],tblDaily[EntryDate],DATE(2026,10,19),tblDaily[WardCode],"MW")=0,"",SUMIFS(tblDaily[MalariaCases],tblDaily[EntryDate],DATE(2026,10,19),tblDaily[WardCode],"MW")),"")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  <c r="I377" s="5" t="str">
        <f>IFERROR(IF(SUMIFS(tblDaily[MalariaCases],tblDaily[EntryDate],DATE(2026,10,20),tblDaily[WardCode],"MW")=0,"",SUMIFS(tblDaily[MalariaCases],tblDaily[EntryDate],DATE(2026,10,20),tblDaily[WardCode],"MW")),"")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  <c r="I378" s="5" t="str">
        <f>IFERROR(IF(SUMIFS(tblDaily[MalariaCases],tblDaily[EntryDate],DATE(2026,10,21),tblDaily[WardCode],"MW")=0,"",SUMIFS(tblDaily[MalariaCases],tblDaily[EntryDate],DATE(2026,10,21),tblDaily[WardCode],"MW")),"")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  <c r="I379" s="5" t="str">
        <f>IFERROR(IF(SUMIFS(tblDaily[MalariaCases],tblDaily[EntryDate],DATE(2026,10,22),tblDaily[WardCode],"MW")=0,"",SUMIFS(tblDaily[MalariaCases],tblDaily[EntryDate],DATE(2026,10,22),tblDaily[WardCode],"MW")),"")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  <c r="I380" s="5" t="str">
        <f>IFERROR(IF(SUMIFS(tblDaily[MalariaCases],tblDaily[EntryDate],DATE(2026,10,23),tblDaily[WardCode],"MW")=0,"",SUMIFS(tblDaily[MalariaCases],tblDaily[EntryDate],DATE(2026,10,23),tblDaily[WardCode],"MW")),"")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  <c r="I381" s="5" t="str">
        <f>IFERROR(IF(SUMIFS(tblDaily[MalariaCases],tblDaily[EntryDate],DATE(2026,10,24),tblDaily[WardCode],"MW")=0,"",SUMIFS(tblDaily[MalariaCases],tblDaily[EntryDate],DATE(2026,10,24),tblDaily[WardCode],"MW")),"")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  <c r="I382" s="5" t="str">
        <f>IFERROR(IF(SUMIFS(tblDaily[MalariaCases],tblDaily[EntryDate],DATE(2026,10,25),tblDaily[WardCode],"MW")=0,"",SUMIFS(tblDaily[MalariaCases],tblDaily[EntryDate],DATE(2026,10,25),tblDaily[WardCode],"MW")),"")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  <c r="I383" s="5" t="str">
        <f>IFERROR(IF(SUMIFS(tblDaily[MalariaCases],tblDaily[EntryDate],DATE(2026,10,26),tblDaily[WardCode],"MW")=0,"",SUMIFS(tblDaily[MalariaCases],tblDaily[EntryDate],DATE(2026,10,26),tblDaily[WardCode],"MW")),"")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  <c r="I384" s="5" t="str">
        <f>IFERROR(IF(SUMIFS(tblDaily[MalariaCases],tblDaily[EntryDate],DATE(2026,10,27),tblDaily[WardCode],"MW")=0,"",SUMIFS(tblDaily[MalariaCases],tblDaily[EntryDate],DATE(2026,10,27),tblDaily[WardCode],"MW")),"")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  <c r="I385" s="5" t="str">
        <f>IFERROR(IF(SUMIFS(tblDaily[MalariaCases],tblDaily[EntryDate],DATE(2026,10,28),tblDaily[WardCode],"MW")=0,"",SUMIFS(tblDaily[MalariaCases],tblDaily[EntryDate],DATE(2026,10,28),tblDaily[WardCode],"MW")),"")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  <c r="I386" s="5" t="str">
        <f>IFERROR(IF(SUMIFS(tblDaily[MalariaCases],tblDaily[EntryDate],DATE(2026,10,29),tblDaily[WardCode],"MW")=0,"",SUMIFS(tblDaily[MalariaCases],tblDaily[EntryDate],DATE(2026,10,29),tblDaily[WardCode],"MW")),"")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  <c r="I387" s="5" t="str">
        <f>IFERROR(IF(SUMIFS(tblDaily[MalariaCases],tblDaily[EntryDate],DATE(2026,10,30),tblDaily[WardCode],"MW")=0,"",SUMIFS(tblDaily[MalariaCases],tblDaily[EntryDate],DATE(2026,10,30),tblDaily[WardCode],"MW")),"")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  <c r="I388" s="5" t="str">
        <f>IFERROR(IF(SUMIFS(tblDaily[MalariaCases],tblDaily[EntryDate],DATE(2026,10,31),tblDaily[WardCode],"MW")=0,"",SUMIFS(tblDaily[MalariaCases],tblDaily[EntryDate],DATE(2026,10,31),tblDaily[WardCode],"MW")),"")</f>
        <v/>
      </c>
    </row>
    <row r="389" spans="1:9" x14ac:dyDescent="0.25">
      <c r="A389" s="9" t="s">
        <v>94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84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IFERROR(SUMIFS(tblDaily[Remaining],tblDaily[EntryDate],DATE(2026,10,31),tblDaily[WardCode],"MW"),0)</f>
        <v>0</v>
      </c>
    </row>
    <row r="395" spans="1:9" x14ac:dyDescent="0.25">
      <c r="A395" s="1" t="s">
        <v>87</v>
      </c>
      <c r="H395" s="7">
        <f>IFERROR(INDEX(tblWardConfig[BedComplement],MATCH("MW",tblWardConfig[Export Year-End],0)),0)</f>
        <v>32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  <c r="I397" s="5" t="str">
        <f>IFERROR(IF(SUMIFS(tblDaily[MalariaCases],tblDaily[EntryDate],DATE(2026,11,1),tblDaily[WardCode],"MW")=0,"",SUMIFS(tblDaily[MalariaCases],tblDaily[EntryDate],DATE(2026,11,1),tblDaily[WardCode],"MW")),"")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  <c r="I398" s="5" t="str">
        <f>IFERROR(IF(SUMIFS(tblDaily[MalariaCases],tblDaily[EntryDate],DATE(2026,11,2),tblDaily[WardCode],"MW")=0,"",SUMIFS(tblDaily[MalariaCases],tblDaily[EntryDate],DATE(2026,11,2),tblDaily[WardCode],"MW")),"")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  <c r="I399" s="5" t="str">
        <f>IFERROR(IF(SUMIFS(tblDaily[MalariaCases],tblDaily[EntryDate],DATE(2026,11,3),tblDaily[WardCode],"MW")=0,"",SUMIFS(tblDaily[MalariaCases],tblDaily[EntryDate],DATE(2026,11,3),tblDaily[WardCode],"MW")),"")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  <c r="I400" s="5" t="str">
        <f>IFERROR(IF(SUMIFS(tblDaily[MalariaCases],tblDaily[EntryDate],DATE(2026,11,4),tblDaily[WardCode],"MW")=0,"",SUMIFS(tblDaily[MalariaCases],tblDaily[EntryDate],DATE(2026,11,4),tblDaily[WardCode],"MW")),"")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  <c r="I401" s="5" t="str">
        <f>IFERROR(IF(SUMIFS(tblDaily[MalariaCases],tblDaily[EntryDate],DATE(2026,11,5),tblDaily[WardCode],"MW")=0,"",SUMIFS(tblDaily[MalariaCases],tblDaily[EntryDate],DATE(2026,11,5),tblDaily[WardCode],"MW")),"")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  <c r="I402" s="5" t="str">
        <f>IFERROR(IF(SUMIFS(tblDaily[MalariaCases],tblDaily[EntryDate],DATE(2026,11,6),tblDaily[WardCode],"MW")=0,"",SUMIFS(tblDaily[MalariaCases],tblDaily[EntryDate],DATE(2026,11,6),tblDaily[WardCode],"MW")),"")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  <c r="I403" s="5" t="str">
        <f>IFERROR(IF(SUMIFS(tblDaily[MalariaCases],tblDaily[EntryDate],DATE(2026,11,7),tblDaily[WardCode],"MW")=0,"",SUMIFS(tblDaily[MalariaCases],tblDaily[EntryDate],DATE(2026,11,7),tblDaily[WardCode],"MW")),"")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  <c r="I404" s="5" t="str">
        <f>IFERROR(IF(SUMIFS(tblDaily[MalariaCases],tblDaily[EntryDate],DATE(2026,11,8),tblDaily[WardCode],"MW")=0,"",SUMIFS(tblDaily[MalariaCases],tblDaily[EntryDate],DATE(2026,11,8),tblDaily[WardCode],"MW")),"")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  <c r="I405" s="5" t="str">
        <f>IFERROR(IF(SUMIFS(tblDaily[MalariaCases],tblDaily[EntryDate],DATE(2026,11,9),tblDaily[WardCode],"MW")=0,"",SUMIFS(tblDaily[MalariaCases],tblDaily[EntryDate],DATE(2026,11,9),tblDaily[WardCode],"MW")),"")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  <c r="I406" s="5" t="str">
        <f>IFERROR(IF(SUMIFS(tblDaily[MalariaCases],tblDaily[EntryDate],DATE(2026,11,10),tblDaily[WardCode],"MW")=0,"",SUMIFS(tblDaily[MalariaCases],tblDaily[EntryDate],DATE(2026,11,10),tblDaily[WardCode],"MW")),"")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  <c r="I407" s="5" t="str">
        <f>IFERROR(IF(SUMIFS(tblDaily[MalariaCases],tblDaily[EntryDate],DATE(2026,11,11),tblDaily[WardCode],"MW")=0,"",SUMIFS(tblDaily[MalariaCases],tblDaily[EntryDate],DATE(2026,11,11),tblDaily[WardCode],"MW")),"")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  <c r="I408" s="5" t="str">
        <f>IFERROR(IF(SUMIFS(tblDaily[MalariaCases],tblDaily[EntryDate],DATE(2026,11,12),tblDaily[WardCode],"MW")=0,"",SUMIFS(tblDaily[MalariaCases],tblDaily[EntryDate],DATE(2026,11,12),tblDaily[WardCode],"MW")),"")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  <c r="I409" s="5" t="str">
        <f>IFERROR(IF(SUMIFS(tblDaily[MalariaCases],tblDaily[EntryDate],DATE(2026,11,13),tblDaily[WardCode],"MW")=0,"",SUMIFS(tblDaily[MalariaCases],tblDaily[EntryDate],DATE(2026,11,13),tblDaily[WardCode],"MW")),"")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  <c r="I410" s="5" t="str">
        <f>IFERROR(IF(SUMIFS(tblDaily[MalariaCases],tblDaily[EntryDate],DATE(2026,11,14),tblDaily[WardCode],"MW")=0,"",SUMIFS(tblDaily[MalariaCases],tblDaily[EntryDate],DATE(2026,11,14),tblDaily[WardCode],"MW")),"")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  <c r="I411" s="5" t="str">
        <f>IFERROR(IF(SUMIFS(tblDaily[MalariaCases],tblDaily[EntryDate],DATE(2026,11,15),tblDaily[WardCode],"MW")=0,"",SUMIFS(tblDaily[MalariaCases],tblDaily[EntryDate],DATE(2026,11,15),tblDaily[WardCode],"MW")),"")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  <c r="I412" s="5" t="str">
        <f>IFERROR(IF(SUMIFS(tblDaily[MalariaCases],tblDaily[EntryDate],DATE(2026,11,16),tblDaily[WardCode],"MW")=0,"",SUMIFS(tblDaily[MalariaCases],tblDaily[EntryDate],DATE(2026,11,16),tblDaily[WardCode],"MW")),"")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  <c r="I413" s="5" t="str">
        <f>IFERROR(IF(SUMIFS(tblDaily[MalariaCases],tblDaily[EntryDate],DATE(2026,11,17),tblDaily[WardCode],"MW")=0,"",SUMIFS(tblDaily[MalariaCases],tblDaily[EntryDate],DATE(2026,11,17),tblDaily[WardCode],"MW")),"")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  <c r="I414" s="5" t="str">
        <f>IFERROR(IF(SUMIFS(tblDaily[MalariaCases],tblDaily[EntryDate],DATE(2026,11,18),tblDaily[WardCode],"MW")=0,"",SUMIFS(tblDaily[MalariaCases],tblDaily[EntryDate],DATE(2026,11,18),tblDaily[WardCode],"MW")),"")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  <c r="I415" s="5" t="str">
        <f>IFERROR(IF(SUMIFS(tblDaily[MalariaCases],tblDaily[EntryDate],DATE(2026,11,19),tblDaily[WardCode],"MW")=0,"",SUMIFS(tblDaily[MalariaCases],tblDaily[EntryDate],DATE(2026,11,19),tblDaily[WardCode],"MW")),"")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  <c r="I416" s="5" t="str">
        <f>IFERROR(IF(SUMIFS(tblDaily[MalariaCases],tblDaily[EntryDate],DATE(2026,11,20),tblDaily[WardCode],"MW")=0,"",SUMIFS(tblDaily[MalariaCases],tblDaily[EntryDate],DATE(2026,11,20),tblDaily[WardCode],"MW")),"")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  <c r="I417" s="5" t="str">
        <f>IFERROR(IF(SUMIFS(tblDaily[MalariaCases],tblDaily[EntryDate],DATE(2026,11,21),tblDaily[WardCode],"MW")=0,"",SUMIFS(tblDaily[MalariaCases],tblDaily[EntryDate],DATE(2026,11,21),tblDaily[WardCode],"MW")),"")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  <c r="I418" s="5" t="str">
        <f>IFERROR(IF(SUMIFS(tblDaily[MalariaCases],tblDaily[EntryDate],DATE(2026,11,22),tblDaily[WardCode],"MW")=0,"",SUMIFS(tblDaily[MalariaCases],tblDaily[EntryDate],DATE(2026,11,22),tblDaily[WardCode],"MW")),"")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  <c r="I419" s="5" t="str">
        <f>IFERROR(IF(SUMIFS(tblDaily[MalariaCases],tblDaily[EntryDate],DATE(2026,11,23),tblDaily[WardCode],"MW")=0,"",SUMIFS(tblDaily[MalariaCases],tblDaily[EntryDate],DATE(2026,11,23),tblDaily[WardCode],"MW")),"")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  <c r="I420" s="5" t="str">
        <f>IFERROR(IF(SUMIFS(tblDaily[MalariaCases],tblDaily[EntryDate],DATE(2026,11,24),tblDaily[WardCode],"MW")=0,"",SUMIFS(tblDaily[MalariaCases],tblDaily[EntryDate],DATE(2026,11,24),tblDaily[WardCode],"MW")),"")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  <c r="I421" s="5" t="str">
        <f>IFERROR(IF(SUMIFS(tblDaily[MalariaCases],tblDaily[EntryDate],DATE(2026,11,25),tblDaily[WardCode],"MW")=0,"",SUMIFS(tblDaily[MalariaCases],tblDaily[EntryDate],DATE(2026,11,25),tblDaily[WardCode],"MW")),"")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  <c r="I422" s="5" t="str">
        <f>IFERROR(IF(SUMIFS(tblDaily[MalariaCases],tblDaily[EntryDate],DATE(2026,11,26),tblDaily[WardCode],"MW")=0,"",SUMIFS(tblDaily[MalariaCases],tblDaily[EntryDate],DATE(2026,11,26),tblDaily[WardCode],"MW")),"")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  <c r="I423" s="5" t="str">
        <f>IFERROR(IF(SUMIFS(tblDaily[MalariaCases],tblDaily[EntryDate],DATE(2026,11,27),tblDaily[WardCode],"MW")=0,"",SUMIFS(tblDaily[MalariaCases],tblDaily[EntryDate],DATE(2026,11,27),tblDaily[WardCode],"MW")),"")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  <c r="I424" s="5" t="str">
        <f>IFERROR(IF(SUMIFS(tblDaily[MalariaCases],tblDaily[EntryDate],DATE(2026,11,28),tblDaily[WardCode],"MW")=0,"",SUMIFS(tblDaily[MalariaCases],tblDaily[EntryDate],DATE(2026,11,28),tblDaily[WardCode],"MW")),"")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  <c r="I425" s="5" t="str">
        <f>IFERROR(IF(SUMIFS(tblDaily[MalariaCases],tblDaily[EntryDate],DATE(2026,11,29),tblDaily[WardCode],"MW")=0,"",SUMIFS(tblDaily[MalariaCases],tblDaily[EntryDate],DATE(2026,11,29),tblDaily[WardCode],"MW")),"")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  <c r="I426" s="5" t="str">
        <f>IFERROR(IF(SUMIFS(tblDaily[MalariaCases],tblDaily[EntryDate],DATE(2026,11,30),tblDaily[WardCode],"MW")=0,"",SUMIFS(tblDaily[MalariaCases],tblDaily[EntryDate],DATE(2026,11,30),tblDaily[WardCode],"MW")),"")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84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IFERROR(SUMIFS(tblDaily[Remaining],tblDaily[EntryDate],DATE(2026,11,30),tblDaily[WardCode],"MW"),0)</f>
        <v>0</v>
      </c>
    </row>
    <row r="434" spans="1:9" x14ac:dyDescent="0.25">
      <c r="A434" s="1" t="s">
        <v>87</v>
      </c>
      <c r="H434" s="7">
        <f>IFERROR(INDEX(tblWardConfig[BedComplement],MATCH("MW",tblWardConfig[Export Year-End],0)),0)</f>
        <v>32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  <c r="I436" s="5" t="str">
        <f>IFERROR(IF(SUMIFS(tblDaily[MalariaCases],tblDaily[EntryDate],DATE(2026,12,1),tblDaily[WardCode],"MW")=0,"",SUMIFS(tblDaily[MalariaCases],tblDaily[EntryDate],DATE(2026,12,1),tblDaily[WardCode],"MW")),"")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  <c r="I437" s="5" t="str">
        <f>IFERROR(IF(SUMIFS(tblDaily[MalariaCases],tblDaily[EntryDate],DATE(2026,12,2),tblDaily[WardCode],"MW")=0,"",SUMIFS(tblDaily[MalariaCases],tblDaily[EntryDate],DATE(2026,12,2),tblDaily[WardCode],"MW")),"")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  <c r="I438" s="5" t="str">
        <f>IFERROR(IF(SUMIFS(tblDaily[MalariaCases],tblDaily[EntryDate],DATE(2026,12,3),tblDaily[WardCode],"MW")=0,"",SUMIFS(tblDaily[MalariaCases],tblDaily[EntryDate],DATE(2026,12,3),tblDaily[WardCode],"MW")),"")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  <c r="I439" s="5" t="str">
        <f>IFERROR(IF(SUMIFS(tblDaily[MalariaCases],tblDaily[EntryDate],DATE(2026,12,4),tblDaily[WardCode],"MW")=0,"",SUMIFS(tblDaily[MalariaCases],tblDaily[EntryDate],DATE(2026,12,4),tblDaily[WardCode],"MW")),"")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  <c r="I440" s="5" t="str">
        <f>IFERROR(IF(SUMIFS(tblDaily[MalariaCases],tblDaily[EntryDate],DATE(2026,12,5),tblDaily[WardCode],"MW")=0,"",SUMIFS(tblDaily[MalariaCases],tblDaily[EntryDate],DATE(2026,12,5),tblDaily[WardCode],"MW")),"")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  <c r="I441" s="5" t="str">
        <f>IFERROR(IF(SUMIFS(tblDaily[MalariaCases],tblDaily[EntryDate],DATE(2026,12,6),tblDaily[WardCode],"MW")=0,"",SUMIFS(tblDaily[MalariaCases],tblDaily[EntryDate],DATE(2026,12,6),tblDaily[WardCode],"MW")),"")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  <c r="I442" s="5" t="str">
        <f>IFERROR(IF(SUMIFS(tblDaily[MalariaCases],tblDaily[EntryDate],DATE(2026,12,7),tblDaily[WardCode],"MW")=0,"",SUMIFS(tblDaily[MalariaCases],tblDaily[EntryDate],DATE(2026,12,7),tblDaily[WardCode],"MW")),"")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  <c r="I443" s="5" t="str">
        <f>IFERROR(IF(SUMIFS(tblDaily[MalariaCases],tblDaily[EntryDate],DATE(2026,12,8),tblDaily[WardCode],"MW")=0,"",SUMIFS(tblDaily[MalariaCases],tblDaily[EntryDate],DATE(2026,12,8),tblDaily[WardCode],"MW")),"")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  <c r="I444" s="5" t="str">
        <f>IFERROR(IF(SUMIFS(tblDaily[MalariaCases],tblDaily[EntryDate],DATE(2026,12,9),tblDaily[WardCode],"MW")=0,"",SUMIFS(tblDaily[MalariaCases],tblDaily[EntryDate],DATE(2026,12,9),tblDaily[WardCode],"MW")),"")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  <c r="I445" s="5" t="str">
        <f>IFERROR(IF(SUMIFS(tblDaily[MalariaCases],tblDaily[EntryDate],DATE(2026,12,10),tblDaily[WardCode],"MW")=0,"",SUMIFS(tblDaily[MalariaCases],tblDaily[EntryDate],DATE(2026,12,10),tblDaily[WardCode],"MW")),"")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  <c r="I446" s="5" t="str">
        <f>IFERROR(IF(SUMIFS(tblDaily[MalariaCases],tblDaily[EntryDate],DATE(2026,12,11),tblDaily[WardCode],"MW")=0,"",SUMIFS(tblDaily[MalariaCases],tblDaily[EntryDate],DATE(2026,12,11),tblDaily[WardCode],"MW")),"")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  <c r="I447" s="5" t="str">
        <f>IFERROR(IF(SUMIFS(tblDaily[MalariaCases],tblDaily[EntryDate],DATE(2026,12,12),tblDaily[WardCode],"MW")=0,"",SUMIFS(tblDaily[MalariaCases],tblDaily[EntryDate],DATE(2026,12,12),tblDaily[WardCode],"MW")),"")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  <c r="I448" s="5" t="str">
        <f>IFERROR(IF(SUMIFS(tblDaily[MalariaCases],tblDaily[EntryDate],DATE(2026,12,13),tblDaily[WardCode],"MW")=0,"",SUMIFS(tblDaily[MalariaCases],tblDaily[EntryDate],DATE(2026,12,13),tblDaily[WardCode],"MW")),"")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  <c r="I449" s="5" t="str">
        <f>IFERROR(IF(SUMIFS(tblDaily[MalariaCases],tblDaily[EntryDate],DATE(2026,12,14),tblDaily[WardCode],"MW")=0,"",SUMIFS(tblDaily[MalariaCases],tblDaily[EntryDate],DATE(2026,12,14),tblDaily[WardCode],"MW")),"")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  <c r="I450" s="5" t="str">
        <f>IFERROR(IF(SUMIFS(tblDaily[MalariaCases],tblDaily[EntryDate],DATE(2026,12,15),tblDaily[WardCode],"MW")=0,"",SUMIFS(tblDaily[MalariaCases],tblDaily[EntryDate],DATE(2026,12,15),tblDaily[WardCode],"MW")),"")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  <c r="I451" s="5" t="str">
        <f>IFERROR(IF(SUMIFS(tblDaily[MalariaCases],tblDaily[EntryDate],DATE(2026,12,16),tblDaily[WardCode],"MW")=0,"",SUMIFS(tblDaily[MalariaCases],tblDaily[EntryDate],DATE(2026,12,16),tblDaily[WardCode],"MW")),"")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  <c r="I452" s="5" t="str">
        <f>IFERROR(IF(SUMIFS(tblDaily[MalariaCases],tblDaily[EntryDate],DATE(2026,12,17),tblDaily[WardCode],"MW")=0,"",SUMIFS(tblDaily[MalariaCases],tblDaily[EntryDate],DATE(2026,12,17),tblDaily[WardCode],"MW")),"")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  <c r="I453" s="5" t="str">
        <f>IFERROR(IF(SUMIFS(tblDaily[MalariaCases],tblDaily[EntryDate],DATE(2026,12,18),tblDaily[WardCode],"MW")=0,"",SUMIFS(tblDaily[MalariaCases],tblDaily[EntryDate],DATE(2026,12,18),tblDaily[WardCode],"MW")),"")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  <c r="I454" s="5" t="str">
        <f>IFERROR(IF(SUMIFS(tblDaily[MalariaCases],tblDaily[EntryDate],DATE(2026,12,19),tblDaily[WardCode],"MW")=0,"",SUMIFS(tblDaily[MalariaCases],tblDaily[EntryDate],DATE(2026,12,19),tblDaily[WardCode],"MW")),"")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  <c r="I455" s="5" t="str">
        <f>IFERROR(IF(SUMIFS(tblDaily[MalariaCases],tblDaily[EntryDate],DATE(2026,12,20),tblDaily[WardCode],"MW")=0,"",SUMIFS(tblDaily[MalariaCases],tblDaily[EntryDate],DATE(2026,12,20),tblDaily[WardCode],"MW")),"")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  <c r="I456" s="5" t="str">
        <f>IFERROR(IF(SUMIFS(tblDaily[MalariaCases],tblDaily[EntryDate],DATE(2026,12,21),tblDaily[WardCode],"MW")=0,"",SUMIFS(tblDaily[MalariaCases],tblDaily[EntryDate],DATE(2026,12,21),tblDaily[WardCode],"MW")),"")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  <c r="I457" s="5" t="str">
        <f>IFERROR(IF(SUMIFS(tblDaily[MalariaCases],tblDaily[EntryDate],DATE(2026,12,22),tblDaily[WardCode],"MW")=0,"",SUMIFS(tblDaily[MalariaCases],tblDaily[EntryDate],DATE(2026,12,22),tblDaily[WardCode],"MW")),"")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  <c r="I458" s="5" t="str">
        <f>IFERROR(IF(SUMIFS(tblDaily[MalariaCases],tblDaily[EntryDate],DATE(2026,12,23),tblDaily[WardCode],"MW")=0,"",SUMIFS(tblDaily[MalariaCases],tblDaily[EntryDate],DATE(2026,12,23),tblDaily[WardCode],"MW")),"")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  <c r="I459" s="5" t="str">
        <f>IFERROR(IF(SUMIFS(tblDaily[MalariaCases],tblDaily[EntryDate],DATE(2026,12,24),tblDaily[WardCode],"MW")=0,"",SUMIFS(tblDaily[MalariaCases],tblDaily[EntryDate],DATE(2026,12,24),tblDaily[WardCode],"MW")),"")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  <c r="I460" s="5" t="str">
        <f>IFERROR(IF(SUMIFS(tblDaily[MalariaCases],tblDaily[EntryDate],DATE(2026,12,25),tblDaily[WardCode],"MW")=0,"",SUMIFS(tblDaily[MalariaCases],tblDaily[EntryDate],DATE(2026,12,25),tblDaily[WardCode],"MW")),"")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  <c r="I461" s="5" t="str">
        <f>IFERROR(IF(SUMIFS(tblDaily[MalariaCases],tblDaily[EntryDate],DATE(2026,12,26),tblDaily[WardCode],"MW")=0,"",SUMIFS(tblDaily[MalariaCases],tblDaily[EntryDate],DATE(2026,12,26),tblDaily[WardCode],"MW")),"")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  <c r="I462" s="5" t="str">
        <f>IFERROR(IF(SUMIFS(tblDaily[MalariaCases],tblDaily[EntryDate],DATE(2026,12,27),tblDaily[WardCode],"MW")=0,"",SUMIFS(tblDaily[MalariaCases],tblDaily[EntryDate],DATE(2026,12,27),tblDaily[WardCode],"MW")),"")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  <c r="I463" s="5" t="str">
        <f>IFERROR(IF(SUMIFS(tblDaily[MalariaCases],tblDaily[EntryDate],DATE(2026,12,28),tblDaily[WardCode],"MW")=0,"",SUMIFS(tblDaily[MalariaCases],tblDaily[EntryDate],DATE(2026,12,28),tblDaily[WardCode],"MW")),"")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  <c r="I464" s="5" t="str">
        <f>IFERROR(IF(SUMIFS(tblDaily[MalariaCases],tblDaily[EntryDate],DATE(2026,12,29),tblDaily[WardCode],"MW")=0,"",SUMIFS(tblDaily[MalariaCases],tblDaily[EntryDate],DATE(2026,12,29),tblDaily[WardCode],"MW")),"")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  <c r="I465" s="5" t="str">
        <f>IFERROR(IF(SUMIFS(tblDaily[MalariaCases],tblDaily[EntryDate],DATE(2026,12,30),tblDaily[WardCode],"MW")=0,"",SUMIFS(tblDaily[MalariaCases],tblDaily[EntryDate],DATE(2026,12,30),tblDaily[WardCode],"MW")),"")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  <c r="I466" s="5" t="str">
        <f>IFERROR(IF(SUMIFS(tblDaily[MalariaCases],tblDaily[EntryDate],DATE(2026,12,31),tblDaily[WardCode],"MW")=0,"",SUMIFS(tblDaily[MalariaCases],tblDaily[EntryDate],DATE(2026,12,31),tblDaily[WardCode],"MW")),"")</f>
        <v/>
      </c>
    </row>
    <row r="467" spans="1:9" x14ac:dyDescent="0.25">
      <c r="A467" s="9" t="s">
        <v>94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95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IFERROR(INDEX(tblWardConfig[PrevYearRemaining],MATCH("FW",tblWardConfig[Export Year-End],0)),0)</f>
        <v>0</v>
      </c>
    </row>
    <row r="5" spans="1:9" x14ac:dyDescent="0.25">
      <c r="A5" s="1" t="s">
        <v>87</v>
      </c>
      <c r="H5" s="7">
        <f>IFERROR(INDEX(tblWardConfig[BedComplement],MATCH("FW",tblWardConfig[Export Year-End],0)),0)</f>
        <v>28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IFERROR(IF(SUMIFS(tblDaily[Admissions],tblDaily[EntryDate],DATE(2026,1,1),tblDaily[WardCode],"FW")=0,"",SUMIFS(tblDaily[Admissions],tblDaily[EntryDate],DATE(2026,1,1),tblDaily[WardCode],"FW")),"")</f>
        <v/>
      </c>
      <c r="C7" s="5" t="str">
        <f>IFERROR(IF(SUMIFS(tblDaily[Discharges],tblDaily[EntryDate],DATE(2026,1,1),tblDaily[WardCode],"FW")=0,"",SUMIFS(tblDaily[Discharges],tblDaily[EntryDate],DATE(2026,1,1),tblDaily[WardCode],"FW")),"")</f>
        <v/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 t="str">
        <f>IFERROR(IF(SUMIFS(tblDaily[TransfersIn],tblDaily[EntryDate],DATE(2026,1,1),tblDaily[WardCode],"FW")=0,"",SUMIFS(tblDaily[TransfersIn],tblDaily[EntryDate],DATE(2026,1,1),tblDaily[WardCode],"FW")),"")</f>
        <v/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 t="str">
        <f>IFERROR(IF(SUMIFS(tblDaily[Remaining],tblDaily[EntryDate],DATE(2026,1,1),tblDaily[WardCode],"FW")=0,"",SUMIFS(tblDaily[Remaining],tblDaily[EntryDate],DATE(2026,1,1),tblDaily[WardCode],"FW")),"")</f>
        <v/>
      </c>
      <c r="I7" s="5" t="str">
        <f>IFERROR(IF(SUMIFS(tblDaily[MalariaCases],tblDaily[EntryDate],DATE(2026,1,1),tblDaily[WardCode],"FW")=0,"",SUMIFS(tblDaily[MalariaCases],tblDaily[EntryDate],DATE(2026,1,1),tblDaily[WardCode],"FW")),"")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IFERROR(IF(SUMIFS(tblDaily[Admissions],tblDaily[EntryDate],DATE(2026,1,2),tblDaily[WardCode],"FW")=0,"",SUMIFS(tblDaily[Admissions],tblDaily[EntryDate],DATE(2026,1,2),tblDaily[WardCode],"FW")),"")</f>
        <v/>
      </c>
      <c r="C8" s="5" t="str">
        <f>IFERROR(IF(SUMIFS(tblDaily[Discharges],tblDaily[EntryDate],DATE(2026,1,2),tblDaily[WardCode],"FW")=0,"",SUMIFS(tblDaily[Discharges],tblDaily[EntryDate],DATE(2026,1,2),tblDaily[WardCode],"FW")),"")</f>
        <v/>
      </c>
      <c r="D8" s="5" t="str">
        <f>IFERROR(IF(SUMIFS(tblDaily[Deaths],tblDaily[EntryDate],DATE(2026,1,2),tblDaily[WardCode],"FW")=0,"",SUMIFS(tblDaily[Deaths],tblDaily[EntryDate],DATE(2026,1,2),tblDaily[WardCode],"FW")),"")</f>
        <v/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 t="str">
        <f>IFERROR(IF(SUMIFS(tblDaily[Remaining],tblDaily[EntryDate],DATE(2026,1,2),tblDaily[WardCode],"FW")=0,"",SUMIFS(tblDaily[Remaining],tblDaily[EntryDate],DATE(2026,1,2),tblDaily[WardCode],"FW")),"")</f>
        <v/>
      </c>
      <c r="I8" s="5" t="str">
        <f>IFERROR(IF(SUMIFS(tblDaily[MalariaCases],tblDaily[EntryDate],DATE(2026,1,2),tblDaily[WardCode],"FW")=0,"",SUMIFS(tblDaily[MalariaCases],tblDaily[EntryDate],DATE(2026,1,2),tblDaily[WardCode],"FW")),"")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IFERROR(IF(SUMIFS(tblDaily[Admissions],tblDaily[EntryDate],DATE(2026,1,3),tblDaily[WardCode],"FW")=0,"",SUMIFS(tblDaily[Admissions],tblDaily[EntryDate],DATE(2026,1,3),tblDaily[WardCode],"FW")),"")</f>
        <v/>
      </c>
      <c r="C9" s="5" t="str">
        <f>IFERROR(IF(SUMIFS(tblDaily[Discharges],tblDaily[EntryDate],DATE(2026,1,3),tblDaily[WardCode],"FW")=0,"",SUMIFS(tblDaily[Discharges],tblDaily[EntryDate],DATE(2026,1,3),tblDaily[WardCode],"FW")),"")</f>
        <v/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 t="str">
        <f>IFERROR(IF(SUMIFS(tblDaily[TransfersIn],tblDaily[EntryDate],DATE(2026,1,3),tblDaily[WardCode],"FW")=0,"",SUMIFS(tblDaily[TransfersIn],tblDaily[EntryDate],DATE(2026,1,3),tblDaily[WardCode],"FW")),"")</f>
        <v/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 t="str">
        <f>IFERROR(IF(SUMIFS(tblDaily[Remaining],tblDaily[EntryDate],DATE(2026,1,3),tblDaily[WardCode],"FW")=0,"",SUMIFS(tblDaily[Remaining],tblDaily[EntryDate],DATE(2026,1,3),tblDaily[WardCode],"FW")),"")</f>
        <v/>
      </c>
      <c r="I9" s="5" t="str">
        <f>IFERROR(IF(SUMIFS(tblDaily[MalariaCases],tblDaily[EntryDate],DATE(2026,1,3),tblDaily[WardCode],"FW")=0,"",SUMIFS(tblDaily[MalariaCases],tblDaily[EntryDate],DATE(2026,1,3),tblDaily[WardCode],"FW")),"")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IFERROR(IF(SUMIFS(tblDaily[Admissions],tblDaily[EntryDate],DATE(2026,1,4),tblDaily[WardCode],"FW")=0,"",SUMIFS(tblDaily[Admissions],tblDaily[EntryDate],DATE(2026,1,4),tblDaily[WardCode],"FW")),"")</f>
        <v/>
      </c>
      <c r="C10" s="5" t="str">
        <f>IFERROR(IF(SUMIFS(tblDaily[Discharges],tblDaily[EntryDate],DATE(2026,1,4),tblDaily[WardCode],"FW")=0,"",SUMIFS(tblDaily[Discharges],tblDaily[EntryDate],DATE(2026,1,4),tblDaily[WardCode],"FW")),"")</f>
        <v/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 t="str">
        <f>IFERROR(IF(SUMIFS(tblDaily[Remaining],tblDaily[EntryDate],DATE(2026,1,4),tblDaily[WardCode],"FW")=0,"",SUMIFS(tblDaily[Remaining],tblDaily[EntryDate],DATE(2026,1,4),tblDaily[WardCode],"FW")),"")</f>
        <v/>
      </c>
      <c r="I10" s="5" t="str">
        <f>IFERROR(IF(SUMIFS(tblDaily[MalariaCases],tblDaily[EntryDate],DATE(2026,1,4),tblDaily[WardCode],"FW")=0,"",SUMIFS(tblDaily[MalariaCases],tblDaily[EntryDate],DATE(2026,1,4),tblDaily[WardCode],"FW")),"")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IFERROR(IF(SUMIFS(tblDaily[Admissions],tblDaily[EntryDate],DATE(2026,1,5),tblDaily[WardCode],"FW")=0,"",SUMIFS(tblDaily[Admissions],tblDaily[EntryDate],DATE(2026,1,5),tblDaily[WardCode],"FW")),"")</f>
        <v/>
      </c>
      <c r="C11" s="5" t="str">
        <f>IFERROR(IF(SUMIFS(tblDaily[Discharges],tblDaily[EntryDate],DATE(2026,1,5),tblDaily[WardCode],"FW")=0,"",SUMIFS(tblDaily[Discharges],tblDaily[EntryDate],DATE(2026,1,5),tblDaily[WardCode],"FW")),"")</f>
        <v/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 t="str">
        <f>IFERROR(IF(SUMIFS(tblDaily[TransfersIn],tblDaily[EntryDate],DATE(2026,1,5),tblDaily[WardCode],"FW")=0,"",SUMIFS(tblDaily[TransfersIn],tblDaily[EntryDate],DATE(2026,1,5),tblDaily[WardCode],"FW")),"")</f>
        <v/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 t="str">
        <f>IFERROR(IF(SUMIFS(tblDaily[Remaining],tblDaily[EntryDate],DATE(2026,1,5),tblDaily[WardCode],"FW")=0,"",SUMIFS(tblDaily[Remaining],tblDaily[EntryDate],DATE(2026,1,5),tblDaily[WardCode],"FW")),"")</f>
        <v/>
      </c>
      <c r="I11" s="5" t="str">
        <f>IFERROR(IF(SUMIFS(tblDaily[MalariaCases],tblDaily[EntryDate],DATE(2026,1,5),tblDaily[WardCode],"FW")=0,"",SUMIFS(tblDaily[MalariaCases],tblDaily[EntryDate],DATE(2026,1,5),tblDaily[WardCode],"FW")),"")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IFERROR(IF(SUMIFS(tblDaily[Admissions],tblDaily[EntryDate],DATE(2026,1,6),tblDaily[WardCode],"FW")=0,"",SUMIFS(tblDaily[Admissions],tblDaily[EntryDate],DATE(2026,1,6),tblDaily[WardCode],"FW")),"")</f>
        <v/>
      </c>
      <c r="C12" s="5" t="str">
        <f>IFERROR(IF(SUMIFS(tblDaily[Discharges],tblDaily[EntryDate],DATE(2026,1,6),tblDaily[WardCode],"FW")=0,"",SUMIFS(tblDaily[Discharges],tblDaily[EntryDate],DATE(2026,1,6),tblDaily[WardCode],"FW")),"")</f>
        <v/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 t="str">
        <f>IFERROR(IF(SUMIFS(tblDaily[Remaining],tblDaily[EntryDate],DATE(2026,1,6),tblDaily[WardCode],"FW")=0,"",SUMIFS(tblDaily[Remaining],tblDaily[EntryDate],DATE(2026,1,6),tblDaily[WardCode],"FW")),"")</f>
        <v/>
      </c>
      <c r="I12" s="5" t="str">
        <f>IFERROR(IF(SUMIFS(tblDaily[MalariaCases],tblDaily[EntryDate],DATE(2026,1,6),tblDaily[WardCode],"FW")=0,"",SUMIFS(tblDaily[MalariaCases],tblDaily[EntryDate],DATE(2026,1,6),tblDaily[WardCode],"FW")),"")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IFERROR(IF(SUMIFS(tblDaily[Admissions],tblDaily[EntryDate],DATE(2026,1,7),tblDaily[WardCode],"FW")=0,"",SUMIFS(tblDaily[Admissions],tblDaily[EntryDate],DATE(2026,1,7),tblDaily[WardCode],"FW")),"")</f>
        <v/>
      </c>
      <c r="C13" s="5" t="str">
        <f>IFERROR(IF(SUMIFS(tblDaily[Discharges],tblDaily[EntryDate],DATE(2026,1,7),tblDaily[WardCode],"FW")=0,"",SUMIFS(tblDaily[Discharges],tblDaily[EntryDate],DATE(2026,1,7),tblDaily[WardCode],"FW")),"")</f>
        <v/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 t="str">
        <f>IFERROR(IF(SUMIFS(tblDaily[Remaining],tblDaily[EntryDate],DATE(2026,1,7),tblDaily[WardCode],"FW")=0,"",SUMIFS(tblDaily[Remaining],tblDaily[EntryDate],DATE(2026,1,7),tblDaily[WardCode],"FW")),"")</f>
        <v/>
      </c>
      <c r="I13" s="5" t="str">
        <f>IFERROR(IF(SUMIFS(tblDaily[MalariaCases],tblDaily[EntryDate],DATE(2026,1,7),tblDaily[WardCode],"FW")=0,"",SUMIFS(tblDaily[MalariaCases],tblDaily[EntryDate],DATE(2026,1,7),tblDaily[WardCode],"FW")),"")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IFERROR(IF(SUMIFS(tblDaily[Admissions],tblDaily[EntryDate],DATE(2026,1,8),tblDaily[WardCode],"FW")=0,"",SUMIFS(tblDaily[Admissions],tblDaily[EntryDate],DATE(2026,1,8),tblDaily[WardCode],"FW")),"")</f>
        <v/>
      </c>
      <c r="C14" s="5" t="str">
        <f>IFERROR(IF(SUMIFS(tblDaily[Discharges],tblDaily[EntryDate],DATE(2026,1,8),tblDaily[WardCode],"FW")=0,"",SUMIFS(tblDaily[Discharges],tblDaily[EntryDate],DATE(2026,1,8),tblDaily[WardCode],"FW")),"")</f>
        <v/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 t="str">
        <f>IFERROR(IF(SUMIFS(tblDaily[TransfersIn],tblDaily[EntryDate],DATE(2026,1,8),tblDaily[WardCode],"FW")=0,"",SUMIFS(tblDaily[TransfersIn],tblDaily[EntryDate],DATE(2026,1,8),tblDaily[WardCode],"FW")),"")</f>
        <v/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 t="str">
        <f>IFERROR(IF(SUMIFS(tblDaily[Remaining],tblDaily[EntryDate],DATE(2026,1,8),tblDaily[WardCode],"FW")=0,"",SUMIFS(tblDaily[Remaining],tblDaily[EntryDate],DATE(2026,1,8),tblDaily[WardCode],"FW")),"")</f>
        <v/>
      </c>
      <c r="I14" s="5" t="str">
        <f>IFERROR(IF(SUMIFS(tblDaily[MalariaCases],tblDaily[EntryDate],DATE(2026,1,8),tblDaily[WardCode],"FW")=0,"",SUMIFS(tblDaily[MalariaCases],tblDaily[EntryDate],DATE(2026,1,8),tblDaily[WardCode],"FW")),"")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IFERROR(IF(SUMIFS(tblDaily[Admissions],tblDaily[EntryDate],DATE(2026,1,9),tblDaily[WardCode],"FW")=0,"",SUMIFS(tblDaily[Admissions],tblDaily[EntryDate],DATE(2026,1,9),tblDaily[WardCode],"FW")),"")</f>
        <v/>
      </c>
      <c r="C15" s="5" t="str">
        <f>IFERROR(IF(SUMIFS(tblDaily[Discharges],tblDaily[EntryDate],DATE(2026,1,9),tblDaily[WardCode],"FW")=0,"",SUMIFS(tblDaily[Discharges],tblDaily[EntryDate],DATE(2026,1,9),tblDaily[WardCode],"FW")),"")</f>
        <v/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 t="str">
        <f>IFERROR(IF(SUMIFS(tblDaily[Remaining],tblDaily[EntryDate],DATE(2026,1,9),tblDaily[WardCode],"FW")=0,"",SUMIFS(tblDaily[Remaining],tblDaily[EntryDate],DATE(2026,1,9),tblDaily[WardCode],"FW")),"")</f>
        <v/>
      </c>
      <c r="I15" s="5" t="str">
        <f>IFERROR(IF(SUMIFS(tblDaily[MalariaCases],tblDaily[EntryDate],DATE(2026,1,9),tblDaily[WardCode],"FW")=0,"",SUMIFS(tblDaily[MalariaCases],tblDaily[EntryDate],DATE(2026,1,9),tblDaily[WardCode],"FW")),"")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IFERROR(IF(SUMIFS(tblDaily[Admissions],tblDaily[EntryDate],DATE(2026,1,10),tblDaily[WardCode],"FW")=0,"",SUMIFS(tblDaily[Admissions],tblDaily[EntryDate],DATE(2026,1,10),tblDaily[WardCode],"FW")),"")</f>
        <v/>
      </c>
      <c r="C16" s="5" t="str">
        <f>IFERROR(IF(SUMIFS(tblDaily[Discharges],tblDaily[EntryDate],DATE(2026,1,10),tblDaily[WardCode],"FW")=0,"",SUMIFS(tblDaily[Discharges],tblDaily[EntryDate],DATE(2026,1,10),tblDaily[WardCode],"FW")),"")</f>
        <v/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 t="str">
        <f>IFERROR(IF(SUMIFS(tblDaily[Remaining],tblDaily[EntryDate],DATE(2026,1,10),tblDaily[WardCode],"FW")=0,"",SUMIFS(tblDaily[Remaining],tblDaily[EntryDate],DATE(2026,1,10),tblDaily[WardCode],"FW")),"")</f>
        <v/>
      </c>
      <c r="I16" s="5" t="str">
        <f>IFERROR(IF(SUMIFS(tblDaily[MalariaCases],tblDaily[EntryDate],DATE(2026,1,10),tblDaily[WardCode],"FW")=0,"",SUMIFS(tblDaily[MalariaCases],tblDaily[EntryDate],DATE(2026,1,10),tblDaily[WardCode],"FW")),"")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IFERROR(IF(SUMIFS(tblDaily[Admissions],tblDaily[EntryDate],DATE(2026,1,11),tblDaily[WardCode],"FW")=0,"",SUMIFS(tblDaily[Admissions],tblDaily[EntryDate],DATE(2026,1,11),tblDaily[WardCode],"FW")),"")</f>
        <v/>
      </c>
      <c r="C17" s="5" t="str">
        <f>IFERROR(IF(SUMIFS(tblDaily[Discharges],tblDaily[EntryDate],DATE(2026,1,11),tblDaily[WardCode],"FW")=0,"",SUMIFS(tblDaily[Discharges],tblDaily[EntryDate],DATE(2026,1,11),tblDaily[WardCode],"FW")),"")</f>
        <v/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 t="str">
        <f>IFERROR(IF(SUMIFS(tblDaily[TransfersIn],tblDaily[EntryDate],DATE(2026,1,11),tblDaily[WardCode],"FW")=0,"",SUMIFS(tblDaily[TransfersIn],tblDaily[EntryDate],DATE(2026,1,11),tblDaily[WardCode],"FW")),"")</f>
        <v/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 t="str">
        <f>IFERROR(IF(SUMIFS(tblDaily[Remaining],tblDaily[EntryDate],DATE(2026,1,11),tblDaily[WardCode],"FW")=0,"",SUMIFS(tblDaily[Remaining],tblDaily[EntryDate],DATE(2026,1,11),tblDaily[WardCode],"FW")),"")</f>
        <v/>
      </c>
      <c r="I17" s="5" t="str">
        <f>IFERROR(IF(SUMIFS(tblDaily[MalariaCases],tblDaily[EntryDate],DATE(2026,1,11),tblDaily[WardCode],"FW")=0,"",SUMIFS(tblDaily[MalariaCases],tblDaily[EntryDate],DATE(2026,1,11),tblDaily[WardCode],"FW")),"")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IFERROR(IF(SUMIFS(tblDaily[Admissions],tblDaily[EntryDate],DATE(2026,1,12),tblDaily[WardCode],"FW")=0,"",SUMIFS(tblDaily[Admissions],tblDaily[EntryDate],DATE(2026,1,12),tblDaily[WardCode],"FW")),"")</f>
        <v/>
      </c>
      <c r="C18" s="5" t="str">
        <f>IFERROR(IF(SUMIFS(tblDaily[Discharges],tblDaily[EntryDate],DATE(2026,1,12),tblDaily[WardCode],"FW")=0,"",SUMIFS(tblDaily[Discharges],tblDaily[EntryDate],DATE(2026,1,12),tblDaily[WardCode],"FW")),"")</f>
        <v/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 t="str">
        <f>IFERROR(IF(SUMIFS(tblDaily[Remaining],tblDaily[EntryDate],DATE(2026,1,12),tblDaily[WardCode],"FW")=0,"",SUMIFS(tblDaily[Remaining],tblDaily[EntryDate],DATE(2026,1,12),tblDaily[WardCode],"FW")),"")</f>
        <v/>
      </c>
      <c r="I18" s="5" t="str">
        <f>IFERROR(IF(SUMIFS(tblDaily[MalariaCases],tblDaily[EntryDate],DATE(2026,1,12),tblDaily[WardCode],"FW")=0,"",SUMIFS(tblDaily[MalariaCases],tblDaily[EntryDate],DATE(2026,1,12),tblDaily[WardCode],"FW")),"")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IFERROR(IF(SUMIFS(tblDaily[Admissions],tblDaily[EntryDate],DATE(2026,1,13),tblDaily[WardCode],"FW")=0,"",SUMIFS(tblDaily[Admissions],tblDaily[EntryDate],DATE(2026,1,13),tblDaily[WardCode],"FW")),"")</f>
        <v/>
      </c>
      <c r="C19" s="5" t="str">
        <f>IFERROR(IF(SUMIFS(tblDaily[Discharges],tblDaily[EntryDate],DATE(2026,1,13),tblDaily[WardCode],"FW")=0,"",SUMIFS(tblDaily[Discharges],tblDaily[EntryDate],DATE(2026,1,13),tblDaily[WardCode],"FW")),"")</f>
        <v/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 t="str">
        <f>IFERROR(IF(SUMIFS(tblDaily[Remaining],tblDaily[EntryDate],DATE(2026,1,13),tblDaily[WardCode],"FW")=0,"",SUMIFS(tblDaily[Remaining],tblDaily[EntryDate],DATE(2026,1,13),tblDaily[WardCode],"FW")),"")</f>
        <v/>
      </c>
      <c r="I19" s="5" t="str">
        <f>IFERROR(IF(SUMIFS(tblDaily[MalariaCases],tblDaily[EntryDate],DATE(2026,1,13),tblDaily[WardCode],"FW")=0,"",SUMIFS(tblDaily[MalariaCases],tblDaily[EntryDate],DATE(2026,1,13),tblDaily[WardCode],"FW")),"")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IFERROR(IF(SUMIFS(tblDaily[Admissions],tblDaily[EntryDate],DATE(2026,1,14),tblDaily[WardCode],"FW")=0,"",SUMIFS(tblDaily[Admissions],tblDaily[EntryDate],DATE(2026,1,14),tblDaily[WardCode],"FW")),"")</f>
        <v/>
      </c>
      <c r="C20" s="5" t="str">
        <f>IFERROR(IF(SUMIFS(tblDaily[Discharges],tblDaily[EntryDate],DATE(2026,1,14),tblDaily[WardCode],"FW")=0,"",SUMIFS(tblDaily[Discharges],tblDaily[EntryDate],DATE(2026,1,14),tblDaily[WardCode],"FW")),"")</f>
        <v/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 t="str">
        <f>IFERROR(IF(SUMIFS(tblDaily[TransfersIn],tblDaily[EntryDate],DATE(2026,1,14),tblDaily[WardCode],"FW")=0,"",SUMIFS(tblDaily[TransfersIn],tblDaily[EntryDate],DATE(2026,1,14),tblDaily[WardCode],"FW")),"")</f>
        <v/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 t="str">
        <f>IFERROR(IF(SUMIFS(tblDaily[Remaining],tblDaily[EntryDate],DATE(2026,1,14),tblDaily[WardCode],"FW")=0,"",SUMIFS(tblDaily[Remaining],tblDaily[EntryDate],DATE(2026,1,14),tblDaily[WardCode],"FW")),"")</f>
        <v/>
      </c>
      <c r="I20" s="5" t="str">
        <f>IFERROR(IF(SUMIFS(tblDaily[MalariaCases],tblDaily[EntryDate],DATE(2026,1,14),tblDaily[WardCode],"FW")=0,"",SUMIFS(tblDaily[MalariaCases],tblDaily[EntryDate],DATE(2026,1,14),tblDaily[WardCode],"FW")),"")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IFERROR(IF(SUMIFS(tblDaily[Admissions],tblDaily[EntryDate],DATE(2026,1,15),tblDaily[WardCode],"FW")=0,"",SUMIFS(tblDaily[Admissions],tblDaily[EntryDate],DATE(2026,1,15),tblDaily[WardCode],"FW")),"")</f>
        <v/>
      </c>
      <c r="C21" s="5" t="str">
        <f>IFERROR(IF(SUMIFS(tblDaily[Discharges],tblDaily[EntryDate],DATE(2026,1,15),tblDaily[WardCode],"FW")=0,"",SUMIFS(tblDaily[Discharges],tblDaily[EntryDate],DATE(2026,1,15),tblDaily[WardCode],"FW")),"")</f>
        <v/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 t="str">
        <f>IFERROR(IF(SUMIFS(tblDaily[TransfersIn],tblDaily[EntryDate],DATE(2026,1,15),tblDaily[WardCode],"FW")=0,"",SUMIFS(tblDaily[TransfersIn],tblDaily[EntryDate],DATE(2026,1,15),tblDaily[WardCode],"FW")),"")</f>
        <v/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 t="str">
        <f>IFERROR(IF(SUMIFS(tblDaily[Remaining],tblDaily[EntryDate],DATE(2026,1,15),tblDaily[WardCode],"FW")=0,"",SUMIFS(tblDaily[Remaining],tblDaily[EntryDate],DATE(2026,1,15),tblDaily[WardCode],"FW")),"")</f>
        <v/>
      </c>
      <c r="I21" s="5" t="str">
        <f>IFERROR(IF(SUMIFS(tblDaily[MalariaCases],tblDaily[EntryDate],DATE(2026,1,15),tblDaily[WardCode],"FW")=0,"",SUMIFS(tblDaily[MalariaCases],tblDaily[EntryDate],DATE(2026,1,15),tblDaily[WardCode],"FW")),"")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 t="str">
        <f>IFERROR(IF(SUMIFS(tblDaily[Discharges],tblDaily[EntryDate],DATE(2026,1,16),tblDaily[WardCode],"FW")=0,"",SUMIFS(tblDaily[Discharges],tblDaily[EntryDate],DATE(2026,1,16),tblDaily[WardCode],"FW")),"")</f>
        <v/>
      </c>
      <c r="D22" s="5" t="str">
        <f>IFERROR(IF(SUMIFS(tblDaily[Deaths],tblDaily[EntryDate],DATE(2026,1,16),tblDaily[WardCode],"FW")=0,"",SUMIFS(tblDaily[Deaths],tblDaily[EntryDate],DATE(2026,1,16),tblDaily[WardCode],"FW")),"")</f>
        <v/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 t="str">
        <f>IFERROR(IF(SUMIFS(tblDaily[TransfersIn],tblDaily[EntryDate],DATE(2026,1,16),tblDaily[WardCode],"FW")=0,"",SUMIFS(tblDaily[TransfersIn],tblDaily[EntryDate],DATE(2026,1,16),tblDaily[WardCode],"FW")),"")</f>
        <v/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 t="str">
        <f>IFERROR(IF(SUMIFS(tblDaily[Remaining],tblDaily[EntryDate],DATE(2026,1,16),tblDaily[WardCode],"FW")=0,"",SUMIFS(tblDaily[Remaining],tblDaily[EntryDate],DATE(2026,1,16),tblDaily[WardCode],"FW")),"")</f>
        <v/>
      </c>
      <c r="I22" s="5" t="str">
        <f>IFERROR(IF(SUMIFS(tblDaily[MalariaCases],tblDaily[EntryDate],DATE(2026,1,16),tblDaily[WardCode],"FW")=0,"",SUMIFS(tblDaily[MalariaCases],tblDaily[EntryDate],DATE(2026,1,16),tblDaily[WardCode],"FW")),"")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IFERROR(IF(SUMIFS(tblDaily[Admissions],tblDaily[EntryDate],DATE(2026,1,17),tblDaily[WardCode],"FW")=0,"",SUMIFS(tblDaily[Admissions],tblDaily[EntryDate],DATE(2026,1,17),tblDaily[WardCode],"FW")),"")</f>
        <v/>
      </c>
      <c r="C23" s="5" t="str">
        <f>IFERROR(IF(SUMIFS(tblDaily[Discharges],tblDaily[EntryDate],DATE(2026,1,17),tblDaily[WardCode],"FW")=0,"",SUMIFS(tblDaily[Discharges],tblDaily[EntryDate],DATE(2026,1,17),tblDaily[WardCode],"FW")),"")</f>
        <v/>
      </c>
      <c r="D23" s="5" t="str">
        <f>IFERROR(IF(SUMIFS(tblDaily[Deaths],tblDaily[EntryDate],DATE(2026,1,17),tblDaily[WardCode],"FW")=0,"",SUMIFS(tblDaily[Deaths],tblDaily[EntryDate],DATE(2026,1,17),tblDaily[WardCode],"FW")),"")</f>
        <v/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 t="str">
        <f>IFERROR(IF(SUMIFS(tblDaily[TransfersIn],tblDaily[EntryDate],DATE(2026,1,17),tblDaily[WardCode],"FW")=0,"",SUMIFS(tblDaily[TransfersIn],tblDaily[EntryDate],DATE(2026,1,17),tblDaily[WardCode],"FW")),"")</f>
        <v/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 t="str">
        <f>IFERROR(IF(SUMIFS(tblDaily[Remaining],tblDaily[EntryDate],DATE(2026,1,17),tblDaily[WardCode],"FW")=0,"",SUMIFS(tblDaily[Remaining],tblDaily[EntryDate],DATE(2026,1,17),tblDaily[WardCode],"FW")),"")</f>
        <v/>
      </c>
      <c r="I23" s="5" t="str">
        <f>IFERROR(IF(SUMIFS(tblDaily[MalariaCases],tblDaily[EntryDate],DATE(2026,1,17),tblDaily[WardCode],"FW")=0,"",SUMIFS(tblDaily[MalariaCases],tblDaily[EntryDate],DATE(2026,1,17),tblDaily[WardCode],"FW")),"")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IFERROR(IF(SUMIFS(tblDaily[Admissions],tblDaily[EntryDate],DATE(2026,1,18),tblDaily[WardCode],"FW")=0,"",SUMIFS(tblDaily[Admissions],tblDaily[EntryDate],DATE(2026,1,18),tblDaily[WardCode],"FW")),"")</f>
        <v/>
      </c>
      <c r="C24" s="5" t="str">
        <f>IFERROR(IF(SUMIFS(tblDaily[Discharges],tblDaily[EntryDate],DATE(2026,1,18),tblDaily[WardCode],"FW")=0,"",SUMIFS(tblDaily[Discharges],tblDaily[EntryDate],DATE(2026,1,18),tblDaily[WardCode],"FW")),"")</f>
        <v/>
      </c>
      <c r="D24" s="5" t="str">
        <f>IFERROR(IF(SUMIFS(tblDaily[Deaths],tblDaily[EntryDate],DATE(2026,1,18),tblDaily[WardCode],"FW")=0,"",SUMIFS(tblDaily[Deaths],tblDaily[EntryDate],DATE(2026,1,18),tblDaily[WardCode],"FW")),"")</f>
        <v/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 t="str">
        <f>IFERROR(IF(SUMIFS(tblDaily[TransfersIn],tblDaily[EntryDate],DATE(2026,1,18),tblDaily[WardCode],"FW")=0,"",SUMIFS(tblDaily[TransfersIn],tblDaily[EntryDate],DATE(2026,1,18),tblDaily[WardCode],"FW")),"")</f>
        <v/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 t="str">
        <f>IFERROR(IF(SUMIFS(tblDaily[Remaining],tblDaily[EntryDate],DATE(2026,1,18),tblDaily[WardCode],"FW")=0,"",SUMIFS(tblDaily[Remaining],tblDaily[EntryDate],DATE(2026,1,18),tblDaily[WardCode],"FW")),"")</f>
        <v/>
      </c>
      <c r="I24" s="5" t="str">
        <f>IFERROR(IF(SUMIFS(tblDaily[MalariaCases],tblDaily[EntryDate],DATE(2026,1,18),tblDaily[WardCode],"FW")=0,"",SUMIFS(tblDaily[MalariaCases],tblDaily[EntryDate],DATE(2026,1,18),tblDaily[WardCode],"FW")),"")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IFERROR(IF(SUMIFS(tblDaily[Admissions],tblDaily[EntryDate],DATE(2026,1,19),tblDaily[WardCode],"FW")=0,"",SUMIFS(tblDaily[Admissions],tblDaily[EntryDate],DATE(2026,1,19),tblDaily[WardCode],"FW")),"")</f>
        <v/>
      </c>
      <c r="C25" s="5" t="str">
        <f>IFERROR(IF(SUMIFS(tblDaily[Discharges],tblDaily[EntryDate],DATE(2026,1,19),tblDaily[WardCode],"FW")=0,"",SUMIFS(tblDaily[Discharges],tblDaily[EntryDate],DATE(2026,1,19),tblDaily[WardCode],"FW")),"")</f>
        <v/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 t="str">
        <f>IFERROR(IF(SUMIFS(tblDaily[TransfersIn],tblDaily[EntryDate],DATE(2026,1,19),tblDaily[WardCode],"FW")=0,"",SUMIFS(tblDaily[TransfersIn],tblDaily[EntryDate],DATE(2026,1,19),tblDaily[WardCode],"FW")),"")</f>
        <v/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 t="str">
        <f>IFERROR(IF(SUMIFS(tblDaily[Remaining],tblDaily[EntryDate],DATE(2026,1,19),tblDaily[WardCode],"FW")=0,"",SUMIFS(tblDaily[Remaining],tblDaily[EntryDate],DATE(2026,1,19),tblDaily[WardCode],"FW")),"")</f>
        <v/>
      </c>
      <c r="I25" s="5" t="str">
        <f>IFERROR(IF(SUMIFS(tblDaily[MalariaCases],tblDaily[EntryDate],DATE(2026,1,19),tblDaily[WardCode],"FW")=0,"",SUMIFS(tblDaily[MalariaCases],tblDaily[EntryDate],DATE(2026,1,19),tblDaily[WardCode],"FW")),"")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IFERROR(IF(SUMIFS(tblDaily[Admissions],tblDaily[EntryDate],DATE(2026,1,20),tblDaily[WardCode],"FW")=0,"",SUMIFS(tblDaily[Admissions],tblDaily[EntryDate],DATE(2026,1,20),tblDaily[WardCode],"FW")),"")</f>
        <v/>
      </c>
      <c r="C26" s="5" t="str">
        <f>IFERROR(IF(SUMIFS(tblDaily[Discharges],tblDaily[EntryDate],DATE(2026,1,20),tblDaily[WardCode],"FW")=0,"",SUMIFS(tblDaily[Discharges],tblDaily[EntryDate],DATE(2026,1,20),tblDaily[WardCode],"FW")),"")</f>
        <v/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 t="str">
        <f>IFERROR(IF(SUMIFS(tblDaily[Remaining],tblDaily[EntryDate],DATE(2026,1,20),tblDaily[WardCode],"FW")=0,"",SUMIFS(tblDaily[Remaining],tblDaily[EntryDate],DATE(2026,1,20),tblDaily[WardCode],"FW")),"")</f>
        <v/>
      </c>
      <c r="I26" s="5" t="str">
        <f>IFERROR(IF(SUMIFS(tblDaily[MalariaCases],tblDaily[EntryDate],DATE(2026,1,20),tblDaily[WardCode],"FW")=0,"",SUMIFS(tblDaily[MalariaCases],tblDaily[EntryDate],DATE(2026,1,20),tblDaily[WardCode],"FW")),"")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IFERROR(IF(SUMIFS(tblDaily[Admissions],tblDaily[EntryDate],DATE(2026,1,21),tblDaily[WardCode],"FW")=0,"",SUMIFS(tblDaily[Admissions],tblDaily[EntryDate],DATE(2026,1,21),tblDaily[WardCode],"FW")),"")</f>
        <v/>
      </c>
      <c r="C27" s="5" t="str">
        <f>IFERROR(IF(SUMIFS(tblDaily[Discharges],tblDaily[EntryDate],DATE(2026,1,21),tblDaily[WardCode],"FW")=0,"",SUMIFS(tblDaily[Discharges],tblDaily[EntryDate],DATE(2026,1,21),tblDaily[WardCode],"FW")),"")</f>
        <v/>
      </c>
      <c r="D27" s="5" t="str">
        <f>IFERROR(IF(SUMIFS(tblDaily[Deaths],tblDaily[EntryDate],DATE(2026,1,21),tblDaily[WardCode],"FW")=0,"",SUMIFS(tblDaily[Deaths],tblDaily[EntryDate],DATE(2026,1,21),tblDaily[WardCode],"FW")),"")</f>
        <v/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 t="str">
        <f>IFERROR(IF(SUMIFS(tblDaily[TransfersIn],tblDaily[EntryDate],DATE(2026,1,21),tblDaily[WardCode],"FW")=0,"",SUMIFS(tblDaily[TransfersIn],tblDaily[EntryDate],DATE(2026,1,21),tblDaily[WardCode],"FW")),"")</f>
        <v/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 t="str">
        <f>IFERROR(IF(SUMIFS(tblDaily[Remaining],tblDaily[EntryDate],DATE(2026,1,21),tblDaily[WardCode],"FW")=0,"",SUMIFS(tblDaily[Remaining],tblDaily[EntryDate],DATE(2026,1,21),tblDaily[WardCode],"FW")),"")</f>
        <v/>
      </c>
      <c r="I27" s="5" t="str">
        <f>IFERROR(IF(SUMIFS(tblDaily[MalariaCases],tblDaily[EntryDate],DATE(2026,1,21),tblDaily[WardCode],"FW")=0,"",SUMIFS(tblDaily[MalariaCases],tblDaily[EntryDate],DATE(2026,1,21),tblDaily[WardCode],"FW")),"")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IFERROR(IF(SUMIFS(tblDaily[Admissions],tblDaily[EntryDate],DATE(2026,1,22),tblDaily[WardCode],"FW")=0,"",SUMIFS(tblDaily[Admissions],tblDaily[EntryDate],DATE(2026,1,22),tblDaily[WardCode],"FW")),"")</f>
        <v/>
      </c>
      <c r="C28" s="5" t="str">
        <f>IFERROR(IF(SUMIFS(tblDaily[Discharges],tblDaily[EntryDate],DATE(2026,1,22),tblDaily[WardCode],"FW")=0,"",SUMIFS(tblDaily[Discharges],tblDaily[EntryDate],DATE(2026,1,22),tblDaily[WardCode],"FW")),"")</f>
        <v/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 t="str">
        <f>IFERROR(IF(SUMIFS(tblDaily[TransfersIn],tblDaily[EntryDate],DATE(2026,1,22),tblDaily[WardCode],"FW")=0,"",SUMIFS(tblDaily[TransfersIn],tblDaily[EntryDate],DATE(2026,1,22),tblDaily[WardCode],"FW")),"")</f>
        <v/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 t="str">
        <f>IFERROR(IF(SUMIFS(tblDaily[Remaining],tblDaily[EntryDate],DATE(2026,1,22),tblDaily[WardCode],"FW")=0,"",SUMIFS(tblDaily[Remaining],tblDaily[EntryDate],DATE(2026,1,22),tblDaily[WardCode],"FW")),"")</f>
        <v/>
      </c>
      <c r="I28" s="5" t="str">
        <f>IFERROR(IF(SUMIFS(tblDaily[MalariaCases],tblDaily[EntryDate],DATE(2026,1,22),tblDaily[WardCode],"FW")=0,"",SUMIFS(tblDaily[MalariaCases],tblDaily[EntryDate],DATE(2026,1,22),tblDaily[WardCode],"FW")),"")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IFERROR(IF(SUMIFS(tblDaily[Admissions],tblDaily[EntryDate],DATE(2026,1,23),tblDaily[WardCode],"FW")=0,"",SUMIFS(tblDaily[Admissions],tblDaily[EntryDate],DATE(2026,1,23),tblDaily[WardCode],"FW")),"")</f>
        <v/>
      </c>
      <c r="C29" s="5" t="str">
        <f>IFERROR(IF(SUMIFS(tblDaily[Discharges],tblDaily[EntryDate],DATE(2026,1,23),tblDaily[WardCode],"FW")=0,"",SUMIFS(tblDaily[Discharges],tblDaily[EntryDate],DATE(2026,1,23),tblDaily[WardCode],"FW")),"")</f>
        <v/>
      </c>
      <c r="D29" s="5" t="str">
        <f>IFERROR(IF(SUMIFS(tblDaily[Deaths],tblDaily[EntryDate],DATE(2026,1,23),tblDaily[WardCode],"FW")=0,"",SUMIFS(tblDaily[Deaths],tblDaily[EntryDate],DATE(2026,1,23),tblDaily[WardCode],"FW")),"")</f>
        <v/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 t="str">
        <f>IFERROR(IF(SUMIFS(tblDaily[Remaining],tblDaily[EntryDate],DATE(2026,1,23),tblDaily[WardCode],"FW")=0,"",SUMIFS(tblDaily[Remaining],tblDaily[EntryDate],DATE(2026,1,23),tblDaily[WardCode],"FW")),"")</f>
        <v/>
      </c>
      <c r="I29" s="5" t="str">
        <f>IFERROR(IF(SUMIFS(tblDaily[MalariaCases],tblDaily[EntryDate],DATE(2026,1,23),tblDaily[WardCode],"FW")=0,"",SUMIFS(tblDaily[MalariaCases],tblDaily[EntryDate],DATE(2026,1,23),tblDaily[WardCode],"FW")),"")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IFERROR(IF(SUMIFS(tblDaily[Admissions],tblDaily[EntryDate],DATE(2026,1,24),tblDaily[WardCode],"FW")=0,"",SUMIFS(tblDaily[Admissions],tblDaily[EntryDate],DATE(2026,1,24),tblDaily[WardCode],"FW")),"")</f>
        <v/>
      </c>
      <c r="C30" s="5" t="str">
        <f>IFERROR(IF(SUMIFS(tblDaily[Discharges],tblDaily[EntryDate],DATE(2026,1,24),tblDaily[WardCode],"FW")=0,"",SUMIFS(tblDaily[Discharges],tblDaily[EntryDate],DATE(2026,1,24),tblDaily[WardCode],"FW")),"")</f>
        <v/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 t="str">
        <f>IFERROR(IF(SUMIFS(tblDaily[TransfersIn],tblDaily[EntryDate],DATE(2026,1,24),tblDaily[WardCode],"FW")=0,"",SUMIFS(tblDaily[TransfersIn],tblDaily[EntryDate],DATE(2026,1,24),tblDaily[WardCode],"FW")),"")</f>
        <v/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 t="str">
        <f>IFERROR(IF(SUMIFS(tblDaily[Remaining],tblDaily[EntryDate],DATE(2026,1,24),tblDaily[WardCode],"FW")=0,"",SUMIFS(tblDaily[Remaining],tblDaily[EntryDate],DATE(2026,1,24),tblDaily[WardCode],"FW")),"")</f>
        <v/>
      </c>
      <c r="I30" s="5" t="str">
        <f>IFERROR(IF(SUMIFS(tblDaily[MalariaCases],tblDaily[EntryDate],DATE(2026,1,24),tblDaily[WardCode],"FW")=0,"",SUMIFS(tblDaily[MalariaCases],tblDaily[EntryDate],DATE(2026,1,24),tblDaily[WardCode],"FW")),"")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 t="str">
        <f>IFERROR(IF(SUMIFS(tblDaily[Discharges],tblDaily[EntryDate],DATE(2026,1,25),tblDaily[WardCode],"FW")=0,"",SUMIFS(tblDaily[Discharges],tblDaily[EntryDate],DATE(2026,1,25),tblDaily[WardCode],"FW")),"")</f>
        <v/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 t="str">
        <f>IFERROR(IF(SUMIFS(tblDaily[Remaining],tblDaily[EntryDate],DATE(2026,1,25),tblDaily[WardCode],"FW")=0,"",SUMIFS(tblDaily[Remaining],tblDaily[EntryDate],DATE(2026,1,25),tblDaily[WardCode],"FW")),"")</f>
        <v/>
      </c>
      <c r="I31" s="5" t="str">
        <f>IFERROR(IF(SUMIFS(tblDaily[MalariaCases],tblDaily[EntryDate],DATE(2026,1,25),tblDaily[WardCode],"FW")=0,"",SUMIFS(tblDaily[MalariaCases],tblDaily[EntryDate],DATE(2026,1,25),tblDaily[WardCode],"FW")),"")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IFERROR(IF(SUMIFS(tblDaily[Admissions],tblDaily[EntryDate],DATE(2026,1,26),tblDaily[WardCode],"FW")=0,"",SUMIFS(tblDaily[Admissions],tblDaily[EntryDate],DATE(2026,1,26),tblDaily[WardCode],"FW")),"")</f>
        <v/>
      </c>
      <c r="C32" s="5" t="str">
        <f>IFERROR(IF(SUMIFS(tblDaily[Discharges],tblDaily[EntryDate],DATE(2026,1,26),tblDaily[WardCode],"FW")=0,"",SUMIFS(tblDaily[Discharges],tblDaily[EntryDate],DATE(2026,1,26),tblDaily[WardCode],"FW")),"")</f>
        <v/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 t="str">
        <f>IFERROR(IF(SUMIFS(tblDaily[TransfersIn],tblDaily[EntryDate],DATE(2026,1,26),tblDaily[WardCode],"FW")=0,"",SUMIFS(tblDaily[TransfersIn],tblDaily[EntryDate],DATE(2026,1,26),tblDaily[WardCode],"FW")),"")</f>
        <v/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 t="str">
        <f>IFERROR(IF(SUMIFS(tblDaily[Remaining],tblDaily[EntryDate],DATE(2026,1,26),tblDaily[WardCode],"FW")=0,"",SUMIFS(tblDaily[Remaining],tblDaily[EntryDate],DATE(2026,1,26),tblDaily[WardCode],"FW")),"")</f>
        <v/>
      </c>
      <c r="I32" s="5" t="str">
        <f>IFERROR(IF(SUMIFS(tblDaily[MalariaCases],tblDaily[EntryDate],DATE(2026,1,26),tblDaily[WardCode],"FW")=0,"",SUMIFS(tblDaily[MalariaCases],tblDaily[EntryDate],DATE(2026,1,26),tblDaily[WardCode],"FW")),"")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IFERROR(IF(SUMIFS(tblDaily[Admissions],tblDaily[EntryDate],DATE(2026,1,27),tblDaily[WardCode],"FW")=0,"",SUMIFS(tblDaily[Admissions],tblDaily[EntryDate],DATE(2026,1,27),tblDaily[WardCode],"FW")),"")</f>
        <v/>
      </c>
      <c r="C33" s="5" t="str">
        <f>IFERROR(IF(SUMIFS(tblDaily[Discharges],tblDaily[EntryDate],DATE(2026,1,27),tblDaily[WardCode],"FW")=0,"",SUMIFS(tblDaily[Discharges],tblDaily[EntryDate],DATE(2026,1,27),tblDaily[WardCode],"FW")),"")</f>
        <v/>
      </c>
      <c r="D33" s="5" t="str">
        <f>IFERROR(IF(SUMIFS(tblDaily[Deaths],tblDaily[EntryDate],DATE(2026,1,27),tblDaily[WardCode],"FW")=0,"",SUMIFS(tblDaily[Deaths],tblDaily[EntryDate],DATE(2026,1,27),tblDaily[WardCode],"FW")),"")</f>
        <v/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 t="str">
        <f>IFERROR(IF(SUMIFS(tblDaily[TransfersIn],tblDaily[EntryDate],DATE(2026,1,27),tblDaily[WardCode],"FW")=0,"",SUMIFS(tblDaily[TransfersIn],tblDaily[EntryDate],DATE(2026,1,27),tblDaily[WardCode],"FW")),"")</f>
        <v/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 t="str">
        <f>IFERROR(IF(SUMIFS(tblDaily[Remaining],tblDaily[EntryDate],DATE(2026,1,27),tblDaily[WardCode],"FW")=0,"",SUMIFS(tblDaily[Remaining],tblDaily[EntryDate],DATE(2026,1,27),tblDaily[WardCode],"FW")),"")</f>
        <v/>
      </c>
      <c r="I33" s="5" t="str">
        <f>IFERROR(IF(SUMIFS(tblDaily[MalariaCases],tblDaily[EntryDate],DATE(2026,1,27),tblDaily[WardCode],"FW")=0,"",SUMIFS(tblDaily[MalariaCases],tblDaily[EntryDate],DATE(2026,1,27),tblDaily[WardCode],"FW")),"")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IFERROR(IF(SUMIFS(tblDaily[Admissions],tblDaily[EntryDate],DATE(2026,1,28),tblDaily[WardCode],"FW")=0,"",SUMIFS(tblDaily[Admissions],tblDaily[EntryDate],DATE(2026,1,28),tblDaily[WardCode],"FW")),"")</f>
        <v/>
      </c>
      <c r="C34" s="5" t="str">
        <f>IFERROR(IF(SUMIFS(tblDaily[Discharges],tblDaily[EntryDate],DATE(2026,1,28),tblDaily[WardCode],"FW")=0,"",SUMIFS(tblDaily[Discharges],tblDaily[EntryDate],DATE(2026,1,28),tblDaily[WardCode],"FW")),"")</f>
        <v/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 t="str">
        <f>IFERROR(IF(SUMIFS(tblDaily[TransfersIn],tblDaily[EntryDate],DATE(2026,1,28),tblDaily[WardCode],"FW")=0,"",SUMIFS(tblDaily[TransfersIn],tblDaily[EntryDate],DATE(2026,1,28),tblDaily[WardCode],"FW")),"")</f>
        <v/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 t="str">
        <f>IFERROR(IF(SUMIFS(tblDaily[Remaining],tblDaily[EntryDate],DATE(2026,1,28),tblDaily[WardCode],"FW")=0,"",SUMIFS(tblDaily[Remaining],tblDaily[EntryDate],DATE(2026,1,28),tblDaily[WardCode],"FW")),"")</f>
        <v/>
      </c>
      <c r="I34" s="5" t="str">
        <f>IFERROR(IF(SUMIFS(tblDaily[MalariaCases],tblDaily[EntryDate],DATE(2026,1,28),tblDaily[WardCode],"FW")=0,"",SUMIFS(tblDaily[MalariaCases],tblDaily[EntryDate],DATE(2026,1,28),tblDaily[WardCode],"FW")),"")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IFERROR(IF(SUMIFS(tblDaily[Admissions],tblDaily[EntryDate],DATE(2026,1,29),tblDaily[WardCode],"FW")=0,"",SUMIFS(tblDaily[Admissions],tblDaily[EntryDate],DATE(2026,1,29),tblDaily[WardCode],"FW")),"")</f>
        <v/>
      </c>
      <c r="C35" s="5" t="str">
        <f>IFERROR(IF(SUMIFS(tblDaily[Discharges],tblDaily[EntryDate],DATE(2026,1,29),tblDaily[WardCode],"FW")=0,"",SUMIFS(tblDaily[Discharges],tblDaily[EntryDate],DATE(2026,1,29),tblDaily[WardCode],"FW")),"")</f>
        <v/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 t="str">
        <f>IFERROR(IF(SUMIFS(tblDaily[TransfersIn],tblDaily[EntryDate],DATE(2026,1,29),tblDaily[WardCode],"FW")=0,"",SUMIFS(tblDaily[TransfersIn],tblDaily[EntryDate],DATE(2026,1,29),tblDaily[WardCode],"FW")),"")</f>
        <v/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 t="str">
        <f>IFERROR(IF(SUMIFS(tblDaily[Remaining],tblDaily[EntryDate],DATE(2026,1,29),tblDaily[WardCode],"FW")=0,"",SUMIFS(tblDaily[Remaining],tblDaily[EntryDate],DATE(2026,1,29),tblDaily[WardCode],"FW")),"")</f>
        <v/>
      </c>
      <c r="I35" s="5" t="str">
        <f>IFERROR(IF(SUMIFS(tblDaily[MalariaCases],tblDaily[EntryDate],DATE(2026,1,29),tblDaily[WardCode],"FW")=0,"",SUMIFS(tblDaily[MalariaCases],tblDaily[EntryDate],DATE(2026,1,29),tblDaily[WardCode],"FW")),"")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IFERROR(IF(SUMIFS(tblDaily[Admissions],tblDaily[EntryDate],DATE(2026,1,30),tblDaily[WardCode],"FW")=0,"",SUMIFS(tblDaily[Admissions],tblDaily[EntryDate],DATE(2026,1,30),tblDaily[WardCode],"FW")),"")</f>
        <v/>
      </c>
      <c r="C36" s="5" t="str">
        <f>IFERROR(IF(SUMIFS(tblDaily[Discharges],tblDaily[EntryDate],DATE(2026,1,30),tblDaily[WardCode],"FW")=0,"",SUMIFS(tblDaily[Discharges],tblDaily[EntryDate],DATE(2026,1,30),tblDaily[WardCode],"FW")),"")</f>
        <v/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 t="str">
        <f>IFERROR(IF(SUMIFS(tblDaily[TransfersIn],tblDaily[EntryDate],DATE(2026,1,30),tblDaily[WardCode],"FW")=0,"",SUMIFS(tblDaily[TransfersIn],tblDaily[EntryDate],DATE(2026,1,30),tblDaily[WardCode],"FW")),"")</f>
        <v/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 t="str">
        <f>IFERROR(IF(SUMIFS(tblDaily[Remaining],tblDaily[EntryDate],DATE(2026,1,30),tblDaily[WardCode],"FW")=0,"",SUMIFS(tblDaily[Remaining],tblDaily[EntryDate],DATE(2026,1,30),tblDaily[WardCode],"FW")),"")</f>
        <v/>
      </c>
      <c r="I36" s="5" t="str">
        <f>IFERROR(IF(SUMIFS(tblDaily[MalariaCases],tblDaily[EntryDate],DATE(2026,1,30),tblDaily[WardCode],"FW")=0,"",SUMIFS(tblDaily[MalariaCases],tblDaily[EntryDate],DATE(2026,1,30),tblDaily[WardCode],"FW")),"")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 t="str">
        <f>IFERROR(IF(SUMIFS(tblDaily[Discharges],tblDaily[EntryDate],DATE(2026,1,31),tblDaily[WardCode],"FW")=0,"",SUMIFS(tblDaily[Discharges],tblDaily[EntryDate],DATE(2026,1,31),tblDaily[WardCode],"FW")),"")</f>
        <v/>
      </c>
      <c r="D37" s="5" t="str">
        <f>IFERROR(IF(SUMIFS(tblDaily[Deaths],tblDaily[EntryDate],DATE(2026,1,31),tblDaily[WardCode],"FW")=0,"",SUMIFS(tblDaily[Deaths],tblDaily[EntryDate],DATE(2026,1,31),tblDaily[WardCode],"FW")),"")</f>
        <v/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 t="str">
        <f>IFERROR(IF(SUMIFS(tblDaily[TransfersIn],tblDaily[EntryDate],DATE(2026,1,31),tblDaily[WardCode],"FW")=0,"",SUMIFS(tblDaily[TransfersIn],tblDaily[EntryDate],DATE(2026,1,31),tblDaily[WardCode],"FW")),"")</f>
        <v/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 t="str">
        <f>IFERROR(IF(SUMIFS(tblDaily[Remaining],tblDaily[EntryDate],DATE(2026,1,31),tblDaily[WardCode],"FW")=0,"",SUMIFS(tblDaily[Remaining],tblDaily[EntryDate],DATE(2026,1,31),tblDaily[WardCode],"FW")),"")</f>
        <v/>
      </c>
      <c r="I37" s="5" t="str">
        <f>IFERROR(IF(SUMIFS(tblDaily[MalariaCases],tblDaily[EntryDate],DATE(2026,1,31),tblDaily[WardCode],"FW")=0,"",SUMIFS(tblDaily[MalariaCases],tblDaily[EntryDate],DATE(2026,1,31),tblDaily[WardCode],"FW")),"")</f>
        <v/>
      </c>
    </row>
    <row r="38" spans="1:9" x14ac:dyDescent="0.25">
      <c r="A38" s="9" t="s">
        <v>94</v>
      </c>
      <c r="B38" s="9">
        <f>SUMIFS(tblDaily[Admissions],tblDaily[Month],1,tblDaily[WardCode],"FW")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95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IFERROR(SUMIFS(tblDaily[Remaining],tblDaily[EntryDate],DATE(2026,1,31),tblDaily[WardCode],"FW"),0)</f>
        <v>0</v>
      </c>
    </row>
    <row r="44" spans="1:9" x14ac:dyDescent="0.25">
      <c r="A44" s="1" t="s">
        <v>87</v>
      </c>
      <c r="H44" s="7">
        <f>IFERROR(INDEX(tblWardConfig[BedComplement],MATCH("FW",tblWardConfig[Export Year-End],0)),0)</f>
        <v>28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  <c r="I46" s="5" t="str">
        <f>IFERROR(IF(SUMIFS(tblDaily[MalariaCases],tblDaily[EntryDate],DATE(2026,2,1),tblDaily[WardCode],"FW")=0,"",SUMIFS(tblDaily[MalariaCases],tblDaily[EntryDate],DATE(2026,2,1),tblDaily[WardCode],"FW")),"")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  <c r="I47" s="5" t="str">
        <f>IFERROR(IF(SUMIFS(tblDaily[MalariaCases],tblDaily[EntryDate],DATE(2026,2,2),tblDaily[WardCode],"FW")=0,"",SUMIFS(tblDaily[MalariaCases],tblDaily[EntryDate],DATE(2026,2,2),tblDaily[WardCode],"FW")),"")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IFERROR(IF(SUMIFS(tblDaily[Admissions],tblDaily[EntryDate],DATE(2026,2,3),tblDaily[WardCode],"FW")=0,"",SUMIFS(tblDaily[Admissions],tblDaily[EntryDate],DATE(2026,2,3),tblDaily[WardCode],"FW")),"")</f>
        <v/>
      </c>
      <c r="C48" s="5" t="str">
        <f>IFERROR(IF(SUMIFS(tblDaily[Discharges],tblDaily[EntryDate],DATE(2026,2,3),tblDaily[WardCode],"FW")=0,"",SUMIFS(tblDaily[Discharges],tblDaily[EntryDate],DATE(2026,2,3),tblDaily[WardCode],"FW")),"")</f>
        <v/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 t="str">
        <f>IFERROR(IF(SUMIFS(tblDaily[TransfersIn],tblDaily[EntryDate],DATE(2026,2,3),tblDaily[WardCode],"FW")=0,"",SUMIFS(tblDaily[TransfersIn],tblDaily[EntryDate],DATE(2026,2,3),tblDaily[WardCode],"FW")),"")</f>
        <v/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 t="str">
        <f>IFERROR(IF(SUMIFS(tblDaily[Remaining],tblDaily[EntryDate],DATE(2026,2,3),tblDaily[WardCode],"FW")=0,"",SUMIFS(tblDaily[Remaining],tblDaily[EntryDate],DATE(2026,2,3),tblDaily[WardCode],"FW")),"")</f>
        <v/>
      </c>
      <c r="I48" s="5" t="str">
        <f>IFERROR(IF(SUMIFS(tblDaily[MalariaCases],tblDaily[EntryDate],DATE(2026,2,3),tblDaily[WardCode],"FW")=0,"",SUMIFS(tblDaily[MalariaCases],tblDaily[EntryDate],DATE(2026,2,3),tblDaily[WardCode],"FW")),"")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  <c r="I49" s="5" t="str">
        <f>IFERROR(IF(SUMIFS(tblDaily[MalariaCases],tblDaily[EntryDate],DATE(2026,2,4),tblDaily[WardCode],"FW")=0,"",SUMIFS(tblDaily[MalariaCases],tblDaily[EntryDate],DATE(2026,2,4),tblDaily[WardCode],"FW")),"")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  <c r="I50" s="5" t="str">
        <f>IFERROR(IF(SUMIFS(tblDaily[MalariaCases],tblDaily[EntryDate],DATE(2026,2,5),tblDaily[WardCode],"FW")=0,"",SUMIFS(tblDaily[MalariaCases],tblDaily[EntryDate],DATE(2026,2,5),tblDaily[WardCode],"FW")),"")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  <c r="I51" s="5" t="str">
        <f>IFERROR(IF(SUMIFS(tblDaily[MalariaCases],tblDaily[EntryDate],DATE(2026,2,6),tblDaily[WardCode],"FW")=0,"",SUMIFS(tblDaily[MalariaCases],tblDaily[EntryDate],DATE(2026,2,6),tblDaily[WardCode],"FW")),"")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  <c r="I52" s="5" t="str">
        <f>IFERROR(IF(SUMIFS(tblDaily[MalariaCases],tblDaily[EntryDate],DATE(2026,2,7),tblDaily[WardCode],"FW")=0,"",SUMIFS(tblDaily[MalariaCases],tblDaily[EntryDate],DATE(2026,2,7),tblDaily[WardCode],"FW")),"")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  <c r="I53" s="5" t="str">
        <f>IFERROR(IF(SUMIFS(tblDaily[MalariaCases],tblDaily[EntryDate],DATE(2026,2,8),tblDaily[WardCode],"FW")=0,"",SUMIFS(tblDaily[MalariaCases],tblDaily[EntryDate],DATE(2026,2,8),tblDaily[WardCode],"FW")),"")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  <c r="I54" s="5" t="str">
        <f>IFERROR(IF(SUMIFS(tblDaily[MalariaCases],tblDaily[EntryDate],DATE(2026,2,9),tblDaily[WardCode],"FW")=0,"",SUMIFS(tblDaily[MalariaCases],tblDaily[EntryDate],DATE(2026,2,9),tblDaily[WardCode],"FW")),"")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  <c r="I55" s="5" t="str">
        <f>IFERROR(IF(SUMIFS(tblDaily[MalariaCases],tblDaily[EntryDate],DATE(2026,2,10),tblDaily[WardCode],"FW")=0,"",SUMIFS(tblDaily[MalariaCases],tblDaily[EntryDate],DATE(2026,2,10),tblDaily[WardCode],"FW")),"")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  <c r="I56" s="5" t="str">
        <f>IFERROR(IF(SUMIFS(tblDaily[MalariaCases],tblDaily[EntryDate],DATE(2026,2,11),tblDaily[WardCode],"FW")=0,"",SUMIFS(tblDaily[MalariaCases],tblDaily[EntryDate],DATE(2026,2,11),tblDaily[WardCode],"FW")),"")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  <c r="I57" s="5" t="str">
        <f>IFERROR(IF(SUMIFS(tblDaily[MalariaCases],tblDaily[EntryDate],DATE(2026,2,12),tblDaily[WardCode],"FW")=0,"",SUMIFS(tblDaily[MalariaCases],tblDaily[EntryDate],DATE(2026,2,12),tblDaily[WardCode],"FW")),"")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  <c r="I58" s="5" t="str">
        <f>IFERROR(IF(SUMIFS(tblDaily[MalariaCases],tblDaily[EntryDate],DATE(2026,2,13),tblDaily[WardCode],"FW")=0,"",SUMIFS(tblDaily[MalariaCases],tblDaily[EntryDate],DATE(2026,2,13),tblDaily[WardCode],"FW")),"")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  <c r="I59" s="5" t="str">
        <f>IFERROR(IF(SUMIFS(tblDaily[MalariaCases],tblDaily[EntryDate],DATE(2026,2,14),tblDaily[WardCode],"FW")=0,"",SUMIFS(tblDaily[MalariaCases],tblDaily[EntryDate],DATE(2026,2,14),tblDaily[WardCode],"FW")),"")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  <c r="I60" s="5" t="str">
        <f>IFERROR(IF(SUMIFS(tblDaily[MalariaCases],tblDaily[EntryDate],DATE(2026,2,15),tblDaily[WardCode],"FW")=0,"",SUMIFS(tblDaily[MalariaCases],tblDaily[EntryDate],DATE(2026,2,15),tblDaily[WardCode],"FW")),"")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  <c r="I61" s="5" t="str">
        <f>IFERROR(IF(SUMIFS(tblDaily[MalariaCases],tblDaily[EntryDate],DATE(2026,2,16),tblDaily[WardCode],"FW")=0,"",SUMIFS(tblDaily[MalariaCases],tblDaily[EntryDate],DATE(2026,2,16),tblDaily[WardCode],"FW")),"")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  <c r="I62" s="5" t="str">
        <f>IFERROR(IF(SUMIFS(tblDaily[MalariaCases],tblDaily[EntryDate],DATE(2026,2,17),tblDaily[WardCode],"FW")=0,"",SUMIFS(tblDaily[MalariaCases],tblDaily[EntryDate],DATE(2026,2,17),tblDaily[WardCode],"FW")),"")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  <c r="I63" s="5" t="str">
        <f>IFERROR(IF(SUMIFS(tblDaily[MalariaCases],tblDaily[EntryDate],DATE(2026,2,18),tblDaily[WardCode],"FW")=0,"",SUMIFS(tblDaily[MalariaCases],tblDaily[EntryDate],DATE(2026,2,18),tblDaily[WardCode],"FW")),"")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  <c r="I64" s="5" t="str">
        <f>IFERROR(IF(SUMIFS(tblDaily[MalariaCases],tblDaily[EntryDate],DATE(2026,2,19),tblDaily[WardCode],"FW")=0,"",SUMIFS(tblDaily[MalariaCases],tblDaily[EntryDate],DATE(2026,2,19),tblDaily[WardCode],"FW")),"")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  <c r="I65" s="5" t="str">
        <f>IFERROR(IF(SUMIFS(tblDaily[MalariaCases],tblDaily[EntryDate],DATE(2026,2,20),tblDaily[WardCode],"FW")=0,"",SUMIFS(tblDaily[MalariaCases],tblDaily[EntryDate],DATE(2026,2,20),tblDaily[WardCode],"FW")),"")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  <c r="I66" s="5" t="str">
        <f>IFERROR(IF(SUMIFS(tblDaily[MalariaCases],tblDaily[EntryDate],DATE(2026,2,21),tblDaily[WardCode],"FW")=0,"",SUMIFS(tblDaily[MalariaCases],tblDaily[EntryDate],DATE(2026,2,21),tblDaily[WardCode],"FW")),"")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  <c r="I67" s="5" t="str">
        <f>IFERROR(IF(SUMIFS(tblDaily[MalariaCases],tblDaily[EntryDate],DATE(2026,2,22),tblDaily[WardCode],"FW")=0,"",SUMIFS(tblDaily[MalariaCases],tblDaily[EntryDate],DATE(2026,2,22),tblDaily[WardCode],"FW")),"")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  <c r="I68" s="5" t="str">
        <f>IFERROR(IF(SUMIFS(tblDaily[MalariaCases],tblDaily[EntryDate],DATE(2026,2,23),tblDaily[WardCode],"FW")=0,"",SUMIFS(tblDaily[MalariaCases],tblDaily[EntryDate],DATE(2026,2,23),tblDaily[WardCode],"FW")),"")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  <c r="I69" s="5" t="str">
        <f>IFERROR(IF(SUMIFS(tblDaily[MalariaCases],tblDaily[EntryDate],DATE(2026,2,24),tblDaily[WardCode],"FW")=0,"",SUMIFS(tblDaily[MalariaCases],tblDaily[EntryDate],DATE(2026,2,24),tblDaily[WardCode],"FW")),"")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  <c r="I70" s="5" t="str">
        <f>IFERROR(IF(SUMIFS(tblDaily[MalariaCases],tblDaily[EntryDate],DATE(2026,2,25),tblDaily[WardCode],"FW")=0,"",SUMIFS(tblDaily[MalariaCases],tblDaily[EntryDate],DATE(2026,2,25),tblDaily[WardCode],"FW")),"")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  <c r="I71" s="5" t="str">
        <f>IFERROR(IF(SUMIFS(tblDaily[MalariaCases],tblDaily[EntryDate],DATE(2026,2,26),tblDaily[WardCode],"FW")=0,"",SUMIFS(tblDaily[MalariaCases],tblDaily[EntryDate],DATE(2026,2,26),tblDaily[WardCode],"FW")),"")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  <c r="I72" s="5" t="str">
        <f>IFERROR(IF(SUMIFS(tblDaily[MalariaCases],tblDaily[EntryDate],DATE(2026,2,27),tblDaily[WardCode],"FW")=0,"",SUMIFS(tblDaily[MalariaCases],tblDaily[EntryDate],DATE(2026,2,27),tblDaily[WardCode],"FW")),"")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  <c r="I73" s="5" t="str">
        <f>IFERROR(IF(SUMIFS(tblDaily[MalariaCases],tblDaily[EntryDate],DATE(2026,2,28),tblDaily[WardCode],"FW")=0,"",SUMIFS(tblDaily[MalariaCases],tblDaily[EntryDate],DATE(2026,2,28),tblDaily[WardCode],"FW")),"")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95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IFERROR(SUMIFS(tblDaily[Remaining],tblDaily[EntryDate],DATE(2026,2,28),tblDaily[WardCode],"FW"),0)</f>
        <v>0</v>
      </c>
    </row>
    <row r="83" spans="1:9" x14ac:dyDescent="0.25">
      <c r="A83" s="1" t="s">
        <v>87</v>
      </c>
      <c r="H83" s="7">
        <f>IFERROR(INDEX(tblWardConfig[BedComplement],MATCH("FW",tblWardConfig[Export Year-End],0)),0)</f>
        <v>28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  <c r="I85" s="5" t="str">
        <f>IFERROR(IF(SUMIFS(tblDaily[MalariaCases],tblDaily[EntryDate],DATE(2026,3,1),tblDaily[WardCode],"FW")=0,"",SUMIFS(tblDaily[MalariaCases],tblDaily[EntryDate],DATE(2026,3,1),tblDaily[WardCode],"FW")),"")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  <c r="I86" s="5" t="str">
        <f>IFERROR(IF(SUMIFS(tblDaily[MalariaCases],tblDaily[EntryDate],DATE(2026,3,2),tblDaily[WardCode],"FW")=0,"",SUMIFS(tblDaily[MalariaCases],tblDaily[EntryDate],DATE(2026,3,2),tblDaily[WardCode],"FW")),"")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  <c r="I87" s="5" t="str">
        <f>IFERROR(IF(SUMIFS(tblDaily[MalariaCases],tblDaily[EntryDate],DATE(2026,3,3),tblDaily[WardCode],"FW")=0,"",SUMIFS(tblDaily[MalariaCases],tblDaily[EntryDate],DATE(2026,3,3),tblDaily[WardCode],"FW")),"")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  <c r="I88" s="5" t="str">
        <f>IFERROR(IF(SUMIFS(tblDaily[MalariaCases],tblDaily[EntryDate],DATE(2026,3,4),tblDaily[WardCode],"FW")=0,"",SUMIFS(tblDaily[MalariaCases],tblDaily[EntryDate],DATE(2026,3,4),tblDaily[WardCode],"FW")),"")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  <c r="I89" s="5" t="str">
        <f>IFERROR(IF(SUMIFS(tblDaily[MalariaCases],tblDaily[EntryDate],DATE(2026,3,5),tblDaily[WardCode],"FW")=0,"",SUMIFS(tblDaily[MalariaCases],tblDaily[EntryDate],DATE(2026,3,5),tblDaily[WardCode],"FW")),"")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  <c r="I90" s="5" t="str">
        <f>IFERROR(IF(SUMIFS(tblDaily[MalariaCases],tblDaily[EntryDate],DATE(2026,3,6),tblDaily[WardCode],"FW")=0,"",SUMIFS(tblDaily[MalariaCases],tblDaily[EntryDate],DATE(2026,3,6),tblDaily[WardCode],"FW")),"")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  <c r="I91" s="5" t="str">
        <f>IFERROR(IF(SUMIFS(tblDaily[MalariaCases],tblDaily[EntryDate],DATE(2026,3,7),tblDaily[WardCode],"FW")=0,"",SUMIFS(tblDaily[MalariaCases],tblDaily[EntryDate],DATE(2026,3,7),tblDaily[WardCode],"FW")),"")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  <c r="I92" s="5" t="str">
        <f>IFERROR(IF(SUMIFS(tblDaily[MalariaCases],tblDaily[EntryDate],DATE(2026,3,8),tblDaily[WardCode],"FW")=0,"",SUMIFS(tblDaily[MalariaCases],tblDaily[EntryDate],DATE(2026,3,8),tblDaily[WardCode],"FW")),"")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  <c r="I93" s="5" t="str">
        <f>IFERROR(IF(SUMIFS(tblDaily[MalariaCases],tblDaily[EntryDate],DATE(2026,3,9),tblDaily[WardCode],"FW")=0,"",SUMIFS(tblDaily[MalariaCases],tblDaily[EntryDate],DATE(2026,3,9),tblDaily[WardCode],"FW")),"")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  <c r="I94" s="5" t="str">
        <f>IFERROR(IF(SUMIFS(tblDaily[MalariaCases],tblDaily[EntryDate],DATE(2026,3,10),tblDaily[WardCode],"FW")=0,"",SUMIFS(tblDaily[MalariaCases],tblDaily[EntryDate],DATE(2026,3,10),tblDaily[WardCode],"FW")),"")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  <c r="I95" s="5" t="str">
        <f>IFERROR(IF(SUMIFS(tblDaily[MalariaCases],tblDaily[EntryDate],DATE(2026,3,11),tblDaily[WardCode],"FW")=0,"",SUMIFS(tblDaily[MalariaCases],tblDaily[EntryDate],DATE(2026,3,11),tblDaily[WardCode],"FW")),"")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  <c r="I96" s="5" t="str">
        <f>IFERROR(IF(SUMIFS(tblDaily[MalariaCases],tblDaily[EntryDate],DATE(2026,3,12),tblDaily[WardCode],"FW")=0,"",SUMIFS(tblDaily[MalariaCases],tblDaily[EntryDate],DATE(2026,3,12),tblDaily[WardCode],"FW")),"")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  <c r="I97" s="5" t="str">
        <f>IFERROR(IF(SUMIFS(tblDaily[MalariaCases],tblDaily[EntryDate],DATE(2026,3,13),tblDaily[WardCode],"FW")=0,"",SUMIFS(tblDaily[MalariaCases],tblDaily[EntryDate],DATE(2026,3,13),tblDaily[WardCode],"FW")),"")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  <c r="I98" s="5" t="str">
        <f>IFERROR(IF(SUMIFS(tblDaily[MalariaCases],tblDaily[EntryDate],DATE(2026,3,14),tblDaily[WardCode],"FW")=0,"",SUMIFS(tblDaily[MalariaCases],tblDaily[EntryDate],DATE(2026,3,14),tblDaily[WardCode],"FW")),"")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  <c r="I99" s="5" t="str">
        <f>IFERROR(IF(SUMIFS(tblDaily[MalariaCases],tblDaily[EntryDate],DATE(2026,3,15),tblDaily[WardCode],"FW")=0,"",SUMIFS(tblDaily[MalariaCases],tblDaily[EntryDate],DATE(2026,3,15),tblDaily[WardCode],"FW")),"")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  <c r="I100" s="5" t="str">
        <f>IFERROR(IF(SUMIFS(tblDaily[MalariaCases],tblDaily[EntryDate],DATE(2026,3,16),tblDaily[WardCode],"FW")=0,"",SUMIFS(tblDaily[MalariaCases],tblDaily[EntryDate],DATE(2026,3,16),tblDaily[WardCode],"FW")),"")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  <c r="I101" s="5" t="str">
        <f>IFERROR(IF(SUMIFS(tblDaily[MalariaCases],tblDaily[EntryDate],DATE(2026,3,17),tblDaily[WardCode],"FW")=0,"",SUMIFS(tblDaily[MalariaCases],tblDaily[EntryDate],DATE(2026,3,17),tblDaily[WardCode],"FW")),"")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  <c r="I102" s="5" t="str">
        <f>IFERROR(IF(SUMIFS(tblDaily[MalariaCases],tblDaily[EntryDate],DATE(2026,3,18),tblDaily[WardCode],"FW")=0,"",SUMIFS(tblDaily[MalariaCases],tblDaily[EntryDate],DATE(2026,3,18),tblDaily[WardCode],"FW")),"")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  <c r="I103" s="5" t="str">
        <f>IFERROR(IF(SUMIFS(tblDaily[MalariaCases],tblDaily[EntryDate],DATE(2026,3,19),tblDaily[WardCode],"FW")=0,"",SUMIFS(tblDaily[MalariaCases],tblDaily[EntryDate],DATE(2026,3,19),tblDaily[WardCode],"FW")),"")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  <c r="I104" s="5" t="str">
        <f>IFERROR(IF(SUMIFS(tblDaily[MalariaCases],tblDaily[EntryDate],DATE(2026,3,20),tblDaily[WardCode],"FW")=0,"",SUMIFS(tblDaily[MalariaCases],tblDaily[EntryDate],DATE(2026,3,20),tblDaily[WardCode],"FW")),"")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  <c r="I105" s="5" t="str">
        <f>IFERROR(IF(SUMIFS(tblDaily[MalariaCases],tblDaily[EntryDate],DATE(2026,3,21),tblDaily[WardCode],"FW")=0,"",SUMIFS(tblDaily[MalariaCases],tblDaily[EntryDate],DATE(2026,3,21),tblDaily[WardCode],"FW")),"")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  <c r="I106" s="5" t="str">
        <f>IFERROR(IF(SUMIFS(tblDaily[MalariaCases],tblDaily[EntryDate],DATE(2026,3,22),tblDaily[WardCode],"FW")=0,"",SUMIFS(tblDaily[MalariaCases],tblDaily[EntryDate],DATE(2026,3,22),tblDaily[WardCode],"FW")),"")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  <c r="I107" s="5" t="str">
        <f>IFERROR(IF(SUMIFS(tblDaily[MalariaCases],tblDaily[EntryDate],DATE(2026,3,23),tblDaily[WardCode],"FW")=0,"",SUMIFS(tblDaily[MalariaCases],tblDaily[EntryDate],DATE(2026,3,23),tblDaily[WardCode],"FW")),"")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  <c r="I108" s="5" t="str">
        <f>IFERROR(IF(SUMIFS(tblDaily[MalariaCases],tblDaily[EntryDate],DATE(2026,3,24),tblDaily[WardCode],"FW")=0,"",SUMIFS(tblDaily[MalariaCases],tblDaily[EntryDate],DATE(2026,3,24),tblDaily[WardCode],"FW")),"")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  <c r="I109" s="5" t="str">
        <f>IFERROR(IF(SUMIFS(tblDaily[MalariaCases],tblDaily[EntryDate],DATE(2026,3,25),tblDaily[WardCode],"FW")=0,"",SUMIFS(tblDaily[MalariaCases],tblDaily[EntryDate],DATE(2026,3,25),tblDaily[WardCode],"FW")),"")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  <c r="I110" s="5" t="str">
        <f>IFERROR(IF(SUMIFS(tblDaily[MalariaCases],tblDaily[EntryDate],DATE(2026,3,26),tblDaily[WardCode],"FW")=0,"",SUMIFS(tblDaily[MalariaCases],tblDaily[EntryDate],DATE(2026,3,26),tblDaily[WardCode],"FW")),"")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  <c r="I111" s="5" t="str">
        <f>IFERROR(IF(SUMIFS(tblDaily[MalariaCases],tblDaily[EntryDate],DATE(2026,3,27),tblDaily[WardCode],"FW")=0,"",SUMIFS(tblDaily[MalariaCases],tblDaily[EntryDate],DATE(2026,3,27),tblDaily[WardCode],"FW")),"")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  <c r="I112" s="5" t="str">
        <f>IFERROR(IF(SUMIFS(tblDaily[MalariaCases],tblDaily[EntryDate],DATE(2026,3,28),tblDaily[WardCode],"FW")=0,"",SUMIFS(tblDaily[MalariaCases],tblDaily[EntryDate],DATE(2026,3,28),tblDaily[WardCode],"FW")),"")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  <c r="I113" s="5" t="str">
        <f>IFERROR(IF(SUMIFS(tblDaily[MalariaCases],tblDaily[EntryDate],DATE(2026,3,29),tblDaily[WardCode],"FW")=0,"",SUMIFS(tblDaily[MalariaCases],tblDaily[EntryDate],DATE(2026,3,29),tblDaily[WardCode],"FW")),"")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  <c r="I114" s="5" t="str">
        <f>IFERROR(IF(SUMIFS(tblDaily[MalariaCases],tblDaily[EntryDate],DATE(2026,3,30),tblDaily[WardCode],"FW")=0,"",SUMIFS(tblDaily[MalariaCases],tblDaily[EntryDate],DATE(2026,3,30),tblDaily[WardCode],"FW")),"")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  <c r="I115" s="5" t="str">
        <f>IFERROR(IF(SUMIFS(tblDaily[MalariaCases],tblDaily[EntryDate],DATE(2026,3,31),tblDaily[WardCode],"FW")=0,"",SUMIFS(tblDaily[MalariaCases],tblDaily[EntryDate],DATE(2026,3,31),tblDaily[WardCode],"FW")),"")</f>
        <v/>
      </c>
    </row>
    <row r="116" spans="1:9" x14ac:dyDescent="0.25">
      <c r="A116" s="9" t="s">
        <v>94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95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IFERROR(SUMIFS(tblDaily[Remaining],tblDaily[EntryDate],DATE(2026,3,31),tblDaily[WardCode],"FW"),0)</f>
        <v>0</v>
      </c>
    </row>
    <row r="122" spans="1:9" x14ac:dyDescent="0.25">
      <c r="A122" s="1" t="s">
        <v>87</v>
      </c>
      <c r="H122" s="7">
        <f>IFERROR(INDEX(tblWardConfig[BedComplement],MATCH("FW",tblWardConfig[Export Year-End],0)),0)</f>
        <v>28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  <c r="I124" s="5" t="str">
        <f>IFERROR(IF(SUMIFS(tblDaily[MalariaCases],tblDaily[EntryDate],DATE(2026,4,1),tblDaily[WardCode],"FW")=0,"",SUMIFS(tblDaily[MalariaCases],tblDaily[EntryDate],DATE(2026,4,1),tblDaily[WardCode],"FW")),"")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  <c r="I125" s="5" t="str">
        <f>IFERROR(IF(SUMIFS(tblDaily[MalariaCases],tblDaily[EntryDate],DATE(2026,4,2),tblDaily[WardCode],"FW")=0,"",SUMIFS(tblDaily[MalariaCases],tblDaily[EntryDate],DATE(2026,4,2),tblDaily[WardCode],"FW")),"")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  <c r="I126" s="5" t="str">
        <f>IFERROR(IF(SUMIFS(tblDaily[MalariaCases],tblDaily[EntryDate],DATE(2026,4,3),tblDaily[WardCode],"FW")=0,"",SUMIFS(tblDaily[MalariaCases],tblDaily[EntryDate],DATE(2026,4,3),tblDaily[WardCode],"FW")),"")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  <c r="I127" s="5" t="str">
        <f>IFERROR(IF(SUMIFS(tblDaily[MalariaCases],tblDaily[EntryDate],DATE(2026,4,4),tblDaily[WardCode],"FW")=0,"",SUMIFS(tblDaily[MalariaCases],tblDaily[EntryDate],DATE(2026,4,4),tblDaily[WardCode],"FW")),"")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  <c r="I128" s="5" t="str">
        <f>IFERROR(IF(SUMIFS(tblDaily[MalariaCases],tblDaily[EntryDate],DATE(2026,4,5),tblDaily[WardCode],"FW")=0,"",SUMIFS(tblDaily[MalariaCases],tblDaily[EntryDate],DATE(2026,4,5),tblDaily[WardCode],"FW")),"")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  <c r="I129" s="5" t="str">
        <f>IFERROR(IF(SUMIFS(tblDaily[MalariaCases],tblDaily[EntryDate],DATE(2026,4,6),tblDaily[WardCode],"FW")=0,"",SUMIFS(tblDaily[MalariaCases],tblDaily[EntryDate],DATE(2026,4,6),tblDaily[WardCode],"FW")),"")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  <c r="I130" s="5" t="str">
        <f>IFERROR(IF(SUMIFS(tblDaily[MalariaCases],tblDaily[EntryDate],DATE(2026,4,7),tblDaily[WardCode],"FW")=0,"",SUMIFS(tblDaily[MalariaCases],tblDaily[EntryDate],DATE(2026,4,7),tblDaily[WardCode],"FW")),"")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  <c r="I131" s="5" t="str">
        <f>IFERROR(IF(SUMIFS(tblDaily[MalariaCases],tblDaily[EntryDate],DATE(2026,4,8),tblDaily[WardCode],"FW")=0,"",SUMIFS(tblDaily[MalariaCases],tblDaily[EntryDate],DATE(2026,4,8),tblDaily[WardCode],"FW")),"")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  <c r="I132" s="5" t="str">
        <f>IFERROR(IF(SUMIFS(tblDaily[MalariaCases],tblDaily[EntryDate],DATE(2026,4,9),tblDaily[WardCode],"FW")=0,"",SUMIFS(tblDaily[MalariaCases],tblDaily[EntryDate],DATE(2026,4,9),tblDaily[WardCode],"FW")),"")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  <c r="I133" s="5" t="str">
        <f>IFERROR(IF(SUMIFS(tblDaily[MalariaCases],tblDaily[EntryDate],DATE(2026,4,10),tblDaily[WardCode],"FW")=0,"",SUMIFS(tblDaily[MalariaCases],tblDaily[EntryDate],DATE(2026,4,10),tblDaily[WardCode],"FW")),"")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  <c r="I134" s="5" t="str">
        <f>IFERROR(IF(SUMIFS(tblDaily[MalariaCases],tblDaily[EntryDate],DATE(2026,4,11),tblDaily[WardCode],"FW")=0,"",SUMIFS(tblDaily[MalariaCases],tblDaily[EntryDate],DATE(2026,4,11),tblDaily[WardCode],"FW")),"")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  <c r="I135" s="5" t="str">
        <f>IFERROR(IF(SUMIFS(tblDaily[MalariaCases],tblDaily[EntryDate],DATE(2026,4,12),tblDaily[WardCode],"FW")=0,"",SUMIFS(tblDaily[MalariaCases],tblDaily[EntryDate],DATE(2026,4,12),tblDaily[WardCode],"FW")),"")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  <c r="I136" s="5" t="str">
        <f>IFERROR(IF(SUMIFS(tblDaily[MalariaCases],tblDaily[EntryDate],DATE(2026,4,13),tblDaily[WardCode],"FW")=0,"",SUMIFS(tblDaily[MalariaCases],tblDaily[EntryDate],DATE(2026,4,13),tblDaily[WardCode],"FW")),"")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  <c r="I137" s="5" t="str">
        <f>IFERROR(IF(SUMIFS(tblDaily[MalariaCases],tblDaily[EntryDate],DATE(2026,4,14),tblDaily[WardCode],"FW")=0,"",SUMIFS(tblDaily[MalariaCases],tblDaily[EntryDate],DATE(2026,4,14),tblDaily[WardCode],"FW")),"")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  <c r="I138" s="5" t="str">
        <f>IFERROR(IF(SUMIFS(tblDaily[MalariaCases],tblDaily[EntryDate],DATE(2026,4,15),tblDaily[WardCode],"FW")=0,"",SUMIFS(tblDaily[MalariaCases],tblDaily[EntryDate],DATE(2026,4,15),tblDaily[WardCode],"FW")),"")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  <c r="I139" s="5" t="str">
        <f>IFERROR(IF(SUMIFS(tblDaily[MalariaCases],tblDaily[EntryDate],DATE(2026,4,16),tblDaily[WardCode],"FW")=0,"",SUMIFS(tblDaily[MalariaCases],tblDaily[EntryDate],DATE(2026,4,16),tblDaily[WardCode],"FW")),"")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  <c r="I140" s="5" t="str">
        <f>IFERROR(IF(SUMIFS(tblDaily[MalariaCases],tblDaily[EntryDate],DATE(2026,4,17),tblDaily[WardCode],"FW")=0,"",SUMIFS(tblDaily[MalariaCases],tblDaily[EntryDate],DATE(2026,4,17),tblDaily[WardCode],"FW")),"")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  <c r="I141" s="5" t="str">
        <f>IFERROR(IF(SUMIFS(tblDaily[MalariaCases],tblDaily[EntryDate],DATE(2026,4,18),tblDaily[WardCode],"FW")=0,"",SUMIFS(tblDaily[MalariaCases],tblDaily[EntryDate],DATE(2026,4,18),tblDaily[WardCode],"FW")),"")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  <c r="I142" s="5" t="str">
        <f>IFERROR(IF(SUMIFS(tblDaily[MalariaCases],tblDaily[EntryDate],DATE(2026,4,19),tblDaily[WardCode],"FW")=0,"",SUMIFS(tblDaily[MalariaCases],tblDaily[EntryDate],DATE(2026,4,19),tblDaily[WardCode],"FW")),"")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  <c r="I143" s="5" t="str">
        <f>IFERROR(IF(SUMIFS(tblDaily[MalariaCases],tblDaily[EntryDate],DATE(2026,4,20),tblDaily[WardCode],"FW")=0,"",SUMIFS(tblDaily[MalariaCases],tblDaily[EntryDate],DATE(2026,4,20),tblDaily[WardCode],"FW")),"")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  <c r="I144" s="5" t="str">
        <f>IFERROR(IF(SUMIFS(tblDaily[MalariaCases],tblDaily[EntryDate],DATE(2026,4,21),tblDaily[WardCode],"FW")=0,"",SUMIFS(tblDaily[MalariaCases],tblDaily[EntryDate],DATE(2026,4,21),tblDaily[WardCode],"FW")),"")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  <c r="I145" s="5" t="str">
        <f>IFERROR(IF(SUMIFS(tblDaily[MalariaCases],tblDaily[EntryDate],DATE(2026,4,22),tblDaily[WardCode],"FW")=0,"",SUMIFS(tblDaily[MalariaCases],tblDaily[EntryDate],DATE(2026,4,22),tblDaily[WardCode],"FW")),"")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  <c r="I146" s="5" t="str">
        <f>IFERROR(IF(SUMIFS(tblDaily[MalariaCases],tblDaily[EntryDate],DATE(2026,4,23),tblDaily[WardCode],"FW")=0,"",SUMIFS(tblDaily[MalariaCases],tblDaily[EntryDate],DATE(2026,4,23),tblDaily[WardCode],"FW")),"")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  <c r="I147" s="5" t="str">
        <f>IFERROR(IF(SUMIFS(tblDaily[MalariaCases],tblDaily[EntryDate],DATE(2026,4,24),tblDaily[WardCode],"FW")=0,"",SUMIFS(tblDaily[MalariaCases],tblDaily[EntryDate],DATE(2026,4,24),tblDaily[WardCode],"FW")),"")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  <c r="I148" s="5" t="str">
        <f>IFERROR(IF(SUMIFS(tblDaily[MalariaCases],tblDaily[EntryDate],DATE(2026,4,25),tblDaily[WardCode],"FW")=0,"",SUMIFS(tblDaily[MalariaCases],tblDaily[EntryDate],DATE(2026,4,25),tblDaily[WardCode],"FW")),"")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  <c r="I149" s="5" t="str">
        <f>IFERROR(IF(SUMIFS(tblDaily[MalariaCases],tblDaily[EntryDate],DATE(2026,4,26),tblDaily[WardCode],"FW")=0,"",SUMIFS(tblDaily[MalariaCases],tblDaily[EntryDate],DATE(2026,4,26),tblDaily[WardCode],"FW")),"")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  <c r="I150" s="5" t="str">
        <f>IFERROR(IF(SUMIFS(tblDaily[MalariaCases],tblDaily[EntryDate],DATE(2026,4,27),tblDaily[WardCode],"FW")=0,"",SUMIFS(tblDaily[MalariaCases],tblDaily[EntryDate],DATE(2026,4,27),tblDaily[WardCode],"FW")),"")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  <c r="I151" s="5" t="str">
        <f>IFERROR(IF(SUMIFS(tblDaily[MalariaCases],tblDaily[EntryDate],DATE(2026,4,28),tblDaily[WardCode],"FW")=0,"",SUMIFS(tblDaily[MalariaCases],tblDaily[EntryDate],DATE(2026,4,28),tblDaily[WardCode],"FW")),"")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  <c r="I152" s="5" t="str">
        <f>IFERROR(IF(SUMIFS(tblDaily[MalariaCases],tblDaily[EntryDate],DATE(2026,4,29),tblDaily[WardCode],"FW")=0,"",SUMIFS(tblDaily[MalariaCases],tblDaily[EntryDate],DATE(2026,4,29),tblDaily[WardCode],"FW")),"")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  <c r="I153" s="5" t="str">
        <f>IFERROR(IF(SUMIFS(tblDaily[MalariaCases],tblDaily[EntryDate],DATE(2026,4,30),tblDaily[WardCode],"FW")=0,"",SUMIFS(tblDaily[MalariaCases],tblDaily[EntryDate],DATE(2026,4,30),tblDaily[WardCode],"FW")),"")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95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IFERROR(SUMIFS(tblDaily[Remaining],tblDaily[EntryDate],DATE(2026,4,30),tblDaily[WardCode],"FW"),0)</f>
        <v>0</v>
      </c>
    </row>
    <row r="161" spans="1:9" x14ac:dyDescent="0.25">
      <c r="A161" s="1" t="s">
        <v>87</v>
      </c>
      <c r="H161" s="7">
        <f>IFERROR(INDEX(tblWardConfig[BedComplement],MATCH("FW",tblWardConfig[Export Year-End],0)),0)</f>
        <v>28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  <c r="I163" s="5" t="str">
        <f>IFERROR(IF(SUMIFS(tblDaily[MalariaCases],tblDaily[EntryDate],DATE(2026,5,1),tblDaily[WardCode],"FW")=0,"",SUMIFS(tblDaily[MalariaCases],tblDaily[EntryDate],DATE(2026,5,1),tblDaily[WardCode],"FW")),"")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  <c r="I164" s="5" t="str">
        <f>IFERROR(IF(SUMIFS(tblDaily[MalariaCases],tblDaily[EntryDate],DATE(2026,5,2),tblDaily[WardCode],"FW")=0,"",SUMIFS(tblDaily[MalariaCases],tblDaily[EntryDate],DATE(2026,5,2),tblDaily[WardCode],"FW")),"")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  <c r="I165" s="5" t="str">
        <f>IFERROR(IF(SUMIFS(tblDaily[MalariaCases],tblDaily[EntryDate],DATE(2026,5,3),tblDaily[WardCode],"FW")=0,"",SUMIFS(tblDaily[MalariaCases],tblDaily[EntryDate],DATE(2026,5,3),tblDaily[WardCode],"FW")),"")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  <c r="I166" s="5" t="str">
        <f>IFERROR(IF(SUMIFS(tblDaily[MalariaCases],tblDaily[EntryDate],DATE(2026,5,4),tblDaily[WardCode],"FW")=0,"",SUMIFS(tblDaily[MalariaCases],tblDaily[EntryDate],DATE(2026,5,4),tblDaily[WardCode],"FW")),"")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  <c r="I167" s="5" t="str">
        <f>IFERROR(IF(SUMIFS(tblDaily[MalariaCases],tblDaily[EntryDate],DATE(2026,5,5),tblDaily[WardCode],"FW")=0,"",SUMIFS(tblDaily[MalariaCases],tblDaily[EntryDate],DATE(2026,5,5),tblDaily[WardCode],"FW")),"")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  <c r="I168" s="5" t="str">
        <f>IFERROR(IF(SUMIFS(tblDaily[MalariaCases],tblDaily[EntryDate],DATE(2026,5,6),tblDaily[WardCode],"FW")=0,"",SUMIFS(tblDaily[MalariaCases],tblDaily[EntryDate],DATE(2026,5,6),tblDaily[WardCode],"FW")),"")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  <c r="I169" s="5" t="str">
        <f>IFERROR(IF(SUMIFS(tblDaily[MalariaCases],tblDaily[EntryDate],DATE(2026,5,7),tblDaily[WardCode],"FW")=0,"",SUMIFS(tblDaily[MalariaCases],tblDaily[EntryDate],DATE(2026,5,7),tblDaily[WardCode],"FW")),"")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  <c r="I170" s="5" t="str">
        <f>IFERROR(IF(SUMIFS(tblDaily[MalariaCases],tblDaily[EntryDate],DATE(2026,5,8),tblDaily[WardCode],"FW")=0,"",SUMIFS(tblDaily[MalariaCases],tblDaily[EntryDate],DATE(2026,5,8),tblDaily[WardCode],"FW")),"")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  <c r="I171" s="5" t="str">
        <f>IFERROR(IF(SUMIFS(tblDaily[MalariaCases],tblDaily[EntryDate],DATE(2026,5,9),tblDaily[WardCode],"FW")=0,"",SUMIFS(tblDaily[MalariaCases],tblDaily[EntryDate],DATE(2026,5,9),tblDaily[WardCode],"FW")),"")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  <c r="I172" s="5" t="str">
        <f>IFERROR(IF(SUMIFS(tblDaily[MalariaCases],tblDaily[EntryDate],DATE(2026,5,10),tblDaily[WardCode],"FW")=0,"",SUMIFS(tblDaily[MalariaCases],tblDaily[EntryDate],DATE(2026,5,10),tblDaily[WardCode],"FW")),"")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  <c r="I173" s="5" t="str">
        <f>IFERROR(IF(SUMIFS(tblDaily[MalariaCases],tblDaily[EntryDate],DATE(2026,5,11),tblDaily[WardCode],"FW")=0,"",SUMIFS(tblDaily[MalariaCases],tblDaily[EntryDate],DATE(2026,5,11),tblDaily[WardCode],"FW")),"")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  <c r="I174" s="5" t="str">
        <f>IFERROR(IF(SUMIFS(tblDaily[MalariaCases],tblDaily[EntryDate],DATE(2026,5,12),tblDaily[WardCode],"FW")=0,"",SUMIFS(tblDaily[MalariaCases],tblDaily[EntryDate],DATE(2026,5,12),tblDaily[WardCode],"FW")),"")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  <c r="I175" s="5" t="str">
        <f>IFERROR(IF(SUMIFS(tblDaily[MalariaCases],tblDaily[EntryDate],DATE(2026,5,13),tblDaily[WardCode],"FW")=0,"",SUMIFS(tblDaily[MalariaCases],tblDaily[EntryDate],DATE(2026,5,13),tblDaily[WardCode],"FW")),"")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  <c r="I176" s="5" t="str">
        <f>IFERROR(IF(SUMIFS(tblDaily[MalariaCases],tblDaily[EntryDate],DATE(2026,5,14),tblDaily[WardCode],"FW")=0,"",SUMIFS(tblDaily[MalariaCases],tblDaily[EntryDate],DATE(2026,5,14),tblDaily[WardCode],"FW")),"")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  <c r="I177" s="5" t="str">
        <f>IFERROR(IF(SUMIFS(tblDaily[MalariaCases],tblDaily[EntryDate],DATE(2026,5,15),tblDaily[WardCode],"FW")=0,"",SUMIFS(tblDaily[MalariaCases],tblDaily[EntryDate],DATE(2026,5,15),tblDaily[WardCode],"FW")),"")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  <c r="I178" s="5" t="str">
        <f>IFERROR(IF(SUMIFS(tblDaily[MalariaCases],tblDaily[EntryDate],DATE(2026,5,16),tblDaily[WardCode],"FW")=0,"",SUMIFS(tblDaily[MalariaCases],tblDaily[EntryDate],DATE(2026,5,16),tblDaily[WardCode],"FW")),"")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  <c r="I179" s="5" t="str">
        <f>IFERROR(IF(SUMIFS(tblDaily[MalariaCases],tblDaily[EntryDate],DATE(2026,5,17),tblDaily[WardCode],"FW")=0,"",SUMIFS(tblDaily[MalariaCases],tblDaily[EntryDate],DATE(2026,5,17),tblDaily[WardCode],"FW")),"")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  <c r="I180" s="5" t="str">
        <f>IFERROR(IF(SUMIFS(tblDaily[MalariaCases],tblDaily[EntryDate],DATE(2026,5,18),tblDaily[WardCode],"FW")=0,"",SUMIFS(tblDaily[MalariaCases],tblDaily[EntryDate],DATE(2026,5,18),tblDaily[WardCode],"FW")),"")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  <c r="I181" s="5" t="str">
        <f>IFERROR(IF(SUMIFS(tblDaily[MalariaCases],tblDaily[EntryDate],DATE(2026,5,19),tblDaily[WardCode],"FW")=0,"",SUMIFS(tblDaily[MalariaCases],tblDaily[EntryDate],DATE(2026,5,19),tblDaily[WardCode],"FW")),"")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  <c r="I182" s="5" t="str">
        <f>IFERROR(IF(SUMIFS(tblDaily[MalariaCases],tblDaily[EntryDate],DATE(2026,5,20),tblDaily[WardCode],"FW")=0,"",SUMIFS(tblDaily[MalariaCases],tblDaily[EntryDate],DATE(2026,5,20),tblDaily[WardCode],"FW")),"")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  <c r="I183" s="5" t="str">
        <f>IFERROR(IF(SUMIFS(tblDaily[MalariaCases],tblDaily[EntryDate],DATE(2026,5,21),tblDaily[WardCode],"FW")=0,"",SUMIFS(tblDaily[MalariaCases],tblDaily[EntryDate],DATE(2026,5,21),tblDaily[WardCode],"FW")),"")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  <c r="I184" s="5" t="str">
        <f>IFERROR(IF(SUMIFS(tblDaily[MalariaCases],tblDaily[EntryDate],DATE(2026,5,22),tblDaily[WardCode],"FW")=0,"",SUMIFS(tblDaily[MalariaCases],tblDaily[EntryDate],DATE(2026,5,22),tblDaily[WardCode],"FW")),"")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  <c r="I185" s="5" t="str">
        <f>IFERROR(IF(SUMIFS(tblDaily[MalariaCases],tblDaily[EntryDate],DATE(2026,5,23),tblDaily[WardCode],"FW")=0,"",SUMIFS(tblDaily[MalariaCases],tblDaily[EntryDate],DATE(2026,5,23),tblDaily[WardCode],"FW")),"")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  <c r="I186" s="5" t="str">
        <f>IFERROR(IF(SUMIFS(tblDaily[MalariaCases],tblDaily[EntryDate],DATE(2026,5,24),tblDaily[WardCode],"FW")=0,"",SUMIFS(tblDaily[MalariaCases],tblDaily[EntryDate],DATE(2026,5,24),tblDaily[WardCode],"FW")),"")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  <c r="I187" s="5" t="str">
        <f>IFERROR(IF(SUMIFS(tblDaily[MalariaCases],tblDaily[EntryDate],DATE(2026,5,25),tblDaily[WardCode],"FW")=0,"",SUMIFS(tblDaily[MalariaCases],tblDaily[EntryDate],DATE(2026,5,25),tblDaily[WardCode],"FW")),"")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  <c r="I188" s="5" t="str">
        <f>IFERROR(IF(SUMIFS(tblDaily[MalariaCases],tblDaily[EntryDate],DATE(2026,5,26),tblDaily[WardCode],"FW")=0,"",SUMIFS(tblDaily[MalariaCases],tblDaily[EntryDate],DATE(2026,5,26),tblDaily[WardCode],"FW")),"")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  <c r="I189" s="5" t="str">
        <f>IFERROR(IF(SUMIFS(tblDaily[MalariaCases],tblDaily[EntryDate],DATE(2026,5,27),tblDaily[WardCode],"FW")=0,"",SUMIFS(tblDaily[MalariaCases],tblDaily[EntryDate],DATE(2026,5,27),tblDaily[WardCode],"FW")),"")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  <c r="I190" s="5" t="str">
        <f>IFERROR(IF(SUMIFS(tblDaily[MalariaCases],tblDaily[EntryDate],DATE(2026,5,28),tblDaily[WardCode],"FW")=0,"",SUMIFS(tblDaily[MalariaCases],tblDaily[EntryDate],DATE(2026,5,28),tblDaily[WardCode],"FW")),"")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  <c r="I191" s="5" t="str">
        <f>IFERROR(IF(SUMIFS(tblDaily[MalariaCases],tblDaily[EntryDate],DATE(2026,5,29),tblDaily[WardCode],"FW")=0,"",SUMIFS(tblDaily[MalariaCases],tblDaily[EntryDate],DATE(2026,5,29),tblDaily[WardCode],"FW")),"")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  <c r="I192" s="5" t="str">
        <f>IFERROR(IF(SUMIFS(tblDaily[MalariaCases],tblDaily[EntryDate],DATE(2026,5,30),tblDaily[WardCode],"FW")=0,"",SUMIFS(tblDaily[MalariaCases],tblDaily[EntryDate],DATE(2026,5,30),tblDaily[WardCode],"FW")),"")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  <c r="I193" s="5" t="str">
        <f>IFERROR(IF(SUMIFS(tblDaily[MalariaCases],tblDaily[EntryDate],DATE(2026,5,31),tblDaily[WardCode],"FW")=0,"",SUMIFS(tblDaily[MalariaCases],tblDaily[EntryDate],DATE(2026,5,31),tblDaily[WardCode],"FW")),"")</f>
        <v/>
      </c>
    </row>
    <row r="194" spans="1:9" x14ac:dyDescent="0.25">
      <c r="A194" s="9" t="s">
        <v>94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95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IFERROR(SUMIFS(tblDaily[Remaining],tblDaily[EntryDate],DATE(2026,5,31),tblDaily[WardCode],"FW"),0)</f>
        <v>0</v>
      </c>
    </row>
    <row r="200" spans="1:9" x14ac:dyDescent="0.25">
      <c r="A200" s="1" t="s">
        <v>87</v>
      </c>
      <c r="H200" s="7">
        <f>IFERROR(INDEX(tblWardConfig[BedComplement],MATCH("FW",tblWardConfig[Export Year-End],0)),0)</f>
        <v>28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  <c r="I202" s="5" t="str">
        <f>IFERROR(IF(SUMIFS(tblDaily[MalariaCases],tblDaily[EntryDate],DATE(2026,6,1),tblDaily[WardCode],"FW")=0,"",SUMIFS(tblDaily[MalariaCases],tblDaily[EntryDate],DATE(2026,6,1),tblDaily[WardCode],"FW")),"")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  <c r="I203" s="5" t="str">
        <f>IFERROR(IF(SUMIFS(tblDaily[MalariaCases],tblDaily[EntryDate],DATE(2026,6,2),tblDaily[WardCode],"FW")=0,"",SUMIFS(tblDaily[MalariaCases],tblDaily[EntryDate],DATE(2026,6,2),tblDaily[WardCode],"FW")),"")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  <c r="I204" s="5" t="str">
        <f>IFERROR(IF(SUMIFS(tblDaily[MalariaCases],tblDaily[EntryDate],DATE(2026,6,3),tblDaily[WardCode],"FW")=0,"",SUMIFS(tblDaily[MalariaCases],tblDaily[EntryDate],DATE(2026,6,3),tblDaily[WardCode],"FW")),"")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  <c r="I205" s="5" t="str">
        <f>IFERROR(IF(SUMIFS(tblDaily[MalariaCases],tblDaily[EntryDate],DATE(2026,6,4),tblDaily[WardCode],"FW")=0,"",SUMIFS(tblDaily[MalariaCases],tblDaily[EntryDate],DATE(2026,6,4),tblDaily[WardCode],"FW")),"")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  <c r="I206" s="5" t="str">
        <f>IFERROR(IF(SUMIFS(tblDaily[MalariaCases],tblDaily[EntryDate],DATE(2026,6,5),tblDaily[WardCode],"FW")=0,"",SUMIFS(tblDaily[MalariaCases],tblDaily[EntryDate],DATE(2026,6,5),tblDaily[WardCode],"FW")),"")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  <c r="I207" s="5" t="str">
        <f>IFERROR(IF(SUMIFS(tblDaily[MalariaCases],tblDaily[EntryDate],DATE(2026,6,6),tblDaily[WardCode],"FW")=0,"",SUMIFS(tblDaily[MalariaCases],tblDaily[EntryDate],DATE(2026,6,6),tblDaily[WardCode],"FW")),"")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  <c r="I208" s="5" t="str">
        <f>IFERROR(IF(SUMIFS(tblDaily[MalariaCases],tblDaily[EntryDate],DATE(2026,6,7),tblDaily[WardCode],"FW")=0,"",SUMIFS(tblDaily[MalariaCases],tblDaily[EntryDate],DATE(2026,6,7),tblDaily[WardCode],"FW")),"")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  <c r="I209" s="5" t="str">
        <f>IFERROR(IF(SUMIFS(tblDaily[MalariaCases],tblDaily[EntryDate],DATE(2026,6,8),tblDaily[WardCode],"FW")=0,"",SUMIFS(tblDaily[MalariaCases],tblDaily[EntryDate],DATE(2026,6,8),tblDaily[WardCode],"FW")),"")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  <c r="I210" s="5" t="str">
        <f>IFERROR(IF(SUMIFS(tblDaily[MalariaCases],tblDaily[EntryDate],DATE(2026,6,9),tblDaily[WardCode],"FW")=0,"",SUMIFS(tblDaily[MalariaCases],tblDaily[EntryDate],DATE(2026,6,9),tblDaily[WardCode],"FW")),"")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  <c r="I211" s="5" t="str">
        <f>IFERROR(IF(SUMIFS(tblDaily[MalariaCases],tblDaily[EntryDate],DATE(2026,6,10),tblDaily[WardCode],"FW")=0,"",SUMIFS(tblDaily[MalariaCases],tblDaily[EntryDate],DATE(2026,6,10),tblDaily[WardCode],"FW")),"")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  <c r="I212" s="5" t="str">
        <f>IFERROR(IF(SUMIFS(tblDaily[MalariaCases],tblDaily[EntryDate],DATE(2026,6,11),tblDaily[WardCode],"FW")=0,"",SUMIFS(tblDaily[MalariaCases],tblDaily[EntryDate],DATE(2026,6,11),tblDaily[WardCode],"FW")),"")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  <c r="I213" s="5" t="str">
        <f>IFERROR(IF(SUMIFS(tblDaily[MalariaCases],tblDaily[EntryDate],DATE(2026,6,12),tblDaily[WardCode],"FW")=0,"",SUMIFS(tblDaily[MalariaCases],tblDaily[EntryDate],DATE(2026,6,12),tblDaily[WardCode],"FW")),"")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  <c r="I214" s="5" t="str">
        <f>IFERROR(IF(SUMIFS(tblDaily[MalariaCases],tblDaily[EntryDate],DATE(2026,6,13),tblDaily[WardCode],"FW")=0,"",SUMIFS(tblDaily[MalariaCases],tblDaily[EntryDate],DATE(2026,6,13),tblDaily[WardCode],"FW")),"")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  <c r="I215" s="5" t="str">
        <f>IFERROR(IF(SUMIFS(tblDaily[MalariaCases],tblDaily[EntryDate],DATE(2026,6,14),tblDaily[WardCode],"FW")=0,"",SUMIFS(tblDaily[MalariaCases],tblDaily[EntryDate],DATE(2026,6,14),tblDaily[WardCode],"FW")),"")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  <c r="I216" s="5" t="str">
        <f>IFERROR(IF(SUMIFS(tblDaily[MalariaCases],tblDaily[EntryDate],DATE(2026,6,15),tblDaily[WardCode],"FW")=0,"",SUMIFS(tblDaily[MalariaCases],tblDaily[EntryDate],DATE(2026,6,15),tblDaily[WardCode],"FW")),"")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  <c r="I217" s="5" t="str">
        <f>IFERROR(IF(SUMIFS(tblDaily[MalariaCases],tblDaily[EntryDate],DATE(2026,6,16),tblDaily[WardCode],"FW")=0,"",SUMIFS(tblDaily[MalariaCases],tblDaily[EntryDate],DATE(2026,6,16),tblDaily[WardCode],"FW")),"")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  <c r="I218" s="5" t="str">
        <f>IFERROR(IF(SUMIFS(tblDaily[MalariaCases],tblDaily[EntryDate],DATE(2026,6,17),tblDaily[WardCode],"FW")=0,"",SUMIFS(tblDaily[MalariaCases],tblDaily[EntryDate],DATE(2026,6,17),tblDaily[WardCode],"FW")),"")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  <c r="I219" s="5" t="str">
        <f>IFERROR(IF(SUMIFS(tblDaily[MalariaCases],tblDaily[EntryDate],DATE(2026,6,18),tblDaily[WardCode],"FW")=0,"",SUMIFS(tblDaily[MalariaCases],tblDaily[EntryDate],DATE(2026,6,18),tblDaily[WardCode],"FW")),"")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  <c r="I220" s="5" t="str">
        <f>IFERROR(IF(SUMIFS(tblDaily[MalariaCases],tblDaily[EntryDate],DATE(2026,6,19),tblDaily[WardCode],"FW")=0,"",SUMIFS(tblDaily[MalariaCases],tblDaily[EntryDate],DATE(2026,6,19),tblDaily[WardCode],"FW")),"")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  <c r="I221" s="5" t="str">
        <f>IFERROR(IF(SUMIFS(tblDaily[MalariaCases],tblDaily[EntryDate],DATE(2026,6,20),tblDaily[WardCode],"FW")=0,"",SUMIFS(tblDaily[MalariaCases],tblDaily[EntryDate],DATE(2026,6,20),tblDaily[WardCode],"FW")),"")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  <c r="I222" s="5" t="str">
        <f>IFERROR(IF(SUMIFS(tblDaily[MalariaCases],tblDaily[EntryDate],DATE(2026,6,21),tblDaily[WardCode],"FW")=0,"",SUMIFS(tblDaily[MalariaCases],tblDaily[EntryDate],DATE(2026,6,21),tblDaily[WardCode],"FW")),"")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  <c r="I223" s="5" t="str">
        <f>IFERROR(IF(SUMIFS(tblDaily[MalariaCases],tblDaily[EntryDate],DATE(2026,6,22),tblDaily[WardCode],"FW")=0,"",SUMIFS(tblDaily[MalariaCases],tblDaily[EntryDate],DATE(2026,6,22),tblDaily[WardCode],"FW")),"")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  <c r="I224" s="5" t="str">
        <f>IFERROR(IF(SUMIFS(tblDaily[MalariaCases],tblDaily[EntryDate],DATE(2026,6,23),tblDaily[WardCode],"FW")=0,"",SUMIFS(tblDaily[MalariaCases],tblDaily[EntryDate],DATE(2026,6,23),tblDaily[WardCode],"FW")),"")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  <c r="I225" s="5" t="str">
        <f>IFERROR(IF(SUMIFS(tblDaily[MalariaCases],tblDaily[EntryDate],DATE(2026,6,24),tblDaily[WardCode],"FW")=0,"",SUMIFS(tblDaily[MalariaCases],tblDaily[EntryDate],DATE(2026,6,24),tblDaily[WardCode],"FW")),"")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  <c r="I226" s="5" t="str">
        <f>IFERROR(IF(SUMIFS(tblDaily[MalariaCases],tblDaily[EntryDate],DATE(2026,6,25),tblDaily[WardCode],"FW")=0,"",SUMIFS(tblDaily[MalariaCases],tblDaily[EntryDate],DATE(2026,6,25),tblDaily[WardCode],"FW")),"")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  <c r="I227" s="5" t="str">
        <f>IFERROR(IF(SUMIFS(tblDaily[MalariaCases],tblDaily[EntryDate],DATE(2026,6,26),tblDaily[WardCode],"FW")=0,"",SUMIFS(tblDaily[MalariaCases],tblDaily[EntryDate],DATE(2026,6,26),tblDaily[WardCode],"FW")),"")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  <c r="I228" s="5" t="str">
        <f>IFERROR(IF(SUMIFS(tblDaily[MalariaCases],tblDaily[EntryDate],DATE(2026,6,27),tblDaily[WardCode],"FW")=0,"",SUMIFS(tblDaily[MalariaCases],tblDaily[EntryDate],DATE(2026,6,27),tblDaily[WardCode],"FW")),"")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  <c r="I229" s="5" t="str">
        <f>IFERROR(IF(SUMIFS(tblDaily[MalariaCases],tblDaily[EntryDate],DATE(2026,6,28),tblDaily[WardCode],"FW")=0,"",SUMIFS(tblDaily[MalariaCases],tblDaily[EntryDate],DATE(2026,6,28),tblDaily[WardCode],"FW")),"")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  <c r="I230" s="5" t="str">
        <f>IFERROR(IF(SUMIFS(tblDaily[MalariaCases],tblDaily[EntryDate],DATE(2026,6,29),tblDaily[WardCode],"FW")=0,"",SUMIFS(tblDaily[MalariaCases],tblDaily[EntryDate],DATE(2026,6,29),tblDaily[WardCode],"FW")),"")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  <c r="I231" s="5" t="str">
        <f>IFERROR(IF(SUMIFS(tblDaily[MalariaCases],tblDaily[EntryDate],DATE(2026,6,30),tblDaily[WardCode],"FW")=0,"",SUMIFS(tblDaily[MalariaCases],tblDaily[EntryDate],DATE(2026,6,30),tblDaily[WardCode],"FW")),"")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95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IFERROR(SUMIFS(tblDaily[Remaining],tblDaily[EntryDate],DATE(2026,6,30),tblDaily[WardCode],"FW"),0)</f>
        <v>0</v>
      </c>
    </row>
    <row r="239" spans="1:9" x14ac:dyDescent="0.25">
      <c r="A239" s="1" t="s">
        <v>87</v>
      </c>
      <c r="H239" s="7">
        <f>IFERROR(INDEX(tblWardConfig[BedComplement],MATCH("FW",tblWardConfig[Export Year-End],0)),0)</f>
        <v>28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  <c r="I241" s="5" t="str">
        <f>IFERROR(IF(SUMIFS(tblDaily[MalariaCases],tblDaily[EntryDate],DATE(2026,7,1),tblDaily[WardCode],"FW")=0,"",SUMIFS(tblDaily[MalariaCases],tblDaily[EntryDate],DATE(2026,7,1),tblDaily[WardCode],"FW")),"")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  <c r="I242" s="5" t="str">
        <f>IFERROR(IF(SUMIFS(tblDaily[MalariaCases],tblDaily[EntryDate],DATE(2026,7,2),tblDaily[WardCode],"FW")=0,"",SUMIFS(tblDaily[MalariaCases],tblDaily[EntryDate],DATE(2026,7,2),tblDaily[WardCode],"FW")),"")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  <c r="I243" s="5" t="str">
        <f>IFERROR(IF(SUMIFS(tblDaily[MalariaCases],tblDaily[EntryDate],DATE(2026,7,3),tblDaily[WardCode],"FW")=0,"",SUMIFS(tblDaily[MalariaCases],tblDaily[EntryDate],DATE(2026,7,3),tblDaily[WardCode],"FW")),"")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  <c r="I244" s="5" t="str">
        <f>IFERROR(IF(SUMIFS(tblDaily[MalariaCases],tblDaily[EntryDate],DATE(2026,7,4),tblDaily[WardCode],"FW")=0,"",SUMIFS(tblDaily[MalariaCases],tblDaily[EntryDate],DATE(2026,7,4),tblDaily[WardCode],"FW")),"")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  <c r="I245" s="5" t="str">
        <f>IFERROR(IF(SUMIFS(tblDaily[MalariaCases],tblDaily[EntryDate],DATE(2026,7,5),tblDaily[WardCode],"FW")=0,"",SUMIFS(tblDaily[MalariaCases],tblDaily[EntryDate],DATE(2026,7,5),tblDaily[WardCode],"FW")),"")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  <c r="I246" s="5" t="str">
        <f>IFERROR(IF(SUMIFS(tblDaily[MalariaCases],tblDaily[EntryDate],DATE(2026,7,6),tblDaily[WardCode],"FW")=0,"",SUMIFS(tblDaily[MalariaCases],tblDaily[EntryDate],DATE(2026,7,6),tblDaily[WardCode],"FW")),"")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  <c r="I247" s="5" t="str">
        <f>IFERROR(IF(SUMIFS(tblDaily[MalariaCases],tblDaily[EntryDate],DATE(2026,7,7),tblDaily[WardCode],"FW")=0,"",SUMIFS(tblDaily[MalariaCases],tblDaily[EntryDate],DATE(2026,7,7),tblDaily[WardCode],"FW")),"")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  <c r="I248" s="5" t="str">
        <f>IFERROR(IF(SUMIFS(tblDaily[MalariaCases],tblDaily[EntryDate],DATE(2026,7,8),tblDaily[WardCode],"FW")=0,"",SUMIFS(tblDaily[MalariaCases],tblDaily[EntryDate],DATE(2026,7,8),tblDaily[WardCode],"FW")),"")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  <c r="I249" s="5" t="str">
        <f>IFERROR(IF(SUMIFS(tblDaily[MalariaCases],tblDaily[EntryDate],DATE(2026,7,9),tblDaily[WardCode],"FW")=0,"",SUMIFS(tblDaily[MalariaCases],tblDaily[EntryDate],DATE(2026,7,9),tblDaily[WardCode],"FW")),"")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  <c r="I250" s="5" t="str">
        <f>IFERROR(IF(SUMIFS(tblDaily[MalariaCases],tblDaily[EntryDate],DATE(2026,7,10),tblDaily[WardCode],"FW")=0,"",SUMIFS(tblDaily[MalariaCases],tblDaily[EntryDate],DATE(2026,7,10),tblDaily[WardCode],"FW")),"")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  <c r="I251" s="5" t="str">
        <f>IFERROR(IF(SUMIFS(tblDaily[MalariaCases],tblDaily[EntryDate],DATE(2026,7,11),tblDaily[WardCode],"FW")=0,"",SUMIFS(tblDaily[MalariaCases],tblDaily[EntryDate],DATE(2026,7,11),tblDaily[WardCode],"FW")),"")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  <c r="I252" s="5" t="str">
        <f>IFERROR(IF(SUMIFS(tblDaily[MalariaCases],tblDaily[EntryDate],DATE(2026,7,12),tblDaily[WardCode],"FW")=0,"",SUMIFS(tblDaily[MalariaCases],tblDaily[EntryDate],DATE(2026,7,12),tblDaily[WardCode],"FW")),"")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  <c r="I253" s="5" t="str">
        <f>IFERROR(IF(SUMIFS(tblDaily[MalariaCases],tblDaily[EntryDate],DATE(2026,7,13),tblDaily[WardCode],"FW")=0,"",SUMIFS(tblDaily[MalariaCases],tblDaily[EntryDate],DATE(2026,7,13),tblDaily[WardCode],"FW")),"")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  <c r="I254" s="5" t="str">
        <f>IFERROR(IF(SUMIFS(tblDaily[MalariaCases],tblDaily[EntryDate],DATE(2026,7,14),tblDaily[WardCode],"FW")=0,"",SUMIFS(tblDaily[MalariaCases],tblDaily[EntryDate],DATE(2026,7,14),tblDaily[WardCode],"FW")),"")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  <c r="I255" s="5" t="str">
        <f>IFERROR(IF(SUMIFS(tblDaily[MalariaCases],tblDaily[EntryDate],DATE(2026,7,15),tblDaily[WardCode],"FW")=0,"",SUMIFS(tblDaily[MalariaCases],tblDaily[EntryDate],DATE(2026,7,15),tblDaily[WardCode],"FW")),"")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  <c r="I256" s="5" t="str">
        <f>IFERROR(IF(SUMIFS(tblDaily[MalariaCases],tblDaily[EntryDate],DATE(2026,7,16),tblDaily[WardCode],"FW")=0,"",SUMIFS(tblDaily[MalariaCases],tblDaily[EntryDate],DATE(2026,7,16),tblDaily[WardCode],"FW")),"")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  <c r="I257" s="5" t="str">
        <f>IFERROR(IF(SUMIFS(tblDaily[MalariaCases],tblDaily[EntryDate],DATE(2026,7,17),tblDaily[WardCode],"FW")=0,"",SUMIFS(tblDaily[MalariaCases],tblDaily[EntryDate],DATE(2026,7,17),tblDaily[WardCode],"FW")),"")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  <c r="I258" s="5" t="str">
        <f>IFERROR(IF(SUMIFS(tblDaily[MalariaCases],tblDaily[EntryDate],DATE(2026,7,18),tblDaily[WardCode],"FW")=0,"",SUMIFS(tblDaily[MalariaCases],tblDaily[EntryDate],DATE(2026,7,18),tblDaily[WardCode],"FW")),"")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  <c r="I259" s="5" t="str">
        <f>IFERROR(IF(SUMIFS(tblDaily[MalariaCases],tblDaily[EntryDate],DATE(2026,7,19),tblDaily[WardCode],"FW")=0,"",SUMIFS(tblDaily[MalariaCases],tblDaily[EntryDate],DATE(2026,7,19),tblDaily[WardCode],"FW")),"")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  <c r="I260" s="5" t="str">
        <f>IFERROR(IF(SUMIFS(tblDaily[MalariaCases],tblDaily[EntryDate],DATE(2026,7,20),tblDaily[WardCode],"FW")=0,"",SUMIFS(tblDaily[MalariaCases],tblDaily[EntryDate],DATE(2026,7,20),tblDaily[WardCode],"FW")),"")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  <c r="I261" s="5" t="str">
        <f>IFERROR(IF(SUMIFS(tblDaily[MalariaCases],tblDaily[EntryDate],DATE(2026,7,21),tblDaily[WardCode],"FW")=0,"",SUMIFS(tblDaily[MalariaCases],tblDaily[EntryDate],DATE(2026,7,21),tblDaily[WardCode],"FW")),"")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  <c r="I262" s="5" t="str">
        <f>IFERROR(IF(SUMIFS(tblDaily[MalariaCases],tblDaily[EntryDate],DATE(2026,7,22),tblDaily[WardCode],"FW")=0,"",SUMIFS(tblDaily[MalariaCases],tblDaily[EntryDate],DATE(2026,7,22),tblDaily[WardCode],"FW")),"")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  <c r="I263" s="5" t="str">
        <f>IFERROR(IF(SUMIFS(tblDaily[MalariaCases],tblDaily[EntryDate],DATE(2026,7,23),tblDaily[WardCode],"FW")=0,"",SUMIFS(tblDaily[MalariaCases],tblDaily[EntryDate],DATE(2026,7,23),tblDaily[WardCode],"FW")),"")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  <c r="I264" s="5" t="str">
        <f>IFERROR(IF(SUMIFS(tblDaily[MalariaCases],tblDaily[EntryDate],DATE(2026,7,24),tblDaily[WardCode],"FW")=0,"",SUMIFS(tblDaily[MalariaCases],tblDaily[EntryDate],DATE(2026,7,24),tblDaily[WardCode],"FW")),"")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  <c r="I265" s="5" t="str">
        <f>IFERROR(IF(SUMIFS(tblDaily[MalariaCases],tblDaily[EntryDate],DATE(2026,7,25),tblDaily[WardCode],"FW")=0,"",SUMIFS(tblDaily[MalariaCases],tblDaily[EntryDate],DATE(2026,7,25),tblDaily[WardCode],"FW")),"")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  <c r="I266" s="5" t="str">
        <f>IFERROR(IF(SUMIFS(tblDaily[MalariaCases],tblDaily[EntryDate],DATE(2026,7,26),tblDaily[WardCode],"FW")=0,"",SUMIFS(tblDaily[MalariaCases],tblDaily[EntryDate],DATE(2026,7,26),tblDaily[WardCode],"FW")),"")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  <c r="I267" s="5" t="str">
        <f>IFERROR(IF(SUMIFS(tblDaily[MalariaCases],tblDaily[EntryDate],DATE(2026,7,27),tblDaily[WardCode],"FW")=0,"",SUMIFS(tblDaily[MalariaCases],tblDaily[EntryDate],DATE(2026,7,27),tblDaily[WardCode],"FW")),"")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  <c r="I268" s="5" t="str">
        <f>IFERROR(IF(SUMIFS(tblDaily[MalariaCases],tblDaily[EntryDate],DATE(2026,7,28),tblDaily[WardCode],"FW")=0,"",SUMIFS(tblDaily[MalariaCases],tblDaily[EntryDate],DATE(2026,7,28),tblDaily[WardCode],"FW")),"")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  <c r="I269" s="5" t="str">
        <f>IFERROR(IF(SUMIFS(tblDaily[MalariaCases],tblDaily[EntryDate],DATE(2026,7,29),tblDaily[WardCode],"FW")=0,"",SUMIFS(tblDaily[MalariaCases],tblDaily[EntryDate],DATE(2026,7,29),tblDaily[WardCode],"FW")),"")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  <c r="I270" s="5" t="str">
        <f>IFERROR(IF(SUMIFS(tblDaily[MalariaCases],tblDaily[EntryDate],DATE(2026,7,30),tblDaily[WardCode],"FW")=0,"",SUMIFS(tblDaily[MalariaCases],tblDaily[EntryDate],DATE(2026,7,30),tblDaily[WardCode],"FW")),"")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  <c r="I271" s="5" t="str">
        <f>IFERROR(IF(SUMIFS(tblDaily[MalariaCases],tblDaily[EntryDate],DATE(2026,7,31),tblDaily[WardCode],"FW")=0,"",SUMIFS(tblDaily[MalariaCases],tblDaily[EntryDate],DATE(2026,7,31),tblDaily[WardCode],"FW")),"")</f>
        <v/>
      </c>
    </row>
    <row r="272" spans="1:9" x14ac:dyDescent="0.25">
      <c r="A272" s="9" t="s">
        <v>94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95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IFERROR(SUMIFS(tblDaily[Remaining],tblDaily[EntryDate],DATE(2026,7,31),tblDaily[WardCode],"FW"),0)</f>
        <v>0</v>
      </c>
    </row>
    <row r="278" spans="1:9" x14ac:dyDescent="0.25">
      <c r="A278" s="1" t="s">
        <v>87</v>
      </c>
      <c r="H278" s="7">
        <f>IFERROR(INDEX(tblWardConfig[BedComplement],MATCH("FW",tblWardConfig[Export Year-End],0)),0)</f>
        <v>28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  <c r="I280" s="5" t="str">
        <f>IFERROR(IF(SUMIFS(tblDaily[MalariaCases],tblDaily[EntryDate],DATE(2026,8,1),tblDaily[WardCode],"FW")=0,"",SUMIFS(tblDaily[MalariaCases],tblDaily[EntryDate],DATE(2026,8,1),tblDaily[WardCode],"FW")),"")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  <c r="I281" s="5" t="str">
        <f>IFERROR(IF(SUMIFS(tblDaily[MalariaCases],tblDaily[EntryDate],DATE(2026,8,2),tblDaily[WardCode],"FW")=0,"",SUMIFS(tblDaily[MalariaCases],tblDaily[EntryDate],DATE(2026,8,2),tblDaily[WardCode],"FW")),"")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  <c r="I282" s="5" t="str">
        <f>IFERROR(IF(SUMIFS(tblDaily[MalariaCases],tblDaily[EntryDate],DATE(2026,8,3),tblDaily[WardCode],"FW")=0,"",SUMIFS(tblDaily[MalariaCases],tblDaily[EntryDate],DATE(2026,8,3),tblDaily[WardCode],"FW")),"")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  <c r="I283" s="5" t="str">
        <f>IFERROR(IF(SUMIFS(tblDaily[MalariaCases],tblDaily[EntryDate],DATE(2026,8,4),tblDaily[WardCode],"FW")=0,"",SUMIFS(tblDaily[MalariaCases],tblDaily[EntryDate],DATE(2026,8,4),tblDaily[WardCode],"FW")),"")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  <c r="I284" s="5" t="str">
        <f>IFERROR(IF(SUMIFS(tblDaily[MalariaCases],tblDaily[EntryDate],DATE(2026,8,5),tblDaily[WardCode],"FW")=0,"",SUMIFS(tblDaily[MalariaCases],tblDaily[EntryDate],DATE(2026,8,5),tblDaily[WardCode],"FW")),"")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  <c r="I285" s="5" t="str">
        <f>IFERROR(IF(SUMIFS(tblDaily[MalariaCases],tblDaily[EntryDate],DATE(2026,8,6),tblDaily[WardCode],"FW")=0,"",SUMIFS(tblDaily[MalariaCases],tblDaily[EntryDate],DATE(2026,8,6),tblDaily[WardCode],"FW")),"")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  <c r="I286" s="5" t="str">
        <f>IFERROR(IF(SUMIFS(tblDaily[MalariaCases],tblDaily[EntryDate],DATE(2026,8,7),tblDaily[WardCode],"FW")=0,"",SUMIFS(tblDaily[MalariaCases],tblDaily[EntryDate],DATE(2026,8,7),tblDaily[WardCode],"FW")),"")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  <c r="I287" s="5" t="str">
        <f>IFERROR(IF(SUMIFS(tblDaily[MalariaCases],tblDaily[EntryDate],DATE(2026,8,8),tblDaily[WardCode],"FW")=0,"",SUMIFS(tblDaily[MalariaCases],tblDaily[EntryDate],DATE(2026,8,8),tblDaily[WardCode],"FW")),"")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  <c r="I288" s="5" t="str">
        <f>IFERROR(IF(SUMIFS(tblDaily[MalariaCases],tblDaily[EntryDate],DATE(2026,8,9),tblDaily[WardCode],"FW")=0,"",SUMIFS(tblDaily[MalariaCases],tblDaily[EntryDate],DATE(2026,8,9),tblDaily[WardCode],"FW")),"")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  <c r="I289" s="5" t="str">
        <f>IFERROR(IF(SUMIFS(tblDaily[MalariaCases],tblDaily[EntryDate],DATE(2026,8,10),tblDaily[WardCode],"FW")=0,"",SUMIFS(tblDaily[MalariaCases],tblDaily[EntryDate],DATE(2026,8,10),tblDaily[WardCode],"FW")),"")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  <c r="I290" s="5" t="str">
        <f>IFERROR(IF(SUMIFS(tblDaily[MalariaCases],tblDaily[EntryDate],DATE(2026,8,11),tblDaily[WardCode],"FW")=0,"",SUMIFS(tblDaily[MalariaCases],tblDaily[EntryDate],DATE(2026,8,11),tblDaily[WardCode],"FW")),"")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  <c r="I291" s="5" t="str">
        <f>IFERROR(IF(SUMIFS(tblDaily[MalariaCases],tblDaily[EntryDate],DATE(2026,8,12),tblDaily[WardCode],"FW")=0,"",SUMIFS(tblDaily[MalariaCases],tblDaily[EntryDate],DATE(2026,8,12),tblDaily[WardCode],"FW")),"")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  <c r="I292" s="5" t="str">
        <f>IFERROR(IF(SUMIFS(tblDaily[MalariaCases],tblDaily[EntryDate],DATE(2026,8,13),tblDaily[WardCode],"FW")=0,"",SUMIFS(tblDaily[MalariaCases],tblDaily[EntryDate],DATE(2026,8,13),tblDaily[WardCode],"FW")),"")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  <c r="I293" s="5" t="str">
        <f>IFERROR(IF(SUMIFS(tblDaily[MalariaCases],tblDaily[EntryDate],DATE(2026,8,14),tblDaily[WardCode],"FW")=0,"",SUMIFS(tblDaily[MalariaCases],tblDaily[EntryDate],DATE(2026,8,14),tblDaily[WardCode],"FW")),"")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  <c r="I294" s="5" t="str">
        <f>IFERROR(IF(SUMIFS(tblDaily[MalariaCases],tblDaily[EntryDate],DATE(2026,8,15),tblDaily[WardCode],"FW")=0,"",SUMIFS(tblDaily[MalariaCases],tblDaily[EntryDate],DATE(2026,8,15),tblDaily[WardCode],"FW")),"")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  <c r="I295" s="5" t="str">
        <f>IFERROR(IF(SUMIFS(tblDaily[MalariaCases],tblDaily[EntryDate],DATE(2026,8,16),tblDaily[WardCode],"FW")=0,"",SUMIFS(tblDaily[MalariaCases],tblDaily[EntryDate],DATE(2026,8,16),tblDaily[WardCode],"FW")),"")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  <c r="I296" s="5" t="str">
        <f>IFERROR(IF(SUMIFS(tblDaily[MalariaCases],tblDaily[EntryDate],DATE(2026,8,17),tblDaily[WardCode],"FW")=0,"",SUMIFS(tblDaily[MalariaCases],tblDaily[EntryDate],DATE(2026,8,17),tblDaily[WardCode],"FW")),"")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  <c r="I297" s="5" t="str">
        <f>IFERROR(IF(SUMIFS(tblDaily[MalariaCases],tblDaily[EntryDate],DATE(2026,8,18),tblDaily[WardCode],"FW")=0,"",SUMIFS(tblDaily[MalariaCases],tblDaily[EntryDate],DATE(2026,8,18),tblDaily[WardCode],"FW")),"")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  <c r="I298" s="5" t="str">
        <f>IFERROR(IF(SUMIFS(tblDaily[MalariaCases],tblDaily[EntryDate],DATE(2026,8,19),tblDaily[WardCode],"FW")=0,"",SUMIFS(tblDaily[MalariaCases],tblDaily[EntryDate],DATE(2026,8,19),tblDaily[WardCode],"FW")),"")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  <c r="I299" s="5" t="str">
        <f>IFERROR(IF(SUMIFS(tblDaily[MalariaCases],tblDaily[EntryDate],DATE(2026,8,20),tblDaily[WardCode],"FW")=0,"",SUMIFS(tblDaily[MalariaCases],tblDaily[EntryDate],DATE(2026,8,20),tblDaily[WardCode],"FW")),"")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  <c r="I300" s="5" t="str">
        <f>IFERROR(IF(SUMIFS(tblDaily[MalariaCases],tblDaily[EntryDate],DATE(2026,8,21),tblDaily[WardCode],"FW")=0,"",SUMIFS(tblDaily[MalariaCases],tblDaily[EntryDate],DATE(2026,8,21),tblDaily[WardCode],"FW")),"")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  <c r="I301" s="5" t="str">
        <f>IFERROR(IF(SUMIFS(tblDaily[MalariaCases],tblDaily[EntryDate],DATE(2026,8,22),tblDaily[WardCode],"FW")=0,"",SUMIFS(tblDaily[MalariaCases],tblDaily[EntryDate],DATE(2026,8,22),tblDaily[WardCode],"FW")),"")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  <c r="I302" s="5" t="str">
        <f>IFERROR(IF(SUMIFS(tblDaily[MalariaCases],tblDaily[EntryDate],DATE(2026,8,23),tblDaily[WardCode],"FW")=0,"",SUMIFS(tblDaily[MalariaCases],tblDaily[EntryDate],DATE(2026,8,23),tblDaily[WardCode],"FW")),"")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  <c r="I303" s="5" t="str">
        <f>IFERROR(IF(SUMIFS(tblDaily[MalariaCases],tblDaily[EntryDate],DATE(2026,8,24),tblDaily[WardCode],"FW")=0,"",SUMIFS(tblDaily[MalariaCases],tblDaily[EntryDate],DATE(2026,8,24),tblDaily[WardCode],"FW")),"")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  <c r="I304" s="5" t="str">
        <f>IFERROR(IF(SUMIFS(tblDaily[MalariaCases],tblDaily[EntryDate],DATE(2026,8,25),tblDaily[WardCode],"FW")=0,"",SUMIFS(tblDaily[MalariaCases],tblDaily[EntryDate],DATE(2026,8,25),tblDaily[WardCode],"FW")),"")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  <c r="I305" s="5" t="str">
        <f>IFERROR(IF(SUMIFS(tblDaily[MalariaCases],tblDaily[EntryDate],DATE(2026,8,26),tblDaily[WardCode],"FW")=0,"",SUMIFS(tblDaily[MalariaCases],tblDaily[EntryDate],DATE(2026,8,26),tblDaily[WardCode],"FW")),"")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  <c r="I306" s="5" t="str">
        <f>IFERROR(IF(SUMIFS(tblDaily[MalariaCases],tblDaily[EntryDate],DATE(2026,8,27),tblDaily[WardCode],"FW")=0,"",SUMIFS(tblDaily[MalariaCases],tblDaily[EntryDate],DATE(2026,8,27),tblDaily[WardCode],"FW")),"")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  <c r="I307" s="5" t="str">
        <f>IFERROR(IF(SUMIFS(tblDaily[MalariaCases],tblDaily[EntryDate],DATE(2026,8,28),tblDaily[WardCode],"FW")=0,"",SUMIFS(tblDaily[MalariaCases],tblDaily[EntryDate],DATE(2026,8,28),tblDaily[WardCode],"FW")),"")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  <c r="I308" s="5" t="str">
        <f>IFERROR(IF(SUMIFS(tblDaily[MalariaCases],tblDaily[EntryDate],DATE(2026,8,29),tblDaily[WardCode],"FW")=0,"",SUMIFS(tblDaily[MalariaCases],tblDaily[EntryDate],DATE(2026,8,29),tblDaily[WardCode],"FW")),"")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  <c r="I309" s="5" t="str">
        <f>IFERROR(IF(SUMIFS(tblDaily[MalariaCases],tblDaily[EntryDate],DATE(2026,8,30),tblDaily[WardCode],"FW")=0,"",SUMIFS(tblDaily[MalariaCases],tblDaily[EntryDate],DATE(2026,8,30),tblDaily[WardCode],"FW")),"")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  <c r="I310" s="5" t="str">
        <f>IFERROR(IF(SUMIFS(tblDaily[MalariaCases],tblDaily[EntryDate],DATE(2026,8,31),tblDaily[WardCode],"FW")=0,"",SUMIFS(tblDaily[MalariaCases],tblDaily[EntryDate],DATE(2026,8,31),tblDaily[WardCode],"FW")),"")</f>
        <v/>
      </c>
    </row>
    <row r="311" spans="1:9" x14ac:dyDescent="0.25">
      <c r="A311" s="9" t="s">
        <v>94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95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IFERROR(SUMIFS(tblDaily[Remaining],tblDaily[EntryDate],DATE(2026,8,31),tblDaily[WardCode],"FW"),0)</f>
        <v>0</v>
      </c>
    </row>
    <row r="317" spans="1:9" x14ac:dyDescent="0.25">
      <c r="A317" s="1" t="s">
        <v>87</v>
      </c>
      <c r="H317" s="7">
        <f>IFERROR(INDEX(tblWardConfig[BedComplement],MATCH("FW",tblWardConfig[Export Year-End],0)),0)</f>
        <v>28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  <c r="I319" s="5" t="str">
        <f>IFERROR(IF(SUMIFS(tblDaily[MalariaCases],tblDaily[EntryDate],DATE(2026,9,1),tblDaily[WardCode],"FW")=0,"",SUMIFS(tblDaily[MalariaCases],tblDaily[EntryDate],DATE(2026,9,1),tblDaily[WardCode],"FW")),"")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  <c r="I320" s="5" t="str">
        <f>IFERROR(IF(SUMIFS(tblDaily[MalariaCases],tblDaily[EntryDate],DATE(2026,9,2),tblDaily[WardCode],"FW")=0,"",SUMIFS(tblDaily[MalariaCases],tblDaily[EntryDate],DATE(2026,9,2),tblDaily[WardCode],"FW")),"")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  <c r="I321" s="5" t="str">
        <f>IFERROR(IF(SUMIFS(tblDaily[MalariaCases],tblDaily[EntryDate],DATE(2026,9,3),tblDaily[WardCode],"FW")=0,"",SUMIFS(tblDaily[MalariaCases],tblDaily[EntryDate],DATE(2026,9,3),tblDaily[WardCode],"FW")),"")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  <c r="I322" s="5" t="str">
        <f>IFERROR(IF(SUMIFS(tblDaily[MalariaCases],tblDaily[EntryDate],DATE(2026,9,4),tblDaily[WardCode],"FW")=0,"",SUMIFS(tblDaily[MalariaCases],tblDaily[EntryDate],DATE(2026,9,4),tblDaily[WardCode],"FW")),"")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  <c r="I323" s="5" t="str">
        <f>IFERROR(IF(SUMIFS(tblDaily[MalariaCases],tblDaily[EntryDate],DATE(2026,9,5),tblDaily[WardCode],"FW")=0,"",SUMIFS(tblDaily[MalariaCases],tblDaily[EntryDate],DATE(2026,9,5),tblDaily[WardCode],"FW")),"")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  <c r="I324" s="5" t="str">
        <f>IFERROR(IF(SUMIFS(tblDaily[MalariaCases],tblDaily[EntryDate],DATE(2026,9,6),tblDaily[WardCode],"FW")=0,"",SUMIFS(tblDaily[MalariaCases],tblDaily[EntryDate],DATE(2026,9,6),tblDaily[WardCode],"FW")),"")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  <c r="I325" s="5" t="str">
        <f>IFERROR(IF(SUMIFS(tblDaily[MalariaCases],tblDaily[EntryDate],DATE(2026,9,7),tblDaily[WardCode],"FW")=0,"",SUMIFS(tblDaily[MalariaCases],tblDaily[EntryDate],DATE(2026,9,7),tblDaily[WardCode],"FW")),"")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  <c r="I326" s="5" t="str">
        <f>IFERROR(IF(SUMIFS(tblDaily[MalariaCases],tblDaily[EntryDate],DATE(2026,9,8),tblDaily[WardCode],"FW")=0,"",SUMIFS(tblDaily[MalariaCases],tblDaily[EntryDate],DATE(2026,9,8),tblDaily[WardCode],"FW")),"")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  <c r="I327" s="5" t="str">
        <f>IFERROR(IF(SUMIFS(tblDaily[MalariaCases],tblDaily[EntryDate],DATE(2026,9,9),tblDaily[WardCode],"FW")=0,"",SUMIFS(tblDaily[MalariaCases],tblDaily[EntryDate],DATE(2026,9,9),tblDaily[WardCode],"FW")),"")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  <c r="I328" s="5" t="str">
        <f>IFERROR(IF(SUMIFS(tblDaily[MalariaCases],tblDaily[EntryDate],DATE(2026,9,10),tblDaily[WardCode],"FW")=0,"",SUMIFS(tblDaily[MalariaCases],tblDaily[EntryDate],DATE(2026,9,10),tblDaily[WardCode],"FW")),"")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  <c r="I329" s="5" t="str">
        <f>IFERROR(IF(SUMIFS(tblDaily[MalariaCases],tblDaily[EntryDate],DATE(2026,9,11),tblDaily[WardCode],"FW")=0,"",SUMIFS(tblDaily[MalariaCases],tblDaily[EntryDate],DATE(2026,9,11),tblDaily[WardCode],"FW")),"")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  <c r="I330" s="5" t="str">
        <f>IFERROR(IF(SUMIFS(tblDaily[MalariaCases],tblDaily[EntryDate],DATE(2026,9,12),tblDaily[WardCode],"FW")=0,"",SUMIFS(tblDaily[MalariaCases],tblDaily[EntryDate],DATE(2026,9,12),tblDaily[WardCode],"FW")),"")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  <c r="I331" s="5" t="str">
        <f>IFERROR(IF(SUMIFS(tblDaily[MalariaCases],tblDaily[EntryDate],DATE(2026,9,13),tblDaily[WardCode],"FW")=0,"",SUMIFS(tblDaily[MalariaCases],tblDaily[EntryDate],DATE(2026,9,13),tblDaily[WardCode],"FW")),"")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  <c r="I332" s="5" t="str">
        <f>IFERROR(IF(SUMIFS(tblDaily[MalariaCases],tblDaily[EntryDate],DATE(2026,9,14),tblDaily[WardCode],"FW")=0,"",SUMIFS(tblDaily[MalariaCases],tblDaily[EntryDate],DATE(2026,9,14),tblDaily[WardCode],"FW")),"")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  <c r="I333" s="5" t="str">
        <f>IFERROR(IF(SUMIFS(tblDaily[MalariaCases],tblDaily[EntryDate],DATE(2026,9,15),tblDaily[WardCode],"FW")=0,"",SUMIFS(tblDaily[MalariaCases],tblDaily[EntryDate],DATE(2026,9,15),tblDaily[WardCode],"FW")),"")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  <c r="I334" s="5" t="str">
        <f>IFERROR(IF(SUMIFS(tblDaily[MalariaCases],tblDaily[EntryDate],DATE(2026,9,16),tblDaily[WardCode],"FW")=0,"",SUMIFS(tblDaily[MalariaCases],tblDaily[EntryDate],DATE(2026,9,16),tblDaily[WardCode],"FW")),"")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  <c r="I335" s="5" t="str">
        <f>IFERROR(IF(SUMIFS(tblDaily[MalariaCases],tblDaily[EntryDate],DATE(2026,9,17),tblDaily[WardCode],"FW")=0,"",SUMIFS(tblDaily[MalariaCases],tblDaily[EntryDate],DATE(2026,9,17),tblDaily[WardCode],"FW")),"")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  <c r="I336" s="5" t="str">
        <f>IFERROR(IF(SUMIFS(tblDaily[MalariaCases],tblDaily[EntryDate],DATE(2026,9,18),tblDaily[WardCode],"FW")=0,"",SUMIFS(tblDaily[MalariaCases],tblDaily[EntryDate],DATE(2026,9,18),tblDaily[WardCode],"FW")),"")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  <c r="I337" s="5" t="str">
        <f>IFERROR(IF(SUMIFS(tblDaily[MalariaCases],tblDaily[EntryDate],DATE(2026,9,19),tblDaily[WardCode],"FW")=0,"",SUMIFS(tblDaily[MalariaCases],tblDaily[EntryDate],DATE(2026,9,19),tblDaily[WardCode],"FW")),"")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  <c r="I338" s="5" t="str">
        <f>IFERROR(IF(SUMIFS(tblDaily[MalariaCases],tblDaily[EntryDate],DATE(2026,9,20),tblDaily[WardCode],"FW")=0,"",SUMIFS(tblDaily[MalariaCases],tblDaily[EntryDate],DATE(2026,9,20),tblDaily[WardCode],"FW")),"")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  <c r="I339" s="5" t="str">
        <f>IFERROR(IF(SUMIFS(tblDaily[MalariaCases],tblDaily[EntryDate],DATE(2026,9,21),tblDaily[WardCode],"FW")=0,"",SUMIFS(tblDaily[MalariaCases],tblDaily[EntryDate],DATE(2026,9,21),tblDaily[WardCode],"FW")),"")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  <c r="I340" s="5" t="str">
        <f>IFERROR(IF(SUMIFS(tblDaily[MalariaCases],tblDaily[EntryDate],DATE(2026,9,22),tblDaily[WardCode],"FW")=0,"",SUMIFS(tblDaily[MalariaCases],tblDaily[EntryDate],DATE(2026,9,22),tblDaily[WardCode],"FW")),"")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  <c r="I341" s="5" t="str">
        <f>IFERROR(IF(SUMIFS(tblDaily[MalariaCases],tblDaily[EntryDate],DATE(2026,9,23),tblDaily[WardCode],"FW")=0,"",SUMIFS(tblDaily[MalariaCases],tblDaily[EntryDate],DATE(2026,9,23),tblDaily[WardCode],"FW")),"")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  <c r="I342" s="5" t="str">
        <f>IFERROR(IF(SUMIFS(tblDaily[MalariaCases],tblDaily[EntryDate],DATE(2026,9,24),tblDaily[WardCode],"FW")=0,"",SUMIFS(tblDaily[MalariaCases],tblDaily[EntryDate],DATE(2026,9,24),tblDaily[WardCode],"FW")),"")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  <c r="I343" s="5" t="str">
        <f>IFERROR(IF(SUMIFS(tblDaily[MalariaCases],tblDaily[EntryDate],DATE(2026,9,25),tblDaily[WardCode],"FW")=0,"",SUMIFS(tblDaily[MalariaCases],tblDaily[EntryDate],DATE(2026,9,25),tblDaily[WardCode],"FW")),"")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  <c r="I344" s="5" t="str">
        <f>IFERROR(IF(SUMIFS(tblDaily[MalariaCases],tblDaily[EntryDate],DATE(2026,9,26),tblDaily[WardCode],"FW")=0,"",SUMIFS(tblDaily[MalariaCases],tblDaily[EntryDate],DATE(2026,9,26),tblDaily[WardCode],"FW")),"")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  <c r="I345" s="5" t="str">
        <f>IFERROR(IF(SUMIFS(tblDaily[MalariaCases],tblDaily[EntryDate],DATE(2026,9,27),tblDaily[WardCode],"FW")=0,"",SUMIFS(tblDaily[MalariaCases],tblDaily[EntryDate],DATE(2026,9,27),tblDaily[WardCode],"FW")),"")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  <c r="I346" s="5" t="str">
        <f>IFERROR(IF(SUMIFS(tblDaily[MalariaCases],tblDaily[EntryDate],DATE(2026,9,28),tblDaily[WardCode],"FW")=0,"",SUMIFS(tblDaily[MalariaCases],tblDaily[EntryDate],DATE(2026,9,28),tblDaily[WardCode],"FW")),"")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  <c r="I347" s="5" t="str">
        <f>IFERROR(IF(SUMIFS(tblDaily[MalariaCases],tblDaily[EntryDate],DATE(2026,9,29),tblDaily[WardCode],"FW")=0,"",SUMIFS(tblDaily[MalariaCases],tblDaily[EntryDate],DATE(2026,9,29),tblDaily[WardCode],"FW")),"")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  <c r="I348" s="5" t="str">
        <f>IFERROR(IF(SUMIFS(tblDaily[MalariaCases],tblDaily[EntryDate],DATE(2026,9,30),tblDaily[WardCode],"FW")=0,"",SUMIFS(tblDaily[MalariaCases],tblDaily[EntryDate],DATE(2026,9,30),tblDaily[WardCode],"FW")),"")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95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IFERROR(SUMIFS(tblDaily[Remaining],tblDaily[EntryDate],DATE(2026,9,30),tblDaily[WardCode],"FW"),0)</f>
        <v>0</v>
      </c>
    </row>
    <row r="356" spans="1:9" x14ac:dyDescent="0.25">
      <c r="A356" s="1" t="s">
        <v>87</v>
      </c>
      <c r="H356" s="7">
        <f>IFERROR(INDEX(tblWardConfig[BedComplement],MATCH("FW",tblWardConfig[Export Year-End],0)),0)</f>
        <v>28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  <c r="I358" s="5" t="str">
        <f>IFERROR(IF(SUMIFS(tblDaily[MalariaCases],tblDaily[EntryDate],DATE(2026,10,1),tblDaily[WardCode],"FW")=0,"",SUMIFS(tblDaily[MalariaCases],tblDaily[EntryDate],DATE(2026,10,1),tblDaily[WardCode],"FW")),"")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  <c r="I359" s="5" t="str">
        <f>IFERROR(IF(SUMIFS(tblDaily[MalariaCases],tblDaily[EntryDate],DATE(2026,10,2),tblDaily[WardCode],"FW")=0,"",SUMIFS(tblDaily[MalariaCases],tblDaily[EntryDate],DATE(2026,10,2),tblDaily[WardCode],"FW")),"")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  <c r="I360" s="5" t="str">
        <f>IFERROR(IF(SUMIFS(tblDaily[MalariaCases],tblDaily[EntryDate],DATE(2026,10,3),tblDaily[WardCode],"FW")=0,"",SUMIFS(tblDaily[MalariaCases],tblDaily[EntryDate],DATE(2026,10,3),tblDaily[WardCode],"FW")),"")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  <c r="I361" s="5" t="str">
        <f>IFERROR(IF(SUMIFS(tblDaily[MalariaCases],tblDaily[EntryDate],DATE(2026,10,4),tblDaily[WardCode],"FW")=0,"",SUMIFS(tblDaily[MalariaCases],tblDaily[EntryDate],DATE(2026,10,4),tblDaily[WardCode],"FW")),"")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  <c r="I362" s="5" t="str">
        <f>IFERROR(IF(SUMIFS(tblDaily[MalariaCases],tblDaily[EntryDate],DATE(2026,10,5),tblDaily[WardCode],"FW")=0,"",SUMIFS(tblDaily[MalariaCases],tblDaily[EntryDate],DATE(2026,10,5),tblDaily[WardCode],"FW")),"")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  <c r="I363" s="5" t="str">
        <f>IFERROR(IF(SUMIFS(tblDaily[MalariaCases],tblDaily[EntryDate],DATE(2026,10,6),tblDaily[WardCode],"FW")=0,"",SUMIFS(tblDaily[MalariaCases],tblDaily[EntryDate],DATE(2026,10,6),tblDaily[WardCode],"FW")),"")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  <c r="I364" s="5" t="str">
        <f>IFERROR(IF(SUMIFS(tblDaily[MalariaCases],tblDaily[EntryDate],DATE(2026,10,7),tblDaily[WardCode],"FW")=0,"",SUMIFS(tblDaily[MalariaCases],tblDaily[EntryDate],DATE(2026,10,7),tblDaily[WardCode],"FW")),"")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  <c r="I365" s="5" t="str">
        <f>IFERROR(IF(SUMIFS(tblDaily[MalariaCases],tblDaily[EntryDate],DATE(2026,10,8),tblDaily[WardCode],"FW")=0,"",SUMIFS(tblDaily[MalariaCases],tblDaily[EntryDate],DATE(2026,10,8),tblDaily[WardCode],"FW")),"")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  <c r="I366" s="5" t="str">
        <f>IFERROR(IF(SUMIFS(tblDaily[MalariaCases],tblDaily[EntryDate],DATE(2026,10,9),tblDaily[WardCode],"FW")=0,"",SUMIFS(tblDaily[MalariaCases],tblDaily[EntryDate],DATE(2026,10,9),tblDaily[WardCode],"FW")),"")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  <c r="I367" s="5" t="str">
        <f>IFERROR(IF(SUMIFS(tblDaily[MalariaCases],tblDaily[EntryDate],DATE(2026,10,10),tblDaily[WardCode],"FW")=0,"",SUMIFS(tblDaily[MalariaCases],tblDaily[EntryDate],DATE(2026,10,10),tblDaily[WardCode],"FW")),"")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  <c r="I368" s="5" t="str">
        <f>IFERROR(IF(SUMIFS(tblDaily[MalariaCases],tblDaily[EntryDate],DATE(2026,10,11),tblDaily[WardCode],"FW")=0,"",SUMIFS(tblDaily[MalariaCases],tblDaily[EntryDate],DATE(2026,10,11),tblDaily[WardCode],"FW")),"")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  <c r="I369" s="5" t="str">
        <f>IFERROR(IF(SUMIFS(tblDaily[MalariaCases],tblDaily[EntryDate],DATE(2026,10,12),tblDaily[WardCode],"FW")=0,"",SUMIFS(tblDaily[MalariaCases],tblDaily[EntryDate],DATE(2026,10,12),tblDaily[WardCode],"FW")),"")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  <c r="I370" s="5" t="str">
        <f>IFERROR(IF(SUMIFS(tblDaily[MalariaCases],tblDaily[EntryDate],DATE(2026,10,13),tblDaily[WardCode],"FW")=0,"",SUMIFS(tblDaily[MalariaCases],tblDaily[EntryDate],DATE(2026,10,13),tblDaily[WardCode],"FW")),"")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  <c r="I371" s="5" t="str">
        <f>IFERROR(IF(SUMIFS(tblDaily[MalariaCases],tblDaily[EntryDate],DATE(2026,10,14),tblDaily[WardCode],"FW")=0,"",SUMIFS(tblDaily[MalariaCases],tblDaily[EntryDate],DATE(2026,10,14),tblDaily[WardCode],"FW")),"")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  <c r="I372" s="5" t="str">
        <f>IFERROR(IF(SUMIFS(tblDaily[MalariaCases],tblDaily[EntryDate],DATE(2026,10,15),tblDaily[WardCode],"FW")=0,"",SUMIFS(tblDaily[MalariaCases],tblDaily[EntryDate],DATE(2026,10,15),tblDaily[WardCode],"FW")),"")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  <c r="I373" s="5" t="str">
        <f>IFERROR(IF(SUMIFS(tblDaily[MalariaCases],tblDaily[EntryDate],DATE(2026,10,16),tblDaily[WardCode],"FW")=0,"",SUMIFS(tblDaily[MalariaCases],tblDaily[EntryDate],DATE(2026,10,16),tblDaily[WardCode],"FW")),"")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  <c r="I374" s="5" t="str">
        <f>IFERROR(IF(SUMIFS(tblDaily[MalariaCases],tblDaily[EntryDate],DATE(2026,10,17),tblDaily[WardCode],"FW")=0,"",SUMIFS(tblDaily[MalariaCases],tblDaily[EntryDate],DATE(2026,10,17),tblDaily[WardCode],"FW")),"")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  <c r="I375" s="5" t="str">
        <f>IFERROR(IF(SUMIFS(tblDaily[MalariaCases],tblDaily[EntryDate],DATE(2026,10,18),tblDaily[WardCode],"FW")=0,"",SUMIFS(tblDaily[MalariaCases],tblDaily[EntryDate],DATE(2026,10,18),tblDaily[WardCode],"FW")),"")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  <c r="I376" s="5" t="str">
        <f>IFERROR(IF(SUMIFS(tblDaily[MalariaCases],tblDaily[EntryDate],DATE(2026,10,19),tblDaily[WardCode],"FW")=0,"",SUMIFS(tblDaily[MalariaCases],tblDaily[EntryDate],DATE(2026,10,19),tblDaily[WardCode],"FW")),"")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  <c r="I377" s="5" t="str">
        <f>IFERROR(IF(SUMIFS(tblDaily[MalariaCases],tblDaily[EntryDate],DATE(2026,10,20),tblDaily[WardCode],"FW")=0,"",SUMIFS(tblDaily[MalariaCases],tblDaily[EntryDate],DATE(2026,10,20),tblDaily[WardCode],"FW")),"")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  <c r="I378" s="5" t="str">
        <f>IFERROR(IF(SUMIFS(tblDaily[MalariaCases],tblDaily[EntryDate],DATE(2026,10,21),tblDaily[WardCode],"FW")=0,"",SUMIFS(tblDaily[MalariaCases],tblDaily[EntryDate],DATE(2026,10,21),tblDaily[WardCode],"FW")),"")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  <c r="I379" s="5" t="str">
        <f>IFERROR(IF(SUMIFS(tblDaily[MalariaCases],tblDaily[EntryDate],DATE(2026,10,22),tblDaily[WardCode],"FW")=0,"",SUMIFS(tblDaily[MalariaCases],tblDaily[EntryDate],DATE(2026,10,22),tblDaily[WardCode],"FW")),"")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  <c r="I380" s="5" t="str">
        <f>IFERROR(IF(SUMIFS(tblDaily[MalariaCases],tblDaily[EntryDate],DATE(2026,10,23),tblDaily[WardCode],"FW")=0,"",SUMIFS(tblDaily[MalariaCases],tblDaily[EntryDate],DATE(2026,10,23),tblDaily[WardCode],"FW")),"")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  <c r="I381" s="5" t="str">
        <f>IFERROR(IF(SUMIFS(tblDaily[MalariaCases],tblDaily[EntryDate],DATE(2026,10,24),tblDaily[WardCode],"FW")=0,"",SUMIFS(tblDaily[MalariaCases],tblDaily[EntryDate],DATE(2026,10,24),tblDaily[WardCode],"FW")),"")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  <c r="I382" s="5" t="str">
        <f>IFERROR(IF(SUMIFS(tblDaily[MalariaCases],tblDaily[EntryDate],DATE(2026,10,25),tblDaily[WardCode],"FW")=0,"",SUMIFS(tblDaily[MalariaCases],tblDaily[EntryDate],DATE(2026,10,25),tblDaily[WardCode],"FW")),"")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  <c r="I383" s="5" t="str">
        <f>IFERROR(IF(SUMIFS(tblDaily[MalariaCases],tblDaily[EntryDate],DATE(2026,10,26),tblDaily[WardCode],"FW")=0,"",SUMIFS(tblDaily[MalariaCases],tblDaily[EntryDate],DATE(2026,10,26),tblDaily[WardCode],"FW")),"")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  <c r="I384" s="5" t="str">
        <f>IFERROR(IF(SUMIFS(tblDaily[MalariaCases],tblDaily[EntryDate],DATE(2026,10,27),tblDaily[WardCode],"FW")=0,"",SUMIFS(tblDaily[MalariaCases],tblDaily[EntryDate],DATE(2026,10,27),tblDaily[WardCode],"FW")),"")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  <c r="I385" s="5" t="str">
        <f>IFERROR(IF(SUMIFS(tblDaily[MalariaCases],tblDaily[EntryDate],DATE(2026,10,28),tblDaily[WardCode],"FW")=0,"",SUMIFS(tblDaily[MalariaCases],tblDaily[EntryDate],DATE(2026,10,28),tblDaily[WardCode],"FW")),"")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  <c r="I386" s="5" t="str">
        <f>IFERROR(IF(SUMIFS(tblDaily[MalariaCases],tblDaily[EntryDate],DATE(2026,10,29),tblDaily[WardCode],"FW")=0,"",SUMIFS(tblDaily[MalariaCases],tblDaily[EntryDate],DATE(2026,10,29),tblDaily[WardCode],"FW")),"")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  <c r="I387" s="5" t="str">
        <f>IFERROR(IF(SUMIFS(tblDaily[MalariaCases],tblDaily[EntryDate],DATE(2026,10,30),tblDaily[WardCode],"FW")=0,"",SUMIFS(tblDaily[MalariaCases],tblDaily[EntryDate],DATE(2026,10,30),tblDaily[WardCode],"FW")),"")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  <c r="I388" s="5" t="str">
        <f>IFERROR(IF(SUMIFS(tblDaily[MalariaCases],tblDaily[EntryDate],DATE(2026,10,31),tblDaily[WardCode],"FW")=0,"",SUMIFS(tblDaily[MalariaCases],tblDaily[EntryDate],DATE(2026,10,31),tblDaily[WardCode],"FW")),"")</f>
        <v/>
      </c>
    </row>
    <row r="389" spans="1:9" x14ac:dyDescent="0.25">
      <c r="A389" s="9" t="s">
        <v>94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95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IFERROR(SUMIFS(tblDaily[Remaining],tblDaily[EntryDate],DATE(2026,10,31),tblDaily[WardCode],"FW"),0)</f>
        <v>0</v>
      </c>
    </row>
    <row r="395" spans="1:9" x14ac:dyDescent="0.25">
      <c r="A395" s="1" t="s">
        <v>87</v>
      </c>
      <c r="H395" s="7">
        <f>IFERROR(INDEX(tblWardConfig[BedComplement],MATCH("FW",tblWardConfig[Export Year-End],0)),0)</f>
        <v>28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  <c r="I397" s="5" t="str">
        <f>IFERROR(IF(SUMIFS(tblDaily[MalariaCases],tblDaily[EntryDate],DATE(2026,11,1),tblDaily[WardCode],"FW")=0,"",SUMIFS(tblDaily[MalariaCases],tblDaily[EntryDate],DATE(2026,11,1),tblDaily[WardCode],"FW")),"")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  <c r="I398" s="5" t="str">
        <f>IFERROR(IF(SUMIFS(tblDaily[MalariaCases],tblDaily[EntryDate],DATE(2026,11,2),tblDaily[WardCode],"FW")=0,"",SUMIFS(tblDaily[MalariaCases],tblDaily[EntryDate],DATE(2026,11,2),tblDaily[WardCode],"FW")),"")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  <c r="I399" s="5" t="str">
        <f>IFERROR(IF(SUMIFS(tblDaily[MalariaCases],tblDaily[EntryDate],DATE(2026,11,3),tblDaily[WardCode],"FW")=0,"",SUMIFS(tblDaily[MalariaCases],tblDaily[EntryDate],DATE(2026,11,3),tblDaily[WardCode],"FW")),"")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  <c r="I400" s="5" t="str">
        <f>IFERROR(IF(SUMIFS(tblDaily[MalariaCases],tblDaily[EntryDate],DATE(2026,11,4),tblDaily[WardCode],"FW")=0,"",SUMIFS(tblDaily[MalariaCases],tblDaily[EntryDate],DATE(2026,11,4),tblDaily[WardCode],"FW")),"")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  <c r="I401" s="5" t="str">
        <f>IFERROR(IF(SUMIFS(tblDaily[MalariaCases],tblDaily[EntryDate],DATE(2026,11,5),tblDaily[WardCode],"FW")=0,"",SUMIFS(tblDaily[MalariaCases],tblDaily[EntryDate],DATE(2026,11,5),tblDaily[WardCode],"FW")),"")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  <c r="I402" s="5" t="str">
        <f>IFERROR(IF(SUMIFS(tblDaily[MalariaCases],tblDaily[EntryDate],DATE(2026,11,6),tblDaily[WardCode],"FW")=0,"",SUMIFS(tblDaily[MalariaCases],tblDaily[EntryDate],DATE(2026,11,6),tblDaily[WardCode],"FW")),"")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  <c r="I403" s="5" t="str">
        <f>IFERROR(IF(SUMIFS(tblDaily[MalariaCases],tblDaily[EntryDate],DATE(2026,11,7),tblDaily[WardCode],"FW")=0,"",SUMIFS(tblDaily[MalariaCases],tblDaily[EntryDate],DATE(2026,11,7),tblDaily[WardCode],"FW")),"")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  <c r="I404" s="5" t="str">
        <f>IFERROR(IF(SUMIFS(tblDaily[MalariaCases],tblDaily[EntryDate],DATE(2026,11,8),tblDaily[WardCode],"FW")=0,"",SUMIFS(tblDaily[MalariaCases],tblDaily[EntryDate],DATE(2026,11,8),tblDaily[WardCode],"FW")),"")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  <c r="I405" s="5" t="str">
        <f>IFERROR(IF(SUMIFS(tblDaily[MalariaCases],tblDaily[EntryDate],DATE(2026,11,9),tblDaily[WardCode],"FW")=0,"",SUMIFS(tblDaily[MalariaCases],tblDaily[EntryDate],DATE(2026,11,9),tblDaily[WardCode],"FW")),"")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  <c r="I406" s="5" t="str">
        <f>IFERROR(IF(SUMIFS(tblDaily[MalariaCases],tblDaily[EntryDate],DATE(2026,11,10),tblDaily[WardCode],"FW")=0,"",SUMIFS(tblDaily[MalariaCases],tblDaily[EntryDate],DATE(2026,11,10),tblDaily[WardCode],"FW")),"")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  <c r="I407" s="5" t="str">
        <f>IFERROR(IF(SUMIFS(tblDaily[MalariaCases],tblDaily[EntryDate],DATE(2026,11,11),tblDaily[WardCode],"FW")=0,"",SUMIFS(tblDaily[MalariaCases],tblDaily[EntryDate],DATE(2026,11,11),tblDaily[WardCode],"FW")),"")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  <c r="I408" s="5" t="str">
        <f>IFERROR(IF(SUMIFS(tblDaily[MalariaCases],tblDaily[EntryDate],DATE(2026,11,12),tblDaily[WardCode],"FW")=0,"",SUMIFS(tblDaily[MalariaCases],tblDaily[EntryDate],DATE(2026,11,12),tblDaily[WardCode],"FW")),"")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  <c r="I409" s="5" t="str">
        <f>IFERROR(IF(SUMIFS(tblDaily[MalariaCases],tblDaily[EntryDate],DATE(2026,11,13),tblDaily[WardCode],"FW")=0,"",SUMIFS(tblDaily[MalariaCases],tblDaily[EntryDate],DATE(2026,11,13),tblDaily[WardCode],"FW")),"")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  <c r="I410" s="5" t="str">
        <f>IFERROR(IF(SUMIFS(tblDaily[MalariaCases],tblDaily[EntryDate],DATE(2026,11,14),tblDaily[WardCode],"FW")=0,"",SUMIFS(tblDaily[MalariaCases],tblDaily[EntryDate],DATE(2026,11,14),tblDaily[WardCode],"FW")),"")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  <c r="I411" s="5" t="str">
        <f>IFERROR(IF(SUMIFS(tblDaily[MalariaCases],tblDaily[EntryDate],DATE(2026,11,15),tblDaily[WardCode],"FW")=0,"",SUMIFS(tblDaily[MalariaCases],tblDaily[EntryDate],DATE(2026,11,15),tblDaily[WardCode],"FW")),"")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  <c r="I412" s="5" t="str">
        <f>IFERROR(IF(SUMIFS(tblDaily[MalariaCases],tblDaily[EntryDate],DATE(2026,11,16),tblDaily[WardCode],"FW")=0,"",SUMIFS(tblDaily[MalariaCases],tblDaily[EntryDate],DATE(2026,11,16),tblDaily[WardCode],"FW")),"")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  <c r="I413" s="5" t="str">
        <f>IFERROR(IF(SUMIFS(tblDaily[MalariaCases],tblDaily[EntryDate],DATE(2026,11,17),tblDaily[WardCode],"FW")=0,"",SUMIFS(tblDaily[MalariaCases],tblDaily[EntryDate],DATE(2026,11,17),tblDaily[WardCode],"FW")),"")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  <c r="I414" s="5" t="str">
        <f>IFERROR(IF(SUMIFS(tblDaily[MalariaCases],tblDaily[EntryDate],DATE(2026,11,18),tblDaily[WardCode],"FW")=0,"",SUMIFS(tblDaily[MalariaCases],tblDaily[EntryDate],DATE(2026,11,18),tblDaily[WardCode],"FW")),"")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  <c r="I415" s="5" t="str">
        <f>IFERROR(IF(SUMIFS(tblDaily[MalariaCases],tblDaily[EntryDate],DATE(2026,11,19),tblDaily[WardCode],"FW")=0,"",SUMIFS(tblDaily[MalariaCases],tblDaily[EntryDate],DATE(2026,11,19),tblDaily[WardCode],"FW")),"")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  <c r="I416" s="5" t="str">
        <f>IFERROR(IF(SUMIFS(tblDaily[MalariaCases],tblDaily[EntryDate],DATE(2026,11,20),tblDaily[WardCode],"FW")=0,"",SUMIFS(tblDaily[MalariaCases],tblDaily[EntryDate],DATE(2026,11,20),tblDaily[WardCode],"FW")),"")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  <c r="I417" s="5" t="str">
        <f>IFERROR(IF(SUMIFS(tblDaily[MalariaCases],tblDaily[EntryDate],DATE(2026,11,21),tblDaily[WardCode],"FW")=0,"",SUMIFS(tblDaily[MalariaCases],tblDaily[EntryDate],DATE(2026,11,21),tblDaily[WardCode],"FW")),"")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  <c r="I418" s="5" t="str">
        <f>IFERROR(IF(SUMIFS(tblDaily[MalariaCases],tblDaily[EntryDate],DATE(2026,11,22),tblDaily[WardCode],"FW")=0,"",SUMIFS(tblDaily[MalariaCases],tblDaily[EntryDate],DATE(2026,11,22),tblDaily[WardCode],"FW")),"")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  <c r="I419" s="5" t="str">
        <f>IFERROR(IF(SUMIFS(tblDaily[MalariaCases],tblDaily[EntryDate],DATE(2026,11,23),tblDaily[WardCode],"FW")=0,"",SUMIFS(tblDaily[MalariaCases],tblDaily[EntryDate],DATE(2026,11,23),tblDaily[WardCode],"FW")),"")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  <c r="I420" s="5" t="str">
        <f>IFERROR(IF(SUMIFS(tblDaily[MalariaCases],tblDaily[EntryDate],DATE(2026,11,24),tblDaily[WardCode],"FW")=0,"",SUMIFS(tblDaily[MalariaCases],tblDaily[EntryDate],DATE(2026,11,24),tblDaily[WardCode],"FW")),"")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  <c r="I421" s="5" t="str">
        <f>IFERROR(IF(SUMIFS(tblDaily[MalariaCases],tblDaily[EntryDate],DATE(2026,11,25),tblDaily[WardCode],"FW")=0,"",SUMIFS(tblDaily[MalariaCases],tblDaily[EntryDate],DATE(2026,11,25),tblDaily[WardCode],"FW")),"")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  <c r="I422" s="5" t="str">
        <f>IFERROR(IF(SUMIFS(tblDaily[MalariaCases],tblDaily[EntryDate],DATE(2026,11,26),tblDaily[WardCode],"FW")=0,"",SUMIFS(tblDaily[MalariaCases],tblDaily[EntryDate],DATE(2026,11,26),tblDaily[WardCode],"FW")),"")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  <c r="I423" s="5" t="str">
        <f>IFERROR(IF(SUMIFS(tblDaily[MalariaCases],tblDaily[EntryDate],DATE(2026,11,27),tblDaily[WardCode],"FW")=0,"",SUMIFS(tblDaily[MalariaCases],tblDaily[EntryDate],DATE(2026,11,27),tblDaily[WardCode],"FW")),"")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  <c r="I424" s="5" t="str">
        <f>IFERROR(IF(SUMIFS(tblDaily[MalariaCases],tblDaily[EntryDate],DATE(2026,11,28),tblDaily[WardCode],"FW")=0,"",SUMIFS(tblDaily[MalariaCases],tblDaily[EntryDate],DATE(2026,11,28),tblDaily[WardCode],"FW")),"")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  <c r="I425" s="5" t="str">
        <f>IFERROR(IF(SUMIFS(tblDaily[MalariaCases],tblDaily[EntryDate],DATE(2026,11,29),tblDaily[WardCode],"FW")=0,"",SUMIFS(tblDaily[MalariaCases],tblDaily[EntryDate],DATE(2026,11,29),tblDaily[WardCode],"FW")),"")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  <c r="I426" s="5" t="str">
        <f>IFERROR(IF(SUMIFS(tblDaily[MalariaCases],tblDaily[EntryDate],DATE(2026,11,30),tblDaily[WardCode],"FW")=0,"",SUMIFS(tblDaily[MalariaCases],tblDaily[EntryDate],DATE(2026,11,30),tblDaily[WardCode],"FW")),"")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95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IFERROR(SUMIFS(tblDaily[Remaining],tblDaily[EntryDate],DATE(2026,11,30),tblDaily[WardCode],"FW"),0)</f>
        <v>0</v>
      </c>
    </row>
    <row r="434" spans="1:9" x14ac:dyDescent="0.25">
      <c r="A434" s="1" t="s">
        <v>87</v>
      </c>
      <c r="H434" s="7">
        <f>IFERROR(INDEX(tblWardConfig[BedComplement],MATCH("FW",tblWardConfig[Export Year-End],0)),0)</f>
        <v>28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  <c r="I436" s="5" t="str">
        <f>IFERROR(IF(SUMIFS(tblDaily[MalariaCases],tblDaily[EntryDate],DATE(2026,12,1),tblDaily[WardCode],"FW")=0,"",SUMIFS(tblDaily[MalariaCases],tblDaily[EntryDate],DATE(2026,12,1),tblDaily[WardCode],"FW")),"")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  <c r="I437" s="5" t="str">
        <f>IFERROR(IF(SUMIFS(tblDaily[MalariaCases],tblDaily[EntryDate],DATE(2026,12,2),tblDaily[WardCode],"FW")=0,"",SUMIFS(tblDaily[MalariaCases],tblDaily[EntryDate],DATE(2026,12,2),tblDaily[WardCode],"FW")),"")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  <c r="I438" s="5" t="str">
        <f>IFERROR(IF(SUMIFS(tblDaily[MalariaCases],tblDaily[EntryDate],DATE(2026,12,3),tblDaily[WardCode],"FW")=0,"",SUMIFS(tblDaily[MalariaCases],tblDaily[EntryDate],DATE(2026,12,3),tblDaily[WardCode],"FW")),"")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  <c r="I439" s="5" t="str">
        <f>IFERROR(IF(SUMIFS(tblDaily[MalariaCases],tblDaily[EntryDate],DATE(2026,12,4),tblDaily[WardCode],"FW")=0,"",SUMIFS(tblDaily[MalariaCases],tblDaily[EntryDate],DATE(2026,12,4),tblDaily[WardCode],"FW")),"")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  <c r="I440" s="5" t="str">
        <f>IFERROR(IF(SUMIFS(tblDaily[MalariaCases],tblDaily[EntryDate],DATE(2026,12,5),tblDaily[WardCode],"FW")=0,"",SUMIFS(tblDaily[MalariaCases],tblDaily[EntryDate],DATE(2026,12,5),tblDaily[WardCode],"FW")),"")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  <c r="I441" s="5" t="str">
        <f>IFERROR(IF(SUMIFS(tblDaily[MalariaCases],tblDaily[EntryDate],DATE(2026,12,6),tblDaily[WardCode],"FW")=0,"",SUMIFS(tblDaily[MalariaCases],tblDaily[EntryDate],DATE(2026,12,6),tblDaily[WardCode],"FW")),"")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  <c r="I442" s="5" t="str">
        <f>IFERROR(IF(SUMIFS(tblDaily[MalariaCases],tblDaily[EntryDate],DATE(2026,12,7),tblDaily[WardCode],"FW")=0,"",SUMIFS(tblDaily[MalariaCases],tblDaily[EntryDate],DATE(2026,12,7),tblDaily[WardCode],"FW")),"")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  <c r="I443" s="5" t="str">
        <f>IFERROR(IF(SUMIFS(tblDaily[MalariaCases],tblDaily[EntryDate],DATE(2026,12,8),tblDaily[WardCode],"FW")=0,"",SUMIFS(tblDaily[MalariaCases],tblDaily[EntryDate],DATE(2026,12,8),tblDaily[WardCode],"FW")),"")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  <c r="I444" s="5" t="str">
        <f>IFERROR(IF(SUMIFS(tblDaily[MalariaCases],tblDaily[EntryDate],DATE(2026,12,9),tblDaily[WardCode],"FW")=0,"",SUMIFS(tblDaily[MalariaCases],tblDaily[EntryDate],DATE(2026,12,9),tblDaily[WardCode],"FW")),"")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  <c r="I445" s="5" t="str">
        <f>IFERROR(IF(SUMIFS(tblDaily[MalariaCases],tblDaily[EntryDate],DATE(2026,12,10),tblDaily[WardCode],"FW")=0,"",SUMIFS(tblDaily[MalariaCases],tblDaily[EntryDate],DATE(2026,12,10),tblDaily[WardCode],"FW")),"")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  <c r="I446" s="5" t="str">
        <f>IFERROR(IF(SUMIFS(tblDaily[MalariaCases],tblDaily[EntryDate],DATE(2026,12,11),tblDaily[WardCode],"FW")=0,"",SUMIFS(tblDaily[MalariaCases],tblDaily[EntryDate],DATE(2026,12,11),tblDaily[WardCode],"FW")),"")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  <c r="I447" s="5" t="str">
        <f>IFERROR(IF(SUMIFS(tblDaily[MalariaCases],tblDaily[EntryDate],DATE(2026,12,12),tblDaily[WardCode],"FW")=0,"",SUMIFS(tblDaily[MalariaCases],tblDaily[EntryDate],DATE(2026,12,12),tblDaily[WardCode],"FW")),"")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  <c r="I448" s="5" t="str">
        <f>IFERROR(IF(SUMIFS(tblDaily[MalariaCases],tblDaily[EntryDate],DATE(2026,12,13),tblDaily[WardCode],"FW")=0,"",SUMIFS(tblDaily[MalariaCases],tblDaily[EntryDate],DATE(2026,12,13),tblDaily[WardCode],"FW")),"")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  <c r="I449" s="5" t="str">
        <f>IFERROR(IF(SUMIFS(tblDaily[MalariaCases],tblDaily[EntryDate],DATE(2026,12,14),tblDaily[WardCode],"FW")=0,"",SUMIFS(tblDaily[MalariaCases],tblDaily[EntryDate],DATE(2026,12,14),tblDaily[WardCode],"FW")),"")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  <c r="I450" s="5" t="str">
        <f>IFERROR(IF(SUMIFS(tblDaily[MalariaCases],tblDaily[EntryDate],DATE(2026,12,15),tblDaily[WardCode],"FW")=0,"",SUMIFS(tblDaily[MalariaCases],tblDaily[EntryDate],DATE(2026,12,15),tblDaily[WardCode],"FW")),"")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  <c r="I451" s="5" t="str">
        <f>IFERROR(IF(SUMIFS(tblDaily[MalariaCases],tblDaily[EntryDate],DATE(2026,12,16),tblDaily[WardCode],"FW")=0,"",SUMIFS(tblDaily[MalariaCases],tblDaily[EntryDate],DATE(2026,12,16),tblDaily[WardCode],"FW")),"")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  <c r="I452" s="5" t="str">
        <f>IFERROR(IF(SUMIFS(tblDaily[MalariaCases],tblDaily[EntryDate],DATE(2026,12,17),tblDaily[WardCode],"FW")=0,"",SUMIFS(tblDaily[MalariaCases],tblDaily[EntryDate],DATE(2026,12,17),tblDaily[WardCode],"FW")),"")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  <c r="I453" s="5" t="str">
        <f>IFERROR(IF(SUMIFS(tblDaily[MalariaCases],tblDaily[EntryDate],DATE(2026,12,18),tblDaily[WardCode],"FW")=0,"",SUMIFS(tblDaily[MalariaCases],tblDaily[EntryDate],DATE(2026,12,18),tblDaily[WardCode],"FW")),"")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  <c r="I454" s="5" t="str">
        <f>IFERROR(IF(SUMIFS(tblDaily[MalariaCases],tblDaily[EntryDate],DATE(2026,12,19),tblDaily[WardCode],"FW")=0,"",SUMIFS(tblDaily[MalariaCases],tblDaily[EntryDate],DATE(2026,12,19),tblDaily[WardCode],"FW")),"")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  <c r="I455" s="5" t="str">
        <f>IFERROR(IF(SUMIFS(tblDaily[MalariaCases],tblDaily[EntryDate],DATE(2026,12,20),tblDaily[WardCode],"FW")=0,"",SUMIFS(tblDaily[MalariaCases],tblDaily[EntryDate],DATE(2026,12,20),tblDaily[WardCode],"FW")),"")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  <c r="I456" s="5" t="str">
        <f>IFERROR(IF(SUMIFS(tblDaily[MalariaCases],tblDaily[EntryDate],DATE(2026,12,21),tblDaily[WardCode],"FW")=0,"",SUMIFS(tblDaily[MalariaCases],tblDaily[EntryDate],DATE(2026,12,21),tblDaily[WardCode],"FW")),"")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  <c r="I457" s="5" t="str">
        <f>IFERROR(IF(SUMIFS(tblDaily[MalariaCases],tblDaily[EntryDate],DATE(2026,12,22),tblDaily[WardCode],"FW")=0,"",SUMIFS(tblDaily[MalariaCases],tblDaily[EntryDate],DATE(2026,12,22),tblDaily[WardCode],"FW")),"")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  <c r="I458" s="5" t="str">
        <f>IFERROR(IF(SUMIFS(tblDaily[MalariaCases],tblDaily[EntryDate],DATE(2026,12,23),tblDaily[WardCode],"FW")=0,"",SUMIFS(tblDaily[MalariaCases],tblDaily[EntryDate],DATE(2026,12,23),tblDaily[WardCode],"FW")),"")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  <c r="I459" s="5" t="str">
        <f>IFERROR(IF(SUMIFS(tblDaily[MalariaCases],tblDaily[EntryDate],DATE(2026,12,24),tblDaily[WardCode],"FW")=0,"",SUMIFS(tblDaily[MalariaCases],tblDaily[EntryDate],DATE(2026,12,24),tblDaily[WardCode],"FW")),"")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  <c r="I460" s="5" t="str">
        <f>IFERROR(IF(SUMIFS(tblDaily[MalariaCases],tblDaily[EntryDate],DATE(2026,12,25),tblDaily[WardCode],"FW")=0,"",SUMIFS(tblDaily[MalariaCases],tblDaily[EntryDate],DATE(2026,12,25),tblDaily[WardCode],"FW")),"")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  <c r="I461" s="5" t="str">
        <f>IFERROR(IF(SUMIFS(tblDaily[MalariaCases],tblDaily[EntryDate],DATE(2026,12,26),tblDaily[WardCode],"FW")=0,"",SUMIFS(tblDaily[MalariaCases],tblDaily[EntryDate],DATE(2026,12,26),tblDaily[WardCode],"FW")),"")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  <c r="I462" s="5" t="str">
        <f>IFERROR(IF(SUMIFS(tblDaily[MalariaCases],tblDaily[EntryDate],DATE(2026,12,27),tblDaily[WardCode],"FW")=0,"",SUMIFS(tblDaily[MalariaCases],tblDaily[EntryDate],DATE(2026,12,27),tblDaily[WardCode],"FW")),"")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  <c r="I463" s="5" t="str">
        <f>IFERROR(IF(SUMIFS(tblDaily[MalariaCases],tblDaily[EntryDate],DATE(2026,12,28),tblDaily[WardCode],"FW")=0,"",SUMIFS(tblDaily[MalariaCases],tblDaily[EntryDate],DATE(2026,12,28),tblDaily[WardCode],"FW")),"")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  <c r="I464" s="5" t="str">
        <f>IFERROR(IF(SUMIFS(tblDaily[MalariaCases],tblDaily[EntryDate],DATE(2026,12,29),tblDaily[WardCode],"FW")=0,"",SUMIFS(tblDaily[MalariaCases],tblDaily[EntryDate],DATE(2026,12,29),tblDaily[WardCode],"FW")),"")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  <c r="I465" s="5" t="str">
        <f>IFERROR(IF(SUMIFS(tblDaily[MalariaCases],tblDaily[EntryDate],DATE(2026,12,30),tblDaily[WardCode],"FW")=0,"",SUMIFS(tblDaily[MalariaCases],tblDaily[EntryDate],DATE(2026,12,30),tblDaily[WardCode],"FW")),"")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  <c r="I466" s="5" t="str">
        <f>IFERROR(IF(SUMIFS(tblDaily[MalariaCases],tblDaily[EntryDate],DATE(2026,12,31),tblDaily[WardCode],"FW")=0,"",SUMIFS(tblDaily[MalariaCases],tblDaily[EntryDate],DATE(2026,12,31),tblDaily[WardCode],"FW")),"")</f>
        <v/>
      </c>
    </row>
    <row r="467" spans="1:9" x14ac:dyDescent="0.25">
      <c r="A467" s="9" t="s">
        <v>94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96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IFERROR(INDEX(tblWardConfig[PrevYearRemaining],MATCH("CW",tblWardConfig[Export Year-End],0)),0)</f>
        <v>0</v>
      </c>
    </row>
    <row r="5" spans="1:9" x14ac:dyDescent="0.25">
      <c r="A5" s="1" t="s">
        <v>87</v>
      </c>
      <c r="H5" s="7">
        <f>IFERROR(INDEX(tblWardConfig[BedComplement],MATCH("CW",tblWardConfig[Export Year-End],0)),0)</f>
        <v>27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IFERROR(IF(SUMIFS(tblDaily[Admissions],tblDaily[EntryDate],DATE(2026,1,1),tblDaily[WardCode],"CW")=0,"",SUMIFS(tblDaily[Admissions],tblDaily[EntryDate],DATE(2026,1,1),tblDaily[WardCode],"CW")),"")</f>
        <v/>
      </c>
      <c r="C7" s="5" t="str">
        <f>IFERROR(IF(SUMIFS(tblDaily[Discharges],tblDaily[EntryDate],DATE(2026,1,1),tblDaily[WardCode],"CW")=0,"",SUMIFS(tblDaily[Discharges],tblDaily[EntryDate],DATE(2026,1,1),tblDaily[WardCode],"CW")),"")</f>
        <v/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 t="str">
        <f>IFERROR(IF(SUMIFS(tblDaily[Remaining],tblDaily[EntryDate],DATE(2026,1,1),tblDaily[WardCode],"CW")=0,"",SUMIFS(tblDaily[Remaining],tblDaily[EntryDate],DATE(2026,1,1),tblDaily[WardCode],"CW")),"")</f>
        <v/>
      </c>
      <c r="I7" s="5" t="str">
        <f>IFERROR(IF(SUMIFS(tblDaily[MalariaCases],tblDaily[EntryDate],DATE(2026,1,1),tblDaily[WardCode],"CW")=0,"",SUMIFS(tblDaily[MalariaCases],tblDaily[EntryDate],DATE(2026,1,1),tblDaily[WardCode],"CW")),"")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 t="str">
        <f>IFERROR(IF(SUMIFS(tblDaily[Remaining],tblDaily[EntryDate],DATE(2026,1,2),tblDaily[WardCode],"CW")=0,"",SUMIFS(tblDaily[Remaining],tblDaily[EntryDate],DATE(2026,1,2),tblDaily[WardCode],"CW")),"")</f>
        <v/>
      </c>
      <c r="I8" s="5" t="str">
        <f>IFERROR(IF(SUMIFS(tblDaily[MalariaCases],tblDaily[EntryDate],DATE(2026,1,2),tblDaily[WardCode],"CW")=0,"",SUMIFS(tblDaily[MalariaCases],tblDaily[EntryDate],DATE(2026,1,2),tblDaily[WardCode],"CW")),"")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IFERROR(IF(SUMIFS(tblDaily[Admissions],tblDaily[EntryDate],DATE(2026,1,3),tblDaily[WardCode],"CW")=0,"",SUMIFS(tblDaily[Admissions],tblDaily[EntryDate],DATE(2026,1,3),tblDaily[WardCode],"CW")),"")</f>
        <v/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 t="str">
        <f>IFERROR(IF(SUMIFS(tblDaily[Remaining],tblDaily[EntryDate],DATE(2026,1,3),tblDaily[WardCode],"CW")=0,"",SUMIFS(tblDaily[Remaining],tblDaily[EntryDate],DATE(2026,1,3),tblDaily[WardCode],"CW")),"")</f>
        <v/>
      </c>
      <c r="I9" s="5" t="str">
        <f>IFERROR(IF(SUMIFS(tblDaily[MalariaCases],tblDaily[EntryDate],DATE(2026,1,3),tblDaily[WardCode],"CW")=0,"",SUMIFS(tblDaily[MalariaCases],tblDaily[EntryDate],DATE(2026,1,3),tblDaily[WardCode],"CW")),"")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IFERROR(IF(SUMIFS(tblDaily[Admissions],tblDaily[EntryDate],DATE(2026,1,4),tblDaily[WardCode],"CW")=0,"",SUMIFS(tblDaily[Admissions],tblDaily[EntryDate],DATE(2026,1,4),tblDaily[WardCode],"CW")),"")</f>
        <v/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 t="str">
        <f>IFERROR(IF(SUMIFS(tblDaily[Remaining],tblDaily[EntryDate],DATE(2026,1,4),tblDaily[WardCode],"CW")=0,"",SUMIFS(tblDaily[Remaining],tblDaily[EntryDate],DATE(2026,1,4),tblDaily[WardCode],"CW")),"")</f>
        <v/>
      </c>
      <c r="I10" s="5" t="str">
        <f>IFERROR(IF(SUMIFS(tblDaily[MalariaCases],tblDaily[EntryDate],DATE(2026,1,4),tblDaily[WardCode],"CW")=0,"",SUMIFS(tblDaily[MalariaCases],tblDaily[EntryDate],DATE(2026,1,4),tblDaily[WardCode],"CW")),"")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IFERROR(IF(SUMIFS(tblDaily[Admissions],tblDaily[EntryDate],DATE(2026,1,5),tblDaily[WardCode],"CW")=0,"",SUMIFS(tblDaily[Admissions],tblDaily[EntryDate],DATE(2026,1,5),tblDaily[WardCode],"CW")),"")</f>
        <v/>
      </c>
      <c r="C11" s="5" t="str">
        <f>IFERROR(IF(SUMIFS(tblDaily[Discharges],tblDaily[EntryDate],DATE(2026,1,5),tblDaily[WardCode],"CW")=0,"",SUMIFS(tblDaily[Discharges],tblDaily[EntryDate],DATE(2026,1,5),tblDaily[WardCode],"CW")),"")</f>
        <v/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 t="str">
        <f>IFERROR(IF(SUMIFS(tblDaily[Remaining],tblDaily[EntryDate],DATE(2026,1,5),tblDaily[WardCode],"CW")=0,"",SUMIFS(tblDaily[Remaining],tblDaily[EntryDate],DATE(2026,1,5),tblDaily[WardCode],"CW")),"")</f>
        <v/>
      </c>
      <c r="I11" s="5" t="str">
        <f>IFERROR(IF(SUMIFS(tblDaily[MalariaCases],tblDaily[EntryDate],DATE(2026,1,5),tblDaily[WardCode],"CW")=0,"",SUMIFS(tblDaily[MalariaCases],tblDaily[EntryDate],DATE(2026,1,5),tblDaily[WardCode],"CW")),"")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IFERROR(IF(SUMIFS(tblDaily[Admissions],tblDaily[EntryDate],DATE(2026,1,6),tblDaily[WardCode],"CW")=0,"",SUMIFS(tblDaily[Admissions],tblDaily[EntryDate],DATE(2026,1,6),tblDaily[WardCode],"CW")),"")</f>
        <v/>
      </c>
      <c r="C12" s="5" t="str">
        <f>IFERROR(IF(SUMIFS(tblDaily[Discharges],tblDaily[EntryDate],DATE(2026,1,6),tblDaily[WardCode],"CW")=0,"",SUMIFS(tblDaily[Discharges],tblDaily[EntryDate],DATE(2026,1,6),tblDaily[WardCode],"CW")),"")</f>
        <v/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 t="str">
        <f>IFERROR(IF(SUMIFS(tblDaily[Remaining],tblDaily[EntryDate],DATE(2026,1,6),tblDaily[WardCode],"CW")=0,"",SUMIFS(tblDaily[Remaining],tblDaily[EntryDate],DATE(2026,1,6),tblDaily[WardCode],"CW")),"")</f>
        <v/>
      </c>
      <c r="I12" s="5" t="str">
        <f>IFERROR(IF(SUMIFS(tblDaily[MalariaCases],tblDaily[EntryDate],DATE(2026,1,6),tblDaily[WardCode],"CW")=0,"",SUMIFS(tblDaily[MalariaCases],tblDaily[EntryDate],DATE(2026,1,6),tblDaily[WardCode],"CW")),"")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IFERROR(IF(SUMIFS(tblDaily[Admissions],tblDaily[EntryDate],DATE(2026,1,7),tblDaily[WardCode],"CW")=0,"",SUMIFS(tblDaily[Admissions],tblDaily[EntryDate],DATE(2026,1,7),tblDaily[WardCode],"CW")),"")</f>
        <v/>
      </c>
      <c r="C13" s="5" t="str">
        <f>IFERROR(IF(SUMIFS(tblDaily[Discharges],tblDaily[EntryDate],DATE(2026,1,7),tblDaily[WardCode],"CW")=0,"",SUMIFS(tblDaily[Discharges],tblDaily[EntryDate],DATE(2026,1,7),tblDaily[WardCode],"CW")),"")</f>
        <v/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 t="str">
        <f>IFERROR(IF(SUMIFS(tblDaily[Remaining],tblDaily[EntryDate],DATE(2026,1,7),tblDaily[WardCode],"CW")=0,"",SUMIFS(tblDaily[Remaining],tblDaily[EntryDate],DATE(2026,1,7),tblDaily[WardCode],"CW")),"")</f>
        <v/>
      </c>
      <c r="I13" s="5" t="str">
        <f>IFERROR(IF(SUMIFS(tblDaily[MalariaCases],tblDaily[EntryDate],DATE(2026,1,7),tblDaily[WardCode],"CW")=0,"",SUMIFS(tblDaily[MalariaCases],tblDaily[EntryDate],DATE(2026,1,7),tblDaily[WardCode],"CW")),"")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 t="str">
        <f>IFERROR(IF(SUMIFS(tblDaily[Discharges],tblDaily[EntryDate],DATE(2026,1,8),tblDaily[WardCode],"CW")=0,"",SUMIFS(tblDaily[Discharges],tblDaily[EntryDate],DATE(2026,1,8),tblDaily[WardCode],"CW")),"")</f>
        <v/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 t="str">
        <f>IFERROR(IF(SUMIFS(tblDaily[Remaining],tblDaily[EntryDate],DATE(2026,1,8),tblDaily[WardCode],"CW")=0,"",SUMIFS(tblDaily[Remaining],tblDaily[EntryDate],DATE(2026,1,8),tblDaily[WardCode],"CW")),"")</f>
        <v/>
      </c>
      <c r="I14" s="5" t="str">
        <f>IFERROR(IF(SUMIFS(tblDaily[MalariaCases],tblDaily[EntryDate],DATE(2026,1,8),tblDaily[WardCode],"CW")=0,"",SUMIFS(tblDaily[MalariaCases],tblDaily[EntryDate],DATE(2026,1,8),tblDaily[WardCode],"CW")),"")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IFERROR(IF(SUMIFS(tblDaily[Admissions],tblDaily[EntryDate],DATE(2026,1,9),tblDaily[WardCode],"CW")=0,"",SUMIFS(tblDaily[Admissions],tblDaily[EntryDate],DATE(2026,1,9),tblDaily[WardCode],"CW")),"")</f>
        <v/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 t="str">
        <f>IFERROR(IF(SUMIFS(tblDaily[Remaining],tblDaily[EntryDate],DATE(2026,1,9),tblDaily[WardCode],"CW")=0,"",SUMIFS(tblDaily[Remaining],tblDaily[EntryDate],DATE(2026,1,9),tblDaily[WardCode],"CW")),"")</f>
        <v/>
      </c>
      <c r="I15" s="5" t="str">
        <f>IFERROR(IF(SUMIFS(tblDaily[MalariaCases],tblDaily[EntryDate],DATE(2026,1,9),tblDaily[WardCode],"CW")=0,"",SUMIFS(tblDaily[MalariaCases],tblDaily[EntryDate],DATE(2026,1,9),tblDaily[WardCode],"CW")),"")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IFERROR(IF(SUMIFS(tblDaily[Admissions],tblDaily[EntryDate],DATE(2026,1,10),tblDaily[WardCode],"CW")=0,"",SUMIFS(tblDaily[Admissions],tblDaily[EntryDate],DATE(2026,1,10),tblDaily[WardCode],"CW")),"")</f>
        <v/>
      </c>
      <c r="C16" s="5" t="str">
        <f>IFERROR(IF(SUMIFS(tblDaily[Discharges],tblDaily[EntryDate],DATE(2026,1,10),tblDaily[WardCode],"CW")=0,"",SUMIFS(tblDaily[Discharges],tblDaily[EntryDate],DATE(2026,1,10),tblDaily[WardCode],"CW")),"")</f>
        <v/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 t="str">
        <f>IFERROR(IF(SUMIFS(tblDaily[Remaining],tblDaily[EntryDate],DATE(2026,1,10),tblDaily[WardCode],"CW")=0,"",SUMIFS(tblDaily[Remaining],tblDaily[EntryDate],DATE(2026,1,10),tblDaily[WardCode],"CW")),"")</f>
        <v/>
      </c>
      <c r="I16" s="5" t="str">
        <f>IFERROR(IF(SUMIFS(tblDaily[MalariaCases],tblDaily[EntryDate],DATE(2026,1,10),tblDaily[WardCode],"CW")=0,"",SUMIFS(tblDaily[MalariaCases],tblDaily[EntryDate],DATE(2026,1,10),tblDaily[WardCode],"CW")),"")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IFERROR(IF(SUMIFS(tblDaily[Admissions],tblDaily[EntryDate],DATE(2026,1,11),tblDaily[WardCode],"CW")=0,"",SUMIFS(tblDaily[Admissions],tblDaily[EntryDate],DATE(2026,1,11),tblDaily[WardCode],"CW")),"")</f>
        <v/>
      </c>
      <c r="C17" s="5" t="str">
        <f>IFERROR(IF(SUMIFS(tblDaily[Discharges],tblDaily[EntryDate],DATE(2026,1,11),tblDaily[WardCode],"CW")=0,"",SUMIFS(tblDaily[Discharges],tblDaily[EntryDate],DATE(2026,1,11),tblDaily[WardCode],"CW")),"")</f>
        <v/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 t="str">
        <f>IFERROR(IF(SUMIFS(tblDaily[Remaining],tblDaily[EntryDate],DATE(2026,1,11),tblDaily[WardCode],"CW")=0,"",SUMIFS(tblDaily[Remaining],tblDaily[EntryDate],DATE(2026,1,11),tblDaily[WardCode],"CW")),"")</f>
        <v/>
      </c>
      <c r="I17" s="5" t="str">
        <f>IFERROR(IF(SUMIFS(tblDaily[MalariaCases],tblDaily[EntryDate],DATE(2026,1,11),tblDaily[WardCode],"CW")=0,"",SUMIFS(tblDaily[MalariaCases],tblDaily[EntryDate],DATE(2026,1,11),tblDaily[WardCode],"CW")),"")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IFERROR(IF(SUMIFS(tblDaily[Admissions],tblDaily[EntryDate],DATE(2026,1,12),tblDaily[WardCode],"CW")=0,"",SUMIFS(tblDaily[Admissions],tblDaily[EntryDate],DATE(2026,1,12),tblDaily[WardCode],"CW")),"")</f>
        <v/>
      </c>
      <c r="C18" s="5" t="str">
        <f>IFERROR(IF(SUMIFS(tblDaily[Discharges],tblDaily[EntryDate],DATE(2026,1,12),tblDaily[WardCode],"CW")=0,"",SUMIFS(tblDaily[Discharges],tblDaily[EntryDate],DATE(2026,1,12),tblDaily[WardCode],"CW")),"")</f>
        <v/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 t="str">
        <f>IFERROR(IF(SUMIFS(tblDaily[TransfersIn],tblDaily[EntryDate],DATE(2026,1,12),tblDaily[WardCode],"CW")=0,"",SUMIFS(tblDaily[TransfersIn],tblDaily[EntryDate],DATE(2026,1,12),tblDaily[WardCode],"CW")),"")</f>
        <v/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 t="str">
        <f>IFERROR(IF(SUMIFS(tblDaily[Remaining],tblDaily[EntryDate],DATE(2026,1,12),tblDaily[WardCode],"CW")=0,"",SUMIFS(tblDaily[Remaining],tblDaily[EntryDate],DATE(2026,1,12),tblDaily[WardCode],"CW")),"")</f>
        <v/>
      </c>
      <c r="I18" s="5" t="str">
        <f>IFERROR(IF(SUMIFS(tblDaily[MalariaCases],tblDaily[EntryDate],DATE(2026,1,12),tblDaily[WardCode],"CW")=0,"",SUMIFS(tblDaily[MalariaCases],tblDaily[EntryDate],DATE(2026,1,12),tblDaily[WardCode],"CW")),"")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IFERROR(IF(SUMIFS(tblDaily[Admissions],tblDaily[EntryDate],DATE(2026,1,13),tblDaily[WardCode],"CW")=0,"",SUMIFS(tblDaily[Admissions],tblDaily[EntryDate],DATE(2026,1,13),tblDaily[WardCode],"CW")),"")</f>
        <v/>
      </c>
      <c r="C19" s="5" t="str">
        <f>IFERROR(IF(SUMIFS(tblDaily[Discharges],tblDaily[EntryDate],DATE(2026,1,13),tblDaily[WardCode],"CW")=0,"",SUMIFS(tblDaily[Discharges],tblDaily[EntryDate],DATE(2026,1,13),tblDaily[WardCode],"CW")),"")</f>
        <v/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 t="str">
        <f>IFERROR(IF(SUMIFS(tblDaily[Remaining],tblDaily[EntryDate],DATE(2026,1,13),tblDaily[WardCode],"CW")=0,"",SUMIFS(tblDaily[Remaining],tblDaily[EntryDate],DATE(2026,1,13),tblDaily[WardCode],"CW")),"")</f>
        <v/>
      </c>
      <c r="I19" s="5" t="str">
        <f>IFERROR(IF(SUMIFS(tblDaily[MalariaCases],tblDaily[EntryDate],DATE(2026,1,13),tblDaily[WardCode],"CW")=0,"",SUMIFS(tblDaily[MalariaCases],tblDaily[EntryDate],DATE(2026,1,13),tblDaily[WardCode],"CW")),"")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IFERROR(IF(SUMIFS(tblDaily[Admissions],tblDaily[EntryDate],DATE(2026,1,14),tblDaily[WardCode],"CW")=0,"",SUMIFS(tblDaily[Admissions],tblDaily[EntryDate],DATE(2026,1,14),tblDaily[WardCode],"CW")),"")</f>
        <v/>
      </c>
      <c r="C20" s="5" t="str">
        <f>IFERROR(IF(SUMIFS(tblDaily[Discharges],tblDaily[EntryDate],DATE(2026,1,14),tblDaily[WardCode],"CW")=0,"",SUMIFS(tblDaily[Discharges],tblDaily[EntryDate],DATE(2026,1,14),tblDaily[WardCode],"CW")),"")</f>
        <v/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 t="str">
        <f>IFERROR(IF(SUMIFS(tblDaily[Remaining],tblDaily[EntryDate],DATE(2026,1,14),tblDaily[WardCode],"CW")=0,"",SUMIFS(tblDaily[Remaining],tblDaily[EntryDate],DATE(2026,1,14),tblDaily[WardCode],"CW")),"")</f>
        <v/>
      </c>
      <c r="I20" s="5" t="str">
        <f>IFERROR(IF(SUMIFS(tblDaily[MalariaCases],tblDaily[EntryDate],DATE(2026,1,14),tblDaily[WardCode],"CW")=0,"",SUMIFS(tblDaily[MalariaCases],tblDaily[EntryDate],DATE(2026,1,14),tblDaily[WardCode],"CW")),"")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IFERROR(IF(SUMIFS(tblDaily[Admissions],tblDaily[EntryDate],DATE(2026,1,15),tblDaily[WardCode],"CW")=0,"",SUMIFS(tblDaily[Admissions],tblDaily[EntryDate],DATE(2026,1,15),tblDaily[WardCode],"CW")),"")</f>
        <v/>
      </c>
      <c r="C21" s="5" t="str">
        <f>IFERROR(IF(SUMIFS(tblDaily[Discharges],tblDaily[EntryDate],DATE(2026,1,15),tblDaily[WardCode],"CW")=0,"",SUMIFS(tblDaily[Discharges],tblDaily[EntryDate],DATE(2026,1,15),tblDaily[WardCode],"CW")),"")</f>
        <v/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 t="str">
        <f>IFERROR(IF(SUMIFS(tblDaily[TransfersIn],tblDaily[EntryDate],DATE(2026,1,15),tblDaily[WardCode],"CW")=0,"",SUMIFS(tblDaily[TransfersIn],tblDaily[EntryDate],DATE(2026,1,15),tblDaily[WardCode],"CW")),"")</f>
        <v/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 t="str">
        <f>IFERROR(IF(SUMIFS(tblDaily[Remaining],tblDaily[EntryDate],DATE(2026,1,15),tblDaily[WardCode],"CW")=0,"",SUMIFS(tblDaily[Remaining],tblDaily[EntryDate],DATE(2026,1,15),tblDaily[WardCode],"CW")),"")</f>
        <v/>
      </c>
      <c r="I21" s="5" t="str">
        <f>IFERROR(IF(SUMIFS(tblDaily[MalariaCases],tblDaily[EntryDate],DATE(2026,1,15),tblDaily[WardCode],"CW")=0,"",SUMIFS(tblDaily[MalariaCases],tblDaily[EntryDate],DATE(2026,1,15),tblDaily[WardCode],"CW")),"")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IFERROR(IF(SUMIFS(tblDaily[Admissions],tblDaily[EntryDate],DATE(2026,1,16),tblDaily[WardCode],"CW")=0,"",SUMIFS(tblDaily[Admissions],tblDaily[EntryDate],DATE(2026,1,16),tblDaily[WardCode],"CW")),"")</f>
        <v/>
      </c>
      <c r="C22" s="5" t="str">
        <f>IFERROR(IF(SUMIFS(tblDaily[Discharges],tblDaily[EntryDate],DATE(2026,1,16),tblDaily[WardCode],"CW")=0,"",SUMIFS(tblDaily[Discharges],tblDaily[EntryDate],DATE(2026,1,16),tblDaily[WardCode],"CW")),"")</f>
        <v/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 t="str">
        <f>IFERROR(IF(SUMIFS(tblDaily[Remaining],tblDaily[EntryDate],DATE(2026,1,16),tblDaily[WardCode],"CW")=0,"",SUMIFS(tblDaily[Remaining],tblDaily[EntryDate],DATE(2026,1,16),tblDaily[WardCode],"CW")),"")</f>
        <v/>
      </c>
      <c r="I22" s="5" t="str">
        <f>IFERROR(IF(SUMIFS(tblDaily[MalariaCases],tblDaily[EntryDate],DATE(2026,1,16),tblDaily[WardCode],"CW")=0,"",SUMIFS(tblDaily[MalariaCases],tblDaily[EntryDate],DATE(2026,1,16),tblDaily[WardCode],"CW")),"")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IFERROR(IF(SUMIFS(tblDaily[Admissions],tblDaily[EntryDate],DATE(2026,1,17),tblDaily[WardCode],"CW")=0,"",SUMIFS(tblDaily[Admissions],tblDaily[EntryDate],DATE(2026,1,17),tblDaily[WardCode],"CW")),"")</f>
        <v/>
      </c>
      <c r="C23" s="5" t="str">
        <f>IFERROR(IF(SUMIFS(tblDaily[Discharges],tblDaily[EntryDate],DATE(2026,1,17),tblDaily[WardCode],"CW")=0,"",SUMIFS(tblDaily[Discharges],tblDaily[EntryDate],DATE(2026,1,17),tblDaily[WardCode],"CW")),"")</f>
        <v/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 t="str">
        <f>IFERROR(IF(SUMIFS(tblDaily[Remaining],tblDaily[EntryDate],DATE(2026,1,17),tblDaily[WardCode],"CW")=0,"",SUMIFS(tblDaily[Remaining],tblDaily[EntryDate],DATE(2026,1,17),tblDaily[WardCode],"CW")),"")</f>
        <v/>
      </c>
      <c r="I23" s="5" t="str">
        <f>IFERROR(IF(SUMIFS(tblDaily[MalariaCases],tblDaily[EntryDate],DATE(2026,1,17),tblDaily[WardCode],"CW")=0,"",SUMIFS(tblDaily[MalariaCases],tblDaily[EntryDate],DATE(2026,1,17),tblDaily[WardCode],"CW")),"")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IFERROR(IF(SUMIFS(tblDaily[Admissions],tblDaily[EntryDate],DATE(2026,1,18),tblDaily[WardCode],"CW")=0,"",SUMIFS(tblDaily[Admissions],tblDaily[EntryDate],DATE(2026,1,18),tblDaily[WardCode],"CW")),"")</f>
        <v/>
      </c>
      <c r="C24" s="5" t="str">
        <f>IFERROR(IF(SUMIFS(tblDaily[Discharges],tblDaily[EntryDate],DATE(2026,1,18),tblDaily[WardCode],"CW")=0,"",SUMIFS(tblDaily[Discharges],tblDaily[EntryDate],DATE(2026,1,18),tblDaily[WardCode],"CW")),"")</f>
        <v/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 t="str">
        <f>IFERROR(IF(SUMIFS(tblDaily[TransfersIn],tblDaily[EntryDate],DATE(2026,1,18),tblDaily[WardCode],"CW")=0,"",SUMIFS(tblDaily[TransfersIn],tblDaily[EntryDate],DATE(2026,1,18),tblDaily[WardCode],"CW")),"")</f>
        <v/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 t="str">
        <f>IFERROR(IF(SUMIFS(tblDaily[Remaining],tblDaily[EntryDate],DATE(2026,1,18),tblDaily[WardCode],"CW")=0,"",SUMIFS(tblDaily[Remaining],tblDaily[EntryDate],DATE(2026,1,18),tblDaily[WardCode],"CW")),"")</f>
        <v/>
      </c>
      <c r="I24" s="5" t="str">
        <f>IFERROR(IF(SUMIFS(tblDaily[MalariaCases],tblDaily[EntryDate],DATE(2026,1,18),tblDaily[WardCode],"CW")=0,"",SUMIFS(tblDaily[MalariaCases],tblDaily[EntryDate],DATE(2026,1,18),tblDaily[WardCode],"CW")),"")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IFERROR(IF(SUMIFS(tblDaily[Admissions],tblDaily[EntryDate],DATE(2026,1,19),tblDaily[WardCode],"CW")=0,"",SUMIFS(tblDaily[Admissions],tblDaily[EntryDate],DATE(2026,1,19),tblDaily[WardCode],"CW")),"")</f>
        <v/>
      </c>
      <c r="C25" s="5" t="str">
        <f>IFERROR(IF(SUMIFS(tblDaily[Discharges],tblDaily[EntryDate],DATE(2026,1,19),tblDaily[WardCode],"CW")=0,"",SUMIFS(tblDaily[Discharges],tblDaily[EntryDate],DATE(2026,1,19),tblDaily[WardCode],"CW")),"")</f>
        <v/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 t="str">
        <f>IFERROR(IF(SUMIFS(tblDaily[Remaining],tblDaily[EntryDate],DATE(2026,1,19),tblDaily[WardCode],"CW")=0,"",SUMIFS(tblDaily[Remaining],tblDaily[EntryDate],DATE(2026,1,19),tblDaily[WardCode],"CW")),"")</f>
        <v/>
      </c>
      <c r="I25" s="5" t="str">
        <f>IFERROR(IF(SUMIFS(tblDaily[MalariaCases],tblDaily[EntryDate],DATE(2026,1,19),tblDaily[WardCode],"CW")=0,"",SUMIFS(tblDaily[MalariaCases],tblDaily[EntryDate],DATE(2026,1,19),tblDaily[WardCode],"CW")),"")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 t="str">
        <f>IFERROR(IF(SUMIFS(tblDaily[Discharges],tblDaily[EntryDate],DATE(2026,1,20),tblDaily[WardCode],"CW")=0,"",SUMIFS(tblDaily[Discharges],tblDaily[EntryDate],DATE(2026,1,20),tblDaily[WardCode],"CW")),"")</f>
        <v/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 t="str">
        <f>IFERROR(IF(SUMIFS(tblDaily[Remaining],tblDaily[EntryDate],DATE(2026,1,20),tblDaily[WardCode],"CW")=0,"",SUMIFS(tblDaily[Remaining],tblDaily[EntryDate],DATE(2026,1,20),tblDaily[WardCode],"CW")),"")</f>
        <v/>
      </c>
      <c r="I26" s="5" t="str">
        <f>IFERROR(IF(SUMIFS(tblDaily[MalariaCases],tblDaily[EntryDate],DATE(2026,1,20),tblDaily[WardCode],"CW")=0,"",SUMIFS(tblDaily[MalariaCases],tblDaily[EntryDate],DATE(2026,1,20),tblDaily[WardCode],"CW")),"")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IFERROR(IF(SUMIFS(tblDaily[Admissions],tblDaily[EntryDate],DATE(2026,1,21),tblDaily[WardCode],"CW")=0,"",SUMIFS(tblDaily[Admissions],tblDaily[EntryDate],DATE(2026,1,21),tblDaily[WardCode],"CW")),"")</f>
        <v/>
      </c>
      <c r="C27" s="5" t="str">
        <f>IFERROR(IF(SUMIFS(tblDaily[Discharges],tblDaily[EntryDate],DATE(2026,1,21),tblDaily[WardCode],"CW")=0,"",SUMIFS(tblDaily[Discharges],tblDaily[EntryDate],DATE(2026,1,21),tblDaily[WardCode],"CW")),"")</f>
        <v/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 t="str">
        <f>IFERROR(IF(SUMIFS(tblDaily[Remaining],tblDaily[EntryDate],DATE(2026,1,21),tblDaily[WardCode],"CW")=0,"",SUMIFS(tblDaily[Remaining],tblDaily[EntryDate],DATE(2026,1,21),tblDaily[WardCode],"CW")),"")</f>
        <v/>
      </c>
      <c r="I27" s="5" t="str">
        <f>IFERROR(IF(SUMIFS(tblDaily[MalariaCases],tblDaily[EntryDate],DATE(2026,1,21),tblDaily[WardCode],"CW")=0,"",SUMIFS(tblDaily[MalariaCases],tblDaily[EntryDate],DATE(2026,1,21),tblDaily[WardCode],"CW")),"")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IFERROR(IF(SUMIFS(tblDaily[Admissions],tblDaily[EntryDate],DATE(2026,1,22),tblDaily[WardCode],"CW")=0,"",SUMIFS(tblDaily[Admissions],tblDaily[EntryDate],DATE(2026,1,22),tblDaily[WardCode],"CW")),"")</f>
        <v/>
      </c>
      <c r="C28" s="5" t="str">
        <f>IFERROR(IF(SUMIFS(tblDaily[Discharges],tblDaily[EntryDate],DATE(2026,1,22),tblDaily[WardCode],"CW")=0,"",SUMIFS(tblDaily[Discharges],tblDaily[EntryDate],DATE(2026,1,22),tblDaily[WardCode],"CW")),"")</f>
        <v/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 t="str">
        <f>IFERROR(IF(SUMIFS(tblDaily[Remaining],tblDaily[EntryDate],DATE(2026,1,22),tblDaily[WardCode],"CW")=0,"",SUMIFS(tblDaily[Remaining],tblDaily[EntryDate],DATE(2026,1,22),tblDaily[WardCode],"CW")),"")</f>
        <v/>
      </c>
      <c r="I28" s="5" t="str">
        <f>IFERROR(IF(SUMIFS(tblDaily[MalariaCases],tblDaily[EntryDate],DATE(2026,1,22),tblDaily[WardCode],"CW")=0,"",SUMIFS(tblDaily[MalariaCases],tblDaily[EntryDate],DATE(2026,1,22),tblDaily[WardCode],"CW")),"")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IFERROR(IF(SUMIFS(tblDaily[Admissions],tblDaily[EntryDate],DATE(2026,1,23),tblDaily[WardCode],"CW")=0,"",SUMIFS(tblDaily[Admissions],tblDaily[EntryDate],DATE(2026,1,23),tblDaily[WardCode],"CW")),"")</f>
        <v/>
      </c>
      <c r="C29" s="5" t="str">
        <f>IFERROR(IF(SUMIFS(tblDaily[Discharges],tblDaily[EntryDate],DATE(2026,1,23),tblDaily[WardCode],"CW")=0,"",SUMIFS(tblDaily[Discharges],tblDaily[EntryDate],DATE(2026,1,23),tblDaily[WardCode],"CW")),"")</f>
        <v/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 t="str">
        <f>IFERROR(IF(SUMIFS(tblDaily[Remaining],tblDaily[EntryDate],DATE(2026,1,23),tblDaily[WardCode],"CW")=0,"",SUMIFS(tblDaily[Remaining],tblDaily[EntryDate],DATE(2026,1,23),tblDaily[WardCode],"CW")),"")</f>
        <v/>
      </c>
      <c r="I29" s="5" t="str">
        <f>IFERROR(IF(SUMIFS(tblDaily[MalariaCases],tblDaily[EntryDate],DATE(2026,1,23),tblDaily[WardCode],"CW")=0,"",SUMIFS(tblDaily[MalariaCases],tblDaily[EntryDate],DATE(2026,1,23),tblDaily[WardCode],"CW")),"")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IFERROR(IF(SUMIFS(tblDaily[Admissions],tblDaily[EntryDate],DATE(2026,1,24),tblDaily[WardCode],"CW")=0,"",SUMIFS(tblDaily[Admissions],tblDaily[EntryDate],DATE(2026,1,24),tblDaily[WardCode],"CW")),"")</f>
        <v/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 t="str">
        <f>IFERROR(IF(SUMIFS(tblDaily[Remaining],tblDaily[EntryDate],DATE(2026,1,24),tblDaily[WardCode],"CW")=0,"",SUMIFS(tblDaily[Remaining],tblDaily[EntryDate],DATE(2026,1,24),tblDaily[WardCode],"CW")),"")</f>
        <v/>
      </c>
      <c r="I30" s="5" t="str">
        <f>IFERROR(IF(SUMIFS(tblDaily[MalariaCases],tblDaily[EntryDate],DATE(2026,1,24),tblDaily[WardCode],"CW")=0,"",SUMIFS(tblDaily[MalariaCases],tblDaily[EntryDate],DATE(2026,1,24),tblDaily[WardCode],"CW")),"")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IFERROR(IF(SUMIFS(tblDaily[Admissions],tblDaily[EntryDate],DATE(2026,1,25),tblDaily[WardCode],"CW")=0,"",SUMIFS(tblDaily[Admissions],tblDaily[EntryDate],DATE(2026,1,25),tblDaily[WardCode],"CW")),"")</f>
        <v/>
      </c>
      <c r="C31" s="5" t="str">
        <f>IFERROR(IF(SUMIFS(tblDaily[Discharges],tblDaily[EntryDate],DATE(2026,1,25),tblDaily[WardCode],"CW")=0,"",SUMIFS(tblDaily[Discharges],tblDaily[EntryDate],DATE(2026,1,25),tblDaily[WardCode],"CW")),"")</f>
        <v/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 t="str">
        <f>IFERROR(IF(SUMIFS(tblDaily[Remaining],tblDaily[EntryDate],DATE(2026,1,25),tblDaily[WardCode],"CW")=0,"",SUMIFS(tblDaily[Remaining],tblDaily[EntryDate],DATE(2026,1,25),tblDaily[WardCode],"CW")),"")</f>
        <v/>
      </c>
      <c r="I31" s="5" t="str">
        <f>IFERROR(IF(SUMIFS(tblDaily[MalariaCases],tblDaily[EntryDate],DATE(2026,1,25),tblDaily[WardCode],"CW")=0,"",SUMIFS(tblDaily[MalariaCases],tblDaily[EntryDate],DATE(2026,1,25),tblDaily[WardCode],"CW")),"")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IFERROR(IF(SUMIFS(tblDaily[Admissions],tblDaily[EntryDate],DATE(2026,1,26),tblDaily[WardCode],"CW")=0,"",SUMIFS(tblDaily[Admissions],tblDaily[EntryDate],DATE(2026,1,26),tblDaily[WardCode],"CW")),"")</f>
        <v/>
      </c>
      <c r="C32" s="5" t="str">
        <f>IFERROR(IF(SUMIFS(tblDaily[Discharges],tblDaily[EntryDate],DATE(2026,1,26),tblDaily[WardCode],"CW")=0,"",SUMIFS(tblDaily[Discharges],tblDaily[EntryDate],DATE(2026,1,26),tblDaily[WardCode],"CW")),"")</f>
        <v/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 t="str">
        <f>IFERROR(IF(SUMIFS(tblDaily[TransfersIn],tblDaily[EntryDate],DATE(2026,1,26),tblDaily[WardCode],"CW")=0,"",SUMIFS(tblDaily[TransfersIn],tblDaily[EntryDate],DATE(2026,1,26),tblDaily[WardCode],"CW")),"")</f>
        <v/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 t="str">
        <f>IFERROR(IF(SUMIFS(tblDaily[Remaining],tblDaily[EntryDate],DATE(2026,1,26),tblDaily[WardCode],"CW")=0,"",SUMIFS(tblDaily[Remaining],tblDaily[EntryDate],DATE(2026,1,26),tblDaily[WardCode],"CW")),"")</f>
        <v/>
      </c>
      <c r="I32" s="5" t="str">
        <f>IFERROR(IF(SUMIFS(tblDaily[MalariaCases],tblDaily[EntryDate],DATE(2026,1,26),tblDaily[WardCode],"CW")=0,"",SUMIFS(tblDaily[MalariaCases],tblDaily[EntryDate],DATE(2026,1,26),tblDaily[WardCode],"CW")),"")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IFERROR(IF(SUMIFS(tblDaily[Admissions],tblDaily[EntryDate],DATE(2026,1,27),tblDaily[WardCode],"CW")=0,"",SUMIFS(tblDaily[Admissions],tblDaily[EntryDate],DATE(2026,1,27),tblDaily[WardCode],"CW")),"")</f>
        <v/>
      </c>
      <c r="C33" s="5" t="str">
        <f>IFERROR(IF(SUMIFS(tblDaily[Discharges],tblDaily[EntryDate],DATE(2026,1,27),tblDaily[WardCode],"CW")=0,"",SUMIFS(tblDaily[Discharges],tblDaily[EntryDate],DATE(2026,1,27),tblDaily[WardCode],"CW")),"")</f>
        <v/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 t="str">
        <f>IFERROR(IF(SUMIFS(tblDaily[Remaining],tblDaily[EntryDate],DATE(2026,1,27),tblDaily[WardCode],"CW")=0,"",SUMIFS(tblDaily[Remaining],tblDaily[EntryDate],DATE(2026,1,27),tblDaily[WardCode],"CW")),"")</f>
        <v/>
      </c>
      <c r="I33" s="5" t="str">
        <f>IFERROR(IF(SUMIFS(tblDaily[MalariaCases],tblDaily[EntryDate],DATE(2026,1,27),tblDaily[WardCode],"CW")=0,"",SUMIFS(tblDaily[MalariaCases],tblDaily[EntryDate],DATE(2026,1,27),tblDaily[WardCode],"CW")),"")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IFERROR(IF(SUMIFS(tblDaily[Admissions],tblDaily[EntryDate],DATE(2026,1,28),tblDaily[WardCode],"CW")=0,"",SUMIFS(tblDaily[Admissions],tblDaily[EntryDate],DATE(2026,1,28),tblDaily[WardCode],"CW")),"")</f>
        <v/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 t="str">
        <f>IFERROR(IF(SUMIFS(tblDaily[Remaining],tblDaily[EntryDate],DATE(2026,1,28),tblDaily[WardCode],"CW")=0,"",SUMIFS(tblDaily[Remaining],tblDaily[EntryDate],DATE(2026,1,28),tblDaily[WardCode],"CW")),"")</f>
        <v/>
      </c>
      <c r="I34" s="5" t="str">
        <f>IFERROR(IF(SUMIFS(tblDaily[MalariaCases],tblDaily[EntryDate],DATE(2026,1,28),tblDaily[WardCode],"CW")=0,"",SUMIFS(tblDaily[MalariaCases],tblDaily[EntryDate],DATE(2026,1,28),tblDaily[WardCode],"CW")),"")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IFERROR(IF(SUMIFS(tblDaily[Admissions],tblDaily[EntryDate],DATE(2026,1,29),tblDaily[WardCode],"CW")=0,"",SUMIFS(tblDaily[Admissions],tblDaily[EntryDate],DATE(2026,1,29),tblDaily[WardCode],"CW")),"")</f>
        <v/>
      </c>
      <c r="C35" s="5" t="str">
        <f>IFERROR(IF(SUMIFS(tblDaily[Discharges],tblDaily[EntryDate],DATE(2026,1,29),tblDaily[WardCode],"CW")=0,"",SUMIFS(tblDaily[Discharges],tblDaily[EntryDate],DATE(2026,1,29),tblDaily[WardCode],"CW")),"")</f>
        <v/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 t="str">
        <f>IFERROR(IF(SUMIFS(tblDaily[Remaining],tblDaily[EntryDate],DATE(2026,1,29),tblDaily[WardCode],"CW")=0,"",SUMIFS(tblDaily[Remaining],tblDaily[EntryDate],DATE(2026,1,29),tblDaily[WardCode],"CW")),"")</f>
        <v/>
      </c>
      <c r="I35" s="5" t="str">
        <f>IFERROR(IF(SUMIFS(tblDaily[MalariaCases],tblDaily[EntryDate],DATE(2026,1,29),tblDaily[WardCode],"CW")=0,"",SUMIFS(tblDaily[MalariaCases],tblDaily[EntryDate],DATE(2026,1,29),tblDaily[WardCode],"CW")),"")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IFERROR(IF(SUMIFS(tblDaily[Admissions],tblDaily[EntryDate],DATE(2026,1,30),tblDaily[WardCode],"CW")=0,"",SUMIFS(tblDaily[Admissions],tblDaily[EntryDate],DATE(2026,1,30),tblDaily[WardCode],"CW")),"")</f>
        <v/>
      </c>
      <c r="C36" s="5" t="str">
        <f>IFERROR(IF(SUMIFS(tblDaily[Discharges],tblDaily[EntryDate],DATE(2026,1,30),tblDaily[WardCode],"CW")=0,"",SUMIFS(tblDaily[Discharges],tblDaily[EntryDate],DATE(2026,1,30),tblDaily[WardCode],"CW")),"")</f>
        <v/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 t="str">
        <f>IFERROR(IF(SUMIFS(tblDaily[TransfersIn],tblDaily[EntryDate],DATE(2026,1,30),tblDaily[WardCode],"CW")=0,"",SUMIFS(tblDaily[TransfersIn],tblDaily[EntryDate],DATE(2026,1,30),tblDaily[WardCode],"CW")),"")</f>
        <v/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 t="str">
        <f>IFERROR(IF(SUMIFS(tblDaily[Remaining],tblDaily[EntryDate],DATE(2026,1,30),tblDaily[WardCode],"CW")=0,"",SUMIFS(tblDaily[Remaining],tblDaily[EntryDate],DATE(2026,1,30),tblDaily[WardCode],"CW")),"")</f>
        <v/>
      </c>
      <c r="I36" s="5" t="str">
        <f>IFERROR(IF(SUMIFS(tblDaily[MalariaCases],tblDaily[EntryDate],DATE(2026,1,30),tblDaily[WardCode],"CW")=0,"",SUMIFS(tblDaily[MalariaCases],tblDaily[EntryDate],DATE(2026,1,30),tblDaily[WardCode],"CW")),"")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IFERROR(IF(SUMIFS(tblDaily[Admissions],tblDaily[EntryDate],DATE(2026,1,31),tblDaily[WardCode],"CW")=0,"",SUMIFS(tblDaily[Admissions],tblDaily[EntryDate],DATE(2026,1,31),tblDaily[WardCode],"CW")),"")</f>
        <v/>
      </c>
      <c r="C37" s="5" t="str">
        <f>IFERROR(IF(SUMIFS(tblDaily[Discharges],tblDaily[EntryDate],DATE(2026,1,31),tblDaily[WardCode],"CW")=0,"",SUMIFS(tblDaily[Discharges],tblDaily[EntryDate],DATE(2026,1,31),tblDaily[WardCode],"CW")),"")</f>
        <v/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 t="str">
        <f>IFERROR(IF(SUMIFS(tblDaily[Remaining],tblDaily[EntryDate],DATE(2026,1,31),tblDaily[WardCode],"CW")=0,"",SUMIFS(tblDaily[Remaining],tblDaily[EntryDate],DATE(2026,1,31),tblDaily[WardCode],"CW")),"")</f>
        <v/>
      </c>
      <c r="I37" s="5" t="str">
        <f>IFERROR(IF(SUMIFS(tblDaily[MalariaCases],tblDaily[EntryDate],DATE(2026,1,31),tblDaily[WardCode],"CW")=0,"",SUMIFS(tblDaily[MalariaCases],tblDaily[EntryDate],DATE(2026,1,31),tblDaily[WardCode],"CW")),"")</f>
        <v/>
      </c>
    </row>
    <row r="38" spans="1:9" x14ac:dyDescent="0.25">
      <c r="A38" s="9" t="s">
        <v>94</v>
      </c>
      <c r="B38" s="9">
        <f>SUMIFS(tblDaily[Admissions],tblDaily[Month],1,tblDaily[WardCode],"CW")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96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IFERROR(SUMIFS(tblDaily[Remaining],tblDaily[EntryDate],DATE(2026,1,31),tblDaily[WardCode],"CW"),0)</f>
        <v>0</v>
      </c>
    </row>
    <row r="44" spans="1:9" x14ac:dyDescent="0.25">
      <c r="A44" s="1" t="s">
        <v>87</v>
      </c>
      <c r="H44" s="7">
        <f>IFERROR(INDEX(tblWardConfig[BedComplement],MATCH("CW",tblWardConfig[Export Year-End],0)),0)</f>
        <v>27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IFERROR(IF(SUMIFS(tblDaily[Admissions],tblDaily[EntryDate],DATE(2026,2,1),tblDaily[WardCode],"CW")=0,"",SUMIFS(tblDaily[Admissions],tblDaily[EntryDate],DATE(2026,2,1),tblDaily[WardCode],"CW")),"")</f>
        <v/>
      </c>
      <c r="C46" s="5" t="str">
        <f>IFERROR(IF(SUMIFS(tblDaily[Discharges],tblDaily[EntryDate],DATE(2026,2,1),tblDaily[WardCode],"CW")=0,"",SUMIFS(tblDaily[Discharges],tblDaily[EntryDate],DATE(2026,2,1),tblDaily[WardCode],"CW")),"")</f>
        <v/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 t="str">
        <f>IFERROR(IF(SUMIFS(tblDaily[Remaining],tblDaily[EntryDate],DATE(2026,2,1),tblDaily[WardCode],"CW")=0,"",SUMIFS(tblDaily[Remaining],tblDaily[EntryDate],DATE(2026,2,1),tblDaily[WardCode],"CW")),"")</f>
        <v/>
      </c>
      <c r="I46" s="5" t="str">
        <f>IFERROR(IF(SUMIFS(tblDaily[MalariaCases],tblDaily[EntryDate],DATE(2026,2,1),tblDaily[WardCode],"CW")=0,"",SUMIFS(tblDaily[MalariaCases],tblDaily[EntryDate],DATE(2026,2,1),tblDaily[WardCode],"CW")),"")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  <c r="I47" s="5" t="str">
        <f>IFERROR(IF(SUMIFS(tblDaily[MalariaCases],tblDaily[EntryDate],DATE(2026,2,2),tblDaily[WardCode],"CW")=0,"",SUMIFS(tblDaily[MalariaCases],tblDaily[EntryDate],DATE(2026,2,2),tblDaily[WardCode],"CW")),"")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  <c r="I48" s="5" t="str">
        <f>IFERROR(IF(SUMIFS(tblDaily[MalariaCases],tblDaily[EntryDate],DATE(2026,2,3),tblDaily[WardCode],"CW")=0,"",SUMIFS(tblDaily[MalariaCases],tblDaily[EntryDate],DATE(2026,2,3),tblDaily[WardCode],"CW")),"")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  <c r="I49" s="5" t="str">
        <f>IFERROR(IF(SUMIFS(tblDaily[MalariaCases],tblDaily[EntryDate],DATE(2026,2,4),tblDaily[WardCode],"CW")=0,"",SUMIFS(tblDaily[MalariaCases],tblDaily[EntryDate],DATE(2026,2,4),tblDaily[WardCode],"CW")),"")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  <c r="I50" s="5" t="str">
        <f>IFERROR(IF(SUMIFS(tblDaily[MalariaCases],tblDaily[EntryDate],DATE(2026,2,5),tblDaily[WardCode],"CW")=0,"",SUMIFS(tblDaily[MalariaCases],tblDaily[EntryDate],DATE(2026,2,5),tblDaily[WardCode],"CW")),"")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  <c r="I51" s="5" t="str">
        <f>IFERROR(IF(SUMIFS(tblDaily[MalariaCases],tblDaily[EntryDate],DATE(2026,2,6),tblDaily[WardCode],"CW")=0,"",SUMIFS(tblDaily[MalariaCases],tblDaily[EntryDate],DATE(2026,2,6),tblDaily[WardCode],"CW")),"")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  <c r="I52" s="5" t="str">
        <f>IFERROR(IF(SUMIFS(tblDaily[MalariaCases],tblDaily[EntryDate],DATE(2026,2,7),tblDaily[WardCode],"CW")=0,"",SUMIFS(tblDaily[MalariaCases],tblDaily[EntryDate],DATE(2026,2,7),tblDaily[WardCode],"CW")),"")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  <c r="I53" s="5" t="str">
        <f>IFERROR(IF(SUMIFS(tblDaily[MalariaCases],tblDaily[EntryDate],DATE(2026,2,8),tblDaily[WardCode],"CW")=0,"",SUMIFS(tblDaily[MalariaCases],tblDaily[EntryDate],DATE(2026,2,8),tblDaily[WardCode],"CW")),"")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  <c r="I54" s="5" t="str">
        <f>IFERROR(IF(SUMIFS(tblDaily[MalariaCases],tblDaily[EntryDate],DATE(2026,2,9),tblDaily[WardCode],"CW")=0,"",SUMIFS(tblDaily[MalariaCases],tblDaily[EntryDate],DATE(2026,2,9),tblDaily[WardCode],"CW")),"")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  <c r="I55" s="5" t="str">
        <f>IFERROR(IF(SUMIFS(tblDaily[MalariaCases],tblDaily[EntryDate],DATE(2026,2,10),tblDaily[WardCode],"CW")=0,"",SUMIFS(tblDaily[MalariaCases],tblDaily[EntryDate],DATE(2026,2,10),tblDaily[WardCode],"CW")),"")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  <c r="I56" s="5" t="str">
        <f>IFERROR(IF(SUMIFS(tblDaily[MalariaCases],tblDaily[EntryDate],DATE(2026,2,11),tblDaily[WardCode],"CW")=0,"",SUMIFS(tblDaily[MalariaCases],tblDaily[EntryDate],DATE(2026,2,11),tblDaily[WardCode],"CW")),"")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  <c r="I57" s="5" t="str">
        <f>IFERROR(IF(SUMIFS(tblDaily[MalariaCases],tblDaily[EntryDate],DATE(2026,2,12),tblDaily[WardCode],"CW")=0,"",SUMIFS(tblDaily[MalariaCases],tblDaily[EntryDate],DATE(2026,2,12),tblDaily[WardCode],"CW")),"")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  <c r="I58" s="5" t="str">
        <f>IFERROR(IF(SUMIFS(tblDaily[MalariaCases],tblDaily[EntryDate],DATE(2026,2,13),tblDaily[WardCode],"CW")=0,"",SUMIFS(tblDaily[MalariaCases],tblDaily[EntryDate],DATE(2026,2,13),tblDaily[WardCode],"CW")),"")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  <c r="I59" s="5" t="str">
        <f>IFERROR(IF(SUMIFS(tblDaily[MalariaCases],tblDaily[EntryDate],DATE(2026,2,14),tblDaily[WardCode],"CW")=0,"",SUMIFS(tblDaily[MalariaCases],tblDaily[EntryDate],DATE(2026,2,14),tblDaily[WardCode],"CW")),"")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  <c r="I60" s="5" t="str">
        <f>IFERROR(IF(SUMIFS(tblDaily[MalariaCases],tblDaily[EntryDate],DATE(2026,2,15),tblDaily[WardCode],"CW")=0,"",SUMIFS(tblDaily[MalariaCases],tblDaily[EntryDate],DATE(2026,2,15),tblDaily[WardCode],"CW")),"")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  <c r="I61" s="5" t="str">
        <f>IFERROR(IF(SUMIFS(tblDaily[MalariaCases],tblDaily[EntryDate],DATE(2026,2,16),tblDaily[WardCode],"CW")=0,"",SUMIFS(tblDaily[MalariaCases],tblDaily[EntryDate],DATE(2026,2,16),tblDaily[WardCode],"CW")),"")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  <c r="I62" s="5" t="str">
        <f>IFERROR(IF(SUMIFS(tblDaily[MalariaCases],tblDaily[EntryDate],DATE(2026,2,17),tblDaily[WardCode],"CW")=0,"",SUMIFS(tblDaily[MalariaCases],tblDaily[EntryDate],DATE(2026,2,17),tblDaily[WardCode],"CW")),"")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  <c r="I63" s="5" t="str">
        <f>IFERROR(IF(SUMIFS(tblDaily[MalariaCases],tblDaily[EntryDate],DATE(2026,2,18),tblDaily[WardCode],"CW")=0,"",SUMIFS(tblDaily[MalariaCases],tblDaily[EntryDate],DATE(2026,2,18),tblDaily[WardCode],"CW")),"")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  <c r="I64" s="5" t="str">
        <f>IFERROR(IF(SUMIFS(tblDaily[MalariaCases],tblDaily[EntryDate],DATE(2026,2,19),tblDaily[WardCode],"CW")=0,"",SUMIFS(tblDaily[MalariaCases],tblDaily[EntryDate],DATE(2026,2,19),tblDaily[WardCode],"CW")),"")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  <c r="I65" s="5" t="str">
        <f>IFERROR(IF(SUMIFS(tblDaily[MalariaCases],tblDaily[EntryDate],DATE(2026,2,20),tblDaily[WardCode],"CW")=0,"",SUMIFS(tblDaily[MalariaCases],tblDaily[EntryDate],DATE(2026,2,20),tblDaily[WardCode],"CW")),"")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  <c r="I66" s="5" t="str">
        <f>IFERROR(IF(SUMIFS(tblDaily[MalariaCases],tblDaily[EntryDate],DATE(2026,2,21),tblDaily[WardCode],"CW")=0,"",SUMIFS(tblDaily[MalariaCases],tblDaily[EntryDate],DATE(2026,2,21),tblDaily[WardCode],"CW")),"")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  <c r="I67" s="5" t="str">
        <f>IFERROR(IF(SUMIFS(tblDaily[MalariaCases],tblDaily[EntryDate],DATE(2026,2,22),tblDaily[WardCode],"CW")=0,"",SUMIFS(tblDaily[MalariaCases],tblDaily[EntryDate],DATE(2026,2,22),tblDaily[WardCode],"CW")),"")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  <c r="I68" s="5" t="str">
        <f>IFERROR(IF(SUMIFS(tblDaily[MalariaCases],tblDaily[EntryDate],DATE(2026,2,23),tblDaily[WardCode],"CW")=0,"",SUMIFS(tblDaily[MalariaCases],tblDaily[EntryDate],DATE(2026,2,23),tblDaily[WardCode],"CW")),"")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  <c r="I69" s="5" t="str">
        <f>IFERROR(IF(SUMIFS(tblDaily[MalariaCases],tblDaily[EntryDate],DATE(2026,2,24),tblDaily[WardCode],"CW")=0,"",SUMIFS(tblDaily[MalariaCases],tblDaily[EntryDate],DATE(2026,2,24),tblDaily[WardCode],"CW")),"")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  <c r="I70" s="5" t="str">
        <f>IFERROR(IF(SUMIFS(tblDaily[MalariaCases],tblDaily[EntryDate],DATE(2026,2,25),tblDaily[WardCode],"CW")=0,"",SUMIFS(tblDaily[MalariaCases],tblDaily[EntryDate],DATE(2026,2,25),tblDaily[WardCode],"CW")),"")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  <c r="I71" s="5" t="str">
        <f>IFERROR(IF(SUMIFS(tblDaily[MalariaCases],tblDaily[EntryDate],DATE(2026,2,26),tblDaily[WardCode],"CW")=0,"",SUMIFS(tblDaily[MalariaCases],tblDaily[EntryDate],DATE(2026,2,26),tblDaily[WardCode],"CW")),"")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  <c r="I72" s="5" t="str">
        <f>IFERROR(IF(SUMIFS(tblDaily[MalariaCases],tblDaily[EntryDate],DATE(2026,2,27),tblDaily[WardCode],"CW")=0,"",SUMIFS(tblDaily[MalariaCases],tblDaily[EntryDate],DATE(2026,2,27),tblDaily[WardCode],"CW")),"")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  <c r="I73" s="5" t="str">
        <f>IFERROR(IF(SUMIFS(tblDaily[MalariaCases],tblDaily[EntryDate],DATE(2026,2,28),tblDaily[WardCode],"CW")=0,"",SUMIFS(tblDaily[MalariaCases],tblDaily[EntryDate],DATE(2026,2,28),tblDaily[WardCode],"CW")),"")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96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IFERROR(SUMIFS(tblDaily[Remaining],tblDaily[EntryDate],DATE(2026,2,28),tblDaily[WardCode],"CW"),0)</f>
        <v>0</v>
      </c>
    </row>
    <row r="83" spans="1:9" x14ac:dyDescent="0.25">
      <c r="A83" s="1" t="s">
        <v>87</v>
      </c>
      <c r="H83" s="7">
        <f>IFERROR(INDEX(tblWardConfig[BedComplement],MATCH("CW",tblWardConfig[Export Year-End],0)),0)</f>
        <v>27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  <c r="I85" s="5" t="str">
        <f>IFERROR(IF(SUMIFS(tblDaily[MalariaCases],tblDaily[EntryDate],DATE(2026,3,1),tblDaily[WardCode],"CW")=0,"",SUMIFS(tblDaily[MalariaCases],tblDaily[EntryDate],DATE(2026,3,1),tblDaily[WardCode],"CW")),"")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  <c r="I86" s="5" t="str">
        <f>IFERROR(IF(SUMIFS(tblDaily[MalariaCases],tblDaily[EntryDate],DATE(2026,3,2),tblDaily[WardCode],"CW")=0,"",SUMIFS(tblDaily[MalariaCases],tblDaily[EntryDate],DATE(2026,3,2),tblDaily[WardCode],"CW")),"")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  <c r="I87" s="5" t="str">
        <f>IFERROR(IF(SUMIFS(tblDaily[MalariaCases],tblDaily[EntryDate],DATE(2026,3,3),tblDaily[WardCode],"CW")=0,"",SUMIFS(tblDaily[MalariaCases],tblDaily[EntryDate],DATE(2026,3,3),tblDaily[WardCode],"CW")),"")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  <c r="I88" s="5" t="str">
        <f>IFERROR(IF(SUMIFS(tblDaily[MalariaCases],tblDaily[EntryDate],DATE(2026,3,4),tblDaily[WardCode],"CW")=0,"",SUMIFS(tblDaily[MalariaCases],tblDaily[EntryDate],DATE(2026,3,4),tblDaily[WardCode],"CW")),"")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  <c r="I89" s="5" t="str">
        <f>IFERROR(IF(SUMIFS(tblDaily[MalariaCases],tblDaily[EntryDate],DATE(2026,3,5),tblDaily[WardCode],"CW")=0,"",SUMIFS(tblDaily[MalariaCases],tblDaily[EntryDate],DATE(2026,3,5),tblDaily[WardCode],"CW")),"")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  <c r="I90" s="5" t="str">
        <f>IFERROR(IF(SUMIFS(tblDaily[MalariaCases],tblDaily[EntryDate],DATE(2026,3,6),tblDaily[WardCode],"CW")=0,"",SUMIFS(tblDaily[MalariaCases],tblDaily[EntryDate],DATE(2026,3,6),tblDaily[WardCode],"CW")),"")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  <c r="I91" s="5" t="str">
        <f>IFERROR(IF(SUMIFS(tblDaily[MalariaCases],tblDaily[EntryDate],DATE(2026,3,7),tblDaily[WardCode],"CW")=0,"",SUMIFS(tblDaily[MalariaCases],tblDaily[EntryDate],DATE(2026,3,7),tblDaily[WardCode],"CW")),"")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  <c r="I92" s="5" t="str">
        <f>IFERROR(IF(SUMIFS(tblDaily[MalariaCases],tblDaily[EntryDate],DATE(2026,3,8),tblDaily[WardCode],"CW")=0,"",SUMIFS(tblDaily[MalariaCases],tblDaily[EntryDate],DATE(2026,3,8),tblDaily[WardCode],"CW")),"")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  <c r="I93" s="5" t="str">
        <f>IFERROR(IF(SUMIFS(tblDaily[MalariaCases],tblDaily[EntryDate],DATE(2026,3,9),tblDaily[WardCode],"CW")=0,"",SUMIFS(tblDaily[MalariaCases],tblDaily[EntryDate],DATE(2026,3,9),tblDaily[WardCode],"CW")),"")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  <c r="I94" s="5" t="str">
        <f>IFERROR(IF(SUMIFS(tblDaily[MalariaCases],tblDaily[EntryDate],DATE(2026,3,10),tblDaily[WardCode],"CW")=0,"",SUMIFS(tblDaily[MalariaCases],tblDaily[EntryDate],DATE(2026,3,10),tblDaily[WardCode],"CW")),"")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  <c r="I95" s="5" t="str">
        <f>IFERROR(IF(SUMIFS(tblDaily[MalariaCases],tblDaily[EntryDate],DATE(2026,3,11),tblDaily[WardCode],"CW")=0,"",SUMIFS(tblDaily[MalariaCases],tblDaily[EntryDate],DATE(2026,3,11),tblDaily[WardCode],"CW")),"")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  <c r="I96" s="5" t="str">
        <f>IFERROR(IF(SUMIFS(tblDaily[MalariaCases],tblDaily[EntryDate],DATE(2026,3,12),tblDaily[WardCode],"CW")=0,"",SUMIFS(tblDaily[MalariaCases],tblDaily[EntryDate],DATE(2026,3,12),tblDaily[WardCode],"CW")),"")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  <c r="I97" s="5" t="str">
        <f>IFERROR(IF(SUMIFS(tblDaily[MalariaCases],tblDaily[EntryDate],DATE(2026,3,13),tblDaily[WardCode],"CW")=0,"",SUMIFS(tblDaily[MalariaCases],tblDaily[EntryDate],DATE(2026,3,13),tblDaily[WardCode],"CW")),"")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  <c r="I98" s="5" t="str">
        <f>IFERROR(IF(SUMIFS(tblDaily[MalariaCases],tblDaily[EntryDate],DATE(2026,3,14),tblDaily[WardCode],"CW")=0,"",SUMIFS(tblDaily[MalariaCases],tblDaily[EntryDate],DATE(2026,3,14),tblDaily[WardCode],"CW")),"")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  <c r="I99" s="5" t="str">
        <f>IFERROR(IF(SUMIFS(tblDaily[MalariaCases],tblDaily[EntryDate],DATE(2026,3,15),tblDaily[WardCode],"CW")=0,"",SUMIFS(tblDaily[MalariaCases],tblDaily[EntryDate],DATE(2026,3,15),tblDaily[WardCode],"CW")),"")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  <c r="I100" s="5" t="str">
        <f>IFERROR(IF(SUMIFS(tblDaily[MalariaCases],tblDaily[EntryDate],DATE(2026,3,16),tblDaily[WardCode],"CW")=0,"",SUMIFS(tblDaily[MalariaCases],tblDaily[EntryDate],DATE(2026,3,16),tblDaily[WardCode],"CW")),"")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  <c r="I101" s="5" t="str">
        <f>IFERROR(IF(SUMIFS(tblDaily[MalariaCases],tblDaily[EntryDate],DATE(2026,3,17),tblDaily[WardCode],"CW")=0,"",SUMIFS(tblDaily[MalariaCases],tblDaily[EntryDate],DATE(2026,3,17),tblDaily[WardCode],"CW")),"")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  <c r="I102" s="5" t="str">
        <f>IFERROR(IF(SUMIFS(tblDaily[MalariaCases],tblDaily[EntryDate],DATE(2026,3,18),tblDaily[WardCode],"CW")=0,"",SUMIFS(tblDaily[MalariaCases],tblDaily[EntryDate],DATE(2026,3,18),tblDaily[WardCode],"CW")),"")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  <c r="I103" s="5" t="str">
        <f>IFERROR(IF(SUMIFS(tblDaily[MalariaCases],tblDaily[EntryDate],DATE(2026,3,19),tblDaily[WardCode],"CW")=0,"",SUMIFS(tblDaily[MalariaCases],tblDaily[EntryDate],DATE(2026,3,19),tblDaily[WardCode],"CW")),"")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  <c r="I104" s="5" t="str">
        <f>IFERROR(IF(SUMIFS(tblDaily[MalariaCases],tblDaily[EntryDate],DATE(2026,3,20),tblDaily[WardCode],"CW")=0,"",SUMIFS(tblDaily[MalariaCases],tblDaily[EntryDate],DATE(2026,3,20),tblDaily[WardCode],"CW")),"")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  <c r="I105" s="5" t="str">
        <f>IFERROR(IF(SUMIFS(tblDaily[MalariaCases],tblDaily[EntryDate],DATE(2026,3,21),tblDaily[WardCode],"CW")=0,"",SUMIFS(tblDaily[MalariaCases],tblDaily[EntryDate],DATE(2026,3,21),tblDaily[WardCode],"CW")),"")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  <c r="I106" s="5" t="str">
        <f>IFERROR(IF(SUMIFS(tblDaily[MalariaCases],tblDaily[EntryDate],DATE(2026,3,22),tblDaily[WardCode],"CW")=0,"",SUMIFS(tblDaily[MalariaCases],tblDaily[EntryDate],DATE(2026,3,22),tblDaily[WardCode],"CW")),"")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  <c r="I107" s="5" t="str">
        <f>IFERROR(IF(SUMIFS(tblDaily[MalariaCases],tblDaily[EntryDate],DATE(2026,3,23),tblDaily[WardCode],"CW")=0,"",SUMIFS(tblDaily[MalariaCases],tblDaily[EntryDate],DATE(2026,3,23),tblDaily[WardCode],"CW")),"")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  <c r="I108" s="5" t="str">
        <f>IFERROR(IF(SUMIFS(tblDaily[MalariaCases],tblDaily[EntryDate],DATE(2026,3,24),tblDaily[WardCode],"CW")=0,"",SUMIFS(tblDaily[MalariaCases],tblDaily[EntryDate],DATE(2026,3,24),tblDaily[WardCode],"CW")),"")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  <c r="I109" s="5" t="str">
        <f>IFERROR(IF(SUMIFS(tblDaily[MalariaCases],tblDaily[EntryDate],DATE(2026,3,25),tblDaily[WardCode],"CW")=0,"",SUMIFS(tblDaily[MalariaCases],tblDaily[EntryDate],DATE(2026,3,25),tblDaily[WardCode],"CW")),"")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  <c r="I110" s="5" t="str">
        <f>IFERROR(IF(SUMIFS(tblDaily[MalariaCases],tblDaily[EntryDate],DATE(2026,3,26),tblDaily[WardCode],"CW")=0,"",SUMIFS(tblDaily[MalariaCases],tblDaily[EntryDate],DATE(2026,3,26),tblDaily[WardCode],"CW")),"")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  <c r="I111" s="5" t="str">
        <f>IFERROR(IF(SUMIFS(tblDaily[MalariaCases],tblDaily[EntryDate],DATE(2026,3,27),tblDaily[WardCode],"CW")=0,"",SUMIFS(tblDaily[MalariaCases],tblDaily[EntryDate],DATE(2026,3,27),tblDaily[WardCode],"CW")),"")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  <c r="I112" s="5" t="str">
        <f>IFERROR(IF(SUMIFS(tblDaily[MalariaCases],tblDaily[EntryDate],DATE(2026,3,28),tblDaily[WardCode],"CW")=0,"",SUMIFS(tblDaily[MalariaCases],tblDaily[EntryDate],DATE(2026,3,28),tblDaily[WardCode],"CW")),"")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  <c r="I113" s="5" t="str">
        <f>IFERROR(IF(SUMIFS(tblDaily[MalariaCases],tblDaily[EntryDate],DATE(2026,3,29),tblDaily[WardCode],"CW")=0,"",SUMIFS(tblDaily[MalariaCases],tblDaily[EntryDate],DATE(2026,3,29),tblDaily[WardCode],"CW")),"")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  <c r="I114" s="5" t="str">
        <f>IFERROR(IF(SUMIFS(tblDaily[MalariaCases],tblDaily[EntryDate],DATE(2026,3,30),tblDaily[WardCode],"CW")=0,"",SUMIFS(tblDaily[MalariaCases],tblDaily[EntryDate],DATE(2026,3,30),tblDaily[WardCode],"CW")),"")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  <c r="I115" s="5" t="str">
        <f>IFERROR(IF(SUMIFS(tblDaily[MalariaCases],tblDaily[EntryDate],DATE(2026,3,31),tblDaily[WardCode],"CW")=0,"",SUMIFS(tblDaily[MalariaCases],tblDaily[EntryDate],DATE(2026,3,31),tblDaily[WardCode],"CW")),"")</f>
        <v/>
      </c>
    </row>
    <row r="116" spans="1:9" x14ac:dyDescent="0.25">
      <c r="A116" s="9" t="s">
        <v>94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96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IFERROR(SUMIFS(tblDaily[Remaining],tblDaily[EntryDate],DATE(2026,3,31),tblDaily[WardCode],"CW"),0)</f>
        <v>0</v>
      </c>
    </row>
    <row r="122" spans="1:9" x14ac:dyDescent="0.25">
      <c r="A122" s="1" t="s">
        <v>87</v>
      </c>
      <c r="H122" s="7">
        <f>IFERROR(INDEX(tblWardConfig[BedComplement],MATCH("CW",tblWardConfig[Export Year-End],0)),0)</f>
        <v>27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  <c r="I124" s="5" t="str">
        <f>IFERROR(IF(SUMIFS(tblDaily[MalariaCases],tblDaily[EntryDate],DATE(2026,4,1),tblDaily[WardCode],"CW")=0,"",SUMIFS(tblDaily[MalariaCases],tblDaily[EntryDate],DATE(2026,4,1),tblDaily[WardCode],"CW")),"")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  <c r="I125" s="5" t="str">
        <f>IFERROR(IF(SUMIFS(tblDaily[MalariaCases],tblDaily[EntryDate],DATE(2026,4,2),tblDaily[WardCode],"CW")=0,"",SUMIFS(tblDaily[MalariaCases],tblDaily[EntryDate],DATE(2026,4,2),tblDaily[WardCode],"CW")),"")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  <c r="I126" s="5" t="str">
        <f>IFERROR(IF(SUMIFS(tblDaily[MalariaCases],tblDaily[EntryDate],DATE(2026,4,3),tblDaily[WardCode],"CW")=0,"",SUMIFS(tblDaily[MalariaCases],tblDaily[EntryDate],DATE(2026,4,3),tblDaily[WardCode],"CW")),"")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  <c r="I127" s="5" t="str">
        <f>IFERROR(IF(SUMIFS(tblDaily[MalariaCases],tblDaily[EntryDate],DATE(2026,4,4),tblDaily[WardCode],"CW")=0,"",SUMIFS(tblDaily[MalariaCases],tblDaily[EntryDate],DATE(2026,4,4),tblDaily[WardCode],"CW")),"")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  <c r="I128" s="5" t="str">
        <f>IFERROR(IF(SUMIFS(tblDaily[MalariaCases],tblDaily[EntryDate],DATE(2026,4,5),tblDaily[WardCode],"CW")=0,"",SUMIFS(tblDaily[MalariaCases],tblDaily[EntryDate],DATE(2026,4,5),tblDaily[WardCode],"CW")),"")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  <c r="I129" s="5" t="str">
        <f>IFERROR(IF(SUMIFS(tblDaily[MalariaCases],tblDaily[EntryDate],DATE(2026,4,6),tblDaily[WardCode],"CW")=0,"",SUMIFS(tblDaily[MalariaCases],tblDaily[EntryDate],DATE(2026,4,6),tblDaily[WardCode],"CW")),"")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  <c r="I130" s="5" t="str">
        <f>IFERROR(IF(SUMIFS(tblDaily[MalariaCases],tblDaily[EntryDate],DATE(2026,4,7),tblDaily[WardCode],"CW")=0,"",SUMIFS(tblDaily[MalariaCases],tblDaily[EntryDate],DATE(2026,4,7),tblDaily[WardCode],"CW")),"")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  <c r="I131" s="5" t="str">
        <f>IFERROR(IF(SUMIFS(tblDaily[MalariaCases],tblDaily[EntryDate],DATE(2026,4,8),tblDaily[WardCode],"CW")=0,"",SUMIFS(tblDaily[MalariaCases],tblDaily[EntryDate],DATE(2026,4,8),tblDaily[WardCode],"CW")),"")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  <c r="I132" s="5" t="str">
        <f>IFERROR(IF(SUMIFS(tblDaily[MalariaCases],tblDaily[EntryDate],DATE(2026,4,9),tblDaily[WardCode],"CW")=0,"",SUMIFS(tblDaily[MalariaCases],tblDaily[EntryDate],DATE(2026,4,9),tblDaily[WardCode],"CW")),"")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  <c r="I133" s="5" t="str">
        <f>IFERROR(IF(SUMIFS(tblDaily[MalariaCases],tblDaily[EntryDate],DATE(2026,4,10),tblDaily[WardCode],"CW")=0,"",SUMIFS(tblDaily[MalariaCases],tblDaily[EntryDate],DATE(2026,4,10),tblDaily[WardCode],"CW")),"")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  <c r="I134" s="5" t="str">
        <f>IFERROR(IF(SUMIFS(tblDaily[MalariaCases],tblDaily[EntryDate],DATE(2026,4,11),tblDaily[WardCode],"CW")=0,"",SUMIFS(tblDaily[MalariaCases],tblDaily[EntryDate],DATE(2026,4,11),tblDaily[WardCode],"CW")),"")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  <c r="I135" s="5" t="str">
        <f>IFERROR(IF(SUMIFS(tblDaily[MalariaCases],tblDaily[EntryDate],DATE(2026,4,12),tblDaily[WardCode],"CW")=0,"",SUMIFS(tblDaily[MalariaCases],tblDaily[EntryDate],DATE(2026,4,12),tblDaily[WardCode],"CW")),"")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  <c r="I136" s="5" t="str">
        <f>IFERROR(IF(SUMIFS(tblDaily[MalariaCases],tblDaily[EntryDate],DATE(2026,4,13),tblDaily[WardCode],"CW")=0,"",SUMIFS(tblDaily[MalariaCases],tblDaily[EntryDate],DATE(2026,4,13),tblDaily[WardCode],"CW")),"")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  <c r="I137" s="5" t="str">
        <f>IFERROR(IF(SUMIFS(tblDaily[MalariaCases],tblDaily[EntryDate],DATE(2026,4,14),tblDaily[WardCode],"CW")=0,"",SUMIFS(tblDaily[MalariaCases],tblDaily[EntryDate],DATE(2026,4,14),tblDaily[WardCode],"CW")),"")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  <c r="I138" s="5" t="str">
        <f>IFERROR(IF(SUMIFS(tblDaily[MalariaCases],tblDaily[EntryDate],DATE(2026,4,15),tblDaily[WardCode],"CW")=0,"",SUMIFS(tblDaily[MalariaCases],tblDaily[EntryDate],DATE(2026,4,15),tblDaily[WardCode],"CW")),"")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  <c r="I139" s="5" t="str">
        <f>IFERROR(IF(SUMIFS(tblDaily[MalariaCases],tblDaily[EntryDate],DATE(2026,4,16),tblDaily[WardCode],"CW")=0,"",SUMIFS(tblDaily[MalariaCases],tblDaily[EntryDate],DATE(2026,4,16),tblDaily[WardCode],"CW")),"")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  <c r="I140" s="5" t="str">
        <f>IFERROR(IF(SUMIFS(tblDaily[MalariaCases],tblDaily[EntryDate],DATE(2026,4,17),tblDaily[WardCode],"CW")=0,"",SUMIFS(tblDaily[MalariaCases],tblDaily[EntryDate],DATE(2026,4,17),tblDaily[WardCode],"CW")),"")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  <c r="I141" s="5" t="str">
        <f>IFERROR(IF(SUMIFS(tblDaily[MalariaCases],tblDaily[EntryDate],DATE(2026,4,18),tblDaily[WardCode],"CW")=0,"",SUMIFS(tblDaily[MalariaCases],tblDaily[EntryDate],DATE(2026,4,18),tblDaily[WardCode],"CW")),"")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  <c r="I142" s="5" t="str">
        <f>IFERROR(IF(SUMIFS(tblDaily[MalariaCases],tblDaily[EntryDate],DATE(2026,4,19),tblDaily[WardCode],"CW")=0,"",SUMIFS(tblDaily[MalariaCases],tblDaily[EntryDate],DATE(2026,4,19),tblDaily[WardCode],"CW")),"")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  <c r="I143" s="5" t="str">
        <f>IFERROR(IF(SUMIFS(tblDaily[MalariaCases],tblDaily[EntryDate],DATE(2026,4,20),tblDaily[WardCode],"CW")=0,"",SUMIFS(tblDaily[MalariaCases],tblDaily[EntryDate],DATE(2026,4,20),tblDaily[WardCode],"CW")),"")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  <c r="I144" s="5" t="str">
        <f>IFERROR(IF(SUMIFS(tblDaily[MalariaCases],tblDaily[EntryDate],DATE(2026,4,21),tblDaily[WardCode],"CW")=0,"",SUMIFS(tblDaily[MalariaCases],tblDaily[EntryDate],DATE(2026,4,21),tblDaily[WardCode],"CW")),"")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  <c r="I145" s="5" t="str">
        <f>IFERROR(IF(SUMIFS(tblDaily[MalariaCases],tblDaily[EntryDate],DATE(2026,4,22),tblDaily[WardCode],"CW")=0,"",SUMIFS(tblDaily[MalariaCases],tblDaily[EntryDate],DATE(2026,4,22),tblDaily[WardCode],"CW")),"")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  <c r="I146" s="5" t="str">
        <f>IFERROR(IF(SUMIFS(tblDaily[MalariaCases],tblDaily[EntryDate],DATE(2026,4,23),tblDaily[WardCode],"CW")=0,"",SUMIFS(tblDaily[MalariaCases],tblDaily[EntryDate],DATE(2026,4,23),tblDaily[WardCode],"CW")),"")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  <c r="I147" s="5" t="str">
        <f>IFERROR(IF(SUMIFS(tblDaily[MalariaCases],tblDaily[EntryDate],DATE(2026,4,24),tblDaily[WardCode],"CW")=0,"",SUMIFS(tblDaily[MalariaCases],tblDaily[EntryDate],DATE(2026,4,24),tblDaily[WardCode],"CW")),"")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  <c r="I148" s="5" t="str">
        <f>IFERROR(IF(SUMIFS(tblDaily[MalariaCases],tblDaily[EntryDate],DATE(2026,4,25),tblDaily[WardCode],"CW")=0,"",SUMIFS(tblDaily[MalariaCases],tblDaily[EntryDate],DATE(2026,4,25),tblDaily[WardCode],"CW")),"")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  <c r="I149" s="5" t="str">
        <f>IFERROR(IF(SUMIFS(tblDaily[MalariaCases],tblDaily[EntryDate],DATE(2026,4,26),tblDaily[WardCode],"CW")=0,"",SUMIFS(tblDaily[MalariaCases],tblDaily[EntryDate],DATE(2026,4,26),tblDaily[WardCode],"CW")),"")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  <c r="I150" s="5" t="str">
        <f>IFERROR(IF(SUMIFS(tblDaily[MalariaCases],tblDaily[EntryDate],DATE(2026,4,27),tblDaily[WardCode],"CW")=0,"",SUMIFS(tblDaily[MalariaCases],tblDaily[EntryDate],DATE(2026,4,27),tblDaily[WardCode],"CW")),"")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  <c r="I151" s="5" t="str">
        <f>IFERROR(IF(SUMIFS(tblDaily[MalariaCases],tblDaily[EntryDate],DATE(2026,4,28),tblDaily[WardCode],"CW")=0,"",SUMIFS(tblDaily[MalariaCases],tblDaily[EntryDate],DATE(2026,4,28),tblDaily[WardCode],"CW")),"")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  <c r="I152" s="5" t="str">
        <f>IFERROR(IF(SUMIFS(tblDaily[MalariaCases],tblDaily[EntryDate],DATE(2026,4,29),tblDaily[WardCode],"CW")=0,"",SUMIFS(tblDaily[MalariaCases],tblDaily[EntryDate],DATE(2026,4,29),tblDaily[WardCode],"CW")),"")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  <c r="I153" s="5" t="str">
        <f>IFERROR(IF(SUMIFS(tblDaily[MalariaCases],tblDaily[EntryDate],DATE(2026,4,30),tblDaily[WardCode],"CW")=0,"",SUMIFS(tblDaily[MalariaCases],tblDaily[EntryDate],DATE(2026,4,30),tblDaily[WardCode],"CW")),"")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96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IFERROR(SUMIFS(tblDaily[Remaining],tblDaily[EntryDate],DATE(2026,4,30),tblDaily[WardCode],"CW"),0)</f>
        <v>0</v>
      </c>
    </row>
    <row r="161" spans="1:9" x14ac:dyDescent="0.25">
      <c r="A161" s="1" t="s">
        <v>87</v>
      </c>
      <c r="H161" s="7">
        <f>IFERROR(INDEX(tblWardConfig[BedComplement],MATCH("CW",tblWardConfig[Export Year-End],0)),0)</f>
        <v>27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  <c r="I163" s="5" t="str">
        <f>IFERROR(IF(SUMIFS(tblDaily[MalariaCases],tblDaily[EntryDate],DATE(2026,5,1),tblDaily[WardCode],"CW")=0,"",SUMIFS(tblDaily[MalariaCases],tblDaily[EntryDate],DATE(2026,5,1),tblDaily[WardCode],"CW")),"")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  <c r="I164" s="5" t="str">
        <f>IFERROR(IF(SUMIFS(tblDaily[MalariaCases],tblDaily[EntryDate],DATE(2026,5,2),tblDaily[WardCode],"CW")=0,"",SUMIFS(tblDaily[MalariaCases],tblDaily[EntryDate],DATE(2026,5,2),tblDaily[WardCode],"CW")),"")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  <c r="I165" s="5" t="str">
        <f>IFERROR(IF(SUMIFS(tblDaily[MalariaCases],tblDaily[EntryDate],DATE(2026,5,3),tblDaily[WardCode],"CW")=0,"",SUMIFS(tblDaily[MalariaCases],tblDaily[EntryDate],DATE(2026,5,3),tblDaily[WardCode],"CW")),"")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  <c r="I166" s="5" t="str">
        <f>IFERROR(IF(SUMIFS(tblDaily[MalariaCases],tblDaily[EntryDate],DATE(2026,5,4),tblDaily[WardCode],"CW")=0,"",SUMIFS(tblDaily[MalariaCases],tblDaily[EntryDate],DATE(2026,5,4),tblDaily[WardCode],"CW")),"")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  <c r="I167" s="5" t="str">
        <f>IFERROR(IF(SUMIFS(tblDaily[MalariaCases],tblDaily[EntryDate],DATE(2026,5,5),tblDaily[WardCode],"CW")=0,"",SUMIFS(tblDaily[MalariaCases],tblDaily[EntryDate],DATE(2026,5,5),tblDaily[WardCode],"CW")),"")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  <c r="I168" s="5" t="str">
        <f>IFERROR(IF(SUMIFS(tblDaily[MalariaCases],tblDaily[EntryDate],DATE(2026,5,6),tblDaily[WardCode],"CW")=0,"",SUMIFS(tblDaily[MalariaCases],tblDaily[EntryDate],DATE(2026,5,6),tblDaily[WardCode],"CW")),"")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  <c r="I169" s="5" t="str">
        <f>IFERROR(IF(SUMIFS(tblDaily[MalariaCases],tblDaily[EntryDate],DATE(2026,5,7),tblDaily[WardCode],"CW")=0,"",SUMIFS(tblDaily[MalariaCases],tblDaily[EntryDate],DATE(2026,5,7),tblDaily[WardCode],"CW")),"")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  <c r="I170" s="5" t="str">
        <f>IFERROR(IF(SUMIFS(tblDaily[MalariaCases],tblDaily[EntryDate],DATE(2026,5,8),tblDaily[WardCode],"CW")=0,"",SUMIFS(tblDaily[MalariaCases],tblDaily[EntryDate],DATE(2026,5,8),tblDaily[WardCode],"CW")),"")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  <c r="I171" s="5" t="str">
        <f>IFERROR(IF(SUMIFS(tblDaily[MalariaCases],tblDaily[EntryDate],DATE(2026,5,9),tblDaily[WardCode],"CW")=0,"",SUMIFS(tblDaily[MalariaCases],tblDaily[EntryDate],DATE(2026,5,9),tblDaily[WardCode],"CW")),"")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  <c r="I172" s="5" t="str">
        <f>IFERROR(IF(SUMIFS(tblDaily[MalariaCases],tblDaily[EntryDate],DATE(2026,5,10),tblDaily[WardCode],"CW")=0,"",SUMIFS(tblDaily[MalariaCases],tblDaily[EntryDate],DATE(2026,5,10),tblDaily[WardCode],"CW")),"")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  <c r="I173" s="5" t="str">
        <f>IFERROR(IF(SUMIFS(tblDaily[MalariaCases],tblDaily[EntryDate],DATE(2026,5,11),tblDaily[WardCode],"CW")=0,"",SUMIFS(tblDaily[MalariaCases],tblDaily[EntryDate],DATE(2026,5,11),tblDaily[WardCode],"CW")),"")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  <c r="I174" s="5" t="str">
        <f>IFERROR(IF(SUMIFS(tblDaily[MalariaCases],tblDaily[EntryDate],DATE(2026,5,12),tblDaily[WardCode],"CW")=0,"",SUMIFS(tblDaily[MalariaCases],tblDaily[EntryDate],DATE(2026,5,12),tblDaily[WardCode],"CW")),"")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  <c r="I175" s="5" t="str">
        <f>IFERROR(IF(SUMIFS(tblDaily[MalariaCases],tblDaily[EntryDate],DATE(2026,5,13),tblDaily[WardCode],"CW")=0,"",SUMIFS(tblDaily[MalariaCases],tblDaily[EntryDate],DATE(2026,5,13),tblDaily[WardCode],"CW")),"")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  <c r="I176" s="5" t="str">
        <f>IFERROR(IF(SUMIFS(tblDaily[MalariaCases],tblDaily[EntryDate],DATE(2026,5,14),tblDaily[WardCode],"CW")=0,"",SUMIFS(tblDaily[MalariaCases],tblDaily[EntryDate],DATE(2026,5,14),tblDaily[WardCode],"CW")),"")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  <c r="I177" s="5" t="str">
        <f>IFERROR(IF(SUMIFS(tblDaily[MalariaCases],tblDaily[EntryDate],DATE(2026,5,15),tblDaily[WardCode],"CW")=0,"",SUMIFS(tblDaily[MalariaCases],tblDaily[EntryDate],DATE(2026,5,15),tblDaily[WardCode],"CW")),"")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  <c r="I178" s="5" t="str">
        <f>IFERROR(IF(SUMIFS(tblDaily[MalariaCases],tblDaily[EntryDate],DATE(2026,5,16),tblDaily[WardCode],"CW")=0,"",SUMIFS(tblDaily[MalariaCases],tblDaily[EntryDate],DATE(2026,5,16),tblDaily[WardCode],"CW")),"")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  <c r="I179" s="5" t="str">
        <f>IFERROR(IF(SUMIFS(tblDaily[MalariaCases],tblDaily[EntryDate],DATE(2026,5,17),tblDaily[WardCode],"CW")=0,"",SUMIFS(tblDaily[MalariaCases],tblDaily[EntryDate],DATE(2026,5,17),tblDaily[WardCode],"CW")),"")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  <c r="I180" s="5" t="str">
        <f>IFERROR(IF(SUMIFS(tblDaily[MalariaCases],tblDaily[EntryDate],DATE(2026,5,18),tblDaily[WardCode],"CW")=0,"",SUMIFS(tblDaily[MalariaCases],tblDaily[EntryDate],DATE(2026,5,18),tblDaily[WardCode],"CW")),"")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  <c r="I181" s="5" t="str">
        <f>IFERROR(IF(SUMIFS(tblDaily[MalariaCases],tblDaily[EntryDate],DATE(2026,5,19),tblDaily[WardCode],"CW")=0,"",SUMIFS(tblDaily[MalariaCases],tblDaily[EntryDate],DATE(2026,5,19),tblDaily[WardCode],"CW")),"")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  <c r="I182" s="5" t="str">
        <f>IFERROR(IF(SUMIFS(tblDaily[MalariaCases],tblDaily[EntryDate],DATE(2026,5,20),tblDaily[WardCode],"CW")=0,"",SUMIFS(tblDaily[MalariaCases],tblDaily[EntryDate],DATE(2026,5,20),tblDaily[WardCode],"CW")),"")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  <c r="I183" s="5" t="str">
        <f>IFERROR(IF(SUMIFS(tblDaily[MalariaCases],tblDaily[EntryDate],DATE(2026,5,21),tblDaily[WardCode],"CW")=0,"",SUMIFS(tblDaily[MalariaCases],tblDaily[EntryDate],DATE(2026,5,21),tblDaily[WardCode],"CW")),"")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  <c r="I184" s="5" t="str">
        <f>IFERROR(IF(SUMIFS(tblDaily[MalariaCases],tblDaily[EntryDate],DATE(2026,5,22),tblDaily[WardCode],"CW")=0,"",SUMIFS(tblDaily[MalariaCases],tblDaily[EntryDate],DATE(2026,5,22),tblDaily[WardCode],"CW")),"")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  <c r="I185" s="5" t="str">
        <f>IFERROR(IF(SUMIFS(tblDaily[MalariaCases],tblDaily[EntryDate],DATE(2026,5,23),tblDaily[WardCode],"CW")=0,"",SUMIFS(tblDaily[MalariaCases],tblDaily[EntryDate],DATE(2026,5,23),tblDaily[WardCode],"CW")),"")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  <c r="I186" s="5" t="str">
        <f>IFERROR(IF(SUMIFS(tblDaily[MalariaCases],tblDaily[EntryDate],DATE(2026,5,24),tblDaily[WardCode],"CW")=0,"",SUMIFS(tblDaily[MalariaCases],tblDaily[EntryDate],DATE(2026,5,24),tblDaily[WardCode],"CW")),"")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  <c r="I187" s="5" t="str">
        <f>IFERROR(IF(SUMIFS(tblDaily[MalariaCases],tblDaily[EntryDate],DATE(2026,5,25),tblDaily[WardCode],"CW")=0,"",SUMIFS(tblDaily[MalariaCases],tblDaily[EntryDate],DATE(2026,5,25),tblDaily[WardCode],"CW")),"")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  <c r="I188" s="5" t="str">
        <f>IFERROR(IF(SUMIFS(tblDaily[MalariaCases],tblDaily[EntryDate],DATE(2026,5,26),tblDaily[WardCode],"CW")=0,"",SUMIFS(tblDaily[MalariaCases],tblDaily[EntryDate],DATE(2026,5,26),tblDaily[WardCode],"CW")),"")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  <c r="I189" s="5" t="str">
        <f>IFERROR(IF(SUMIFS(tblDaily[MalariaCases],tblDaily[EntryDate],DATE(2026,5,27),tblDaily[WardCode],"CW")=0,"",SUMIFS(tblDaily[MalariaCases],tblDaily[EntryDate],DATE(2026,5,27),tblDaily[WardCode],"CW")),"")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  <c r="I190" s="5" t="str">
        <f>IFERROR(IF(SUMIFS(tblDaily[MalariaCases],tblDaily[EntryDate],DATE(2026,5,28),tblDaily[WardCode],"CW")=0,"",SUMIFS(tblDaily[MalariaCases],tblDaily[EntryDate],DATE(2026,5,28),tblDaily[WardCode],"CW")),"")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  <c r="I191" s="5" t="str">
        <f>IFERROR(IF(SUMIFS(tblDaily[MalariaCases],tblDaily[EntryDate],DATE(2026,5,29),tblDaily[WardCode],"CW")=0,"",SUMIFS(tblDaily[MalariaCases],tblDaily[EntryDate],DATE(2026,5,29),tblDaily[WardCode],"CW")),"")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  <c r="I192" s="5" t="str">
        <f>IFERROR(IF(SUMIFS(tblDaily[MalariaCases],tblDaily[EntryDate],DATE(2026,5,30),tblDaily[WardCode],"CW")=0,"",SUMIFS(tblDaily[MalariaCases],tblDaily[EntryDate],DATE(2026,5,30),tblDaily[WardCode],"CW")),"")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  <c r="I193" s="5" t="str">
        <f>IFERROR(IF(SUMIFS(tblDaily[MalariaCases],tblDaily[EntryDate],DATE(2026,5,31),tblDaily[WardCode],"CW")=0,"",SUMIFS(tblDaily[MalariaCases],tblDaily[EntryDate],DATE(2026,5,31),tblDaily[WardCode],"CW")),"")</f>
        <v/>
      </c>
    </row>
    <row r="194" spans="1:9" x14ac:dyDescent="0.25">
      <c r="A194" s="9" t="s">
        <v>94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96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IFERROR(SUMIFS(tblDaily[Remaining],tblDaily[EntryDate],DATE(2026,5,31),tblDaily[WardCode],"CW"),0)</f>
        <v>0</v>
      </c>
    </row>
    <row r="200" spans="1:9" x14ac:dyDescent="0.25">
      <c r="A200" s="1" t="s">
        <v>87</v>
      </c>
      <c r="H200" s="7">
        <f>IFERROR(INDEX(tblWardConfig[BedComplement],MATCH("CW",tblWardConfig[Export Year-End],0)),0)</f>
        <v>27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  <c r="I202" s="5" t="str">
        <f>IFERROR(IF(SUMIFS(tblDaily[MalariaCases],tblDaily[EntryDate],DATE(2026,6,1),tblDaily[WardCode],"CW")=0,"",SUMIFS(tblDaily[MalariaCases],tblDaily[EntryDate],DATE(2026,6,1),tblDaily[WardCode],"CW")),"")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  <c r="I203" s="5" t="str">
        <f>IFERROR(IF(SUMIFS(tblDaily[MalariaCases],tblDaily[EntryDate],DATE(2026,6,2),tblDaily[WardCode],"CW")=0,"",SUMIFS(tblDaily[MalariaCases],tblDaily[EntryDate],DATE(2026,6,2),tblDaily[WardCode],"CW")),"")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  <c r="I204" s="5" t="str">
        <f>IFERROR(IF(SUMIFS(tblDaily[MalariaCases],tblDaily[EntryDate],DATE(2026,6,3),tblDaily[WardCode],"CW")=0,"",SUMIFS(tblDaily[MalariaCases],tblDaily[EntryDate],DATE(2026,6,3),tblDaily[WardCode],"CW")),"")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  <c r="I205" s="5" t="str">
        <f>IFERROR(IF(SUMIFS(tblDaily[MalariaCases],tblDaily[EntryDate],DATE(2026,6,4),tblDaily[WardCode],"CW")=0,"",SUMIFS(tblDaily[MalariaCases],tblDaily[EntryDate],DATE(2026,6,4),tblDaily[WardCode],"CW")),"")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  <c r="I206" s="5" t="str">
        <f>IFERROR(IF(SUMIFS(tblDaily[MalariaCases],tblDaily[EntryDate],DATE(2026,6,5),tblDaily[WardCode],"CW")=0,"",SUMIFS(tblDaily[MalariaCases],tblDaily[EntryDate],DATE(2026,6,5),tblDaily[WardCode],"CW")),"")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  <c r="I207" s="5" t="str">
        <f>IFERROR(IF(SUMIFS(tblDaily[MalariaCases],tblDaily[EntryDate],DATE(2026,6,6),tblDaily[WardCode],"CW")=0,"",SUMIFS(tblDaily[MalariaCases],tblDaily[EntryDate],DATE(2026,6,6),tblDaily[WardCode],"CW")),"")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  <c r="I208" s="5" t="str">
        <f>IFERROR(IF(SUMIFS(tblDaily[MalariaCases],tblDaily[EntryDate],DATE(2026,6,7),tblDaily[WardCode],"CW")=0,"",SUMIFS(tblDaily[MalariaCases],tblDaily[EntryDate],DATE(2026,6,7),tblDaily[WardCode],"CW")),"")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  <c r="I209" s="5" t="str">
        <f>IFERROR(IF(SUMIFS(tblDaily[MalariaCases],tblDaily[EntryDate],DATE(2026,6,8),tblDaily[WardCode],"CW")=0,"",SUMIFS(tblDaily[MalariaCases],tblDaily[EntryDate],DATE(2026,6,8),tblDaily[WardCode],"CW")),"")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  <c r="I210" s="5" t="str">
        <f>IFERROR(IF(SUMIFS(tblDaily[MalariaCases],tblDaily[EntryDate],DATE(2026,6,9),tblDaily[WardCode],"CW")=0,"",SUMIFS(tblDaily[MalariaCases],tblDaily[EntryDate],DATE(2026,6,9),tblDaily[WardCode],"CW")),"")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  <c r="I211" s="5" t="str">
        <f>IFERROR(IF(SUMIFS(tblDaily[MalariaCases],tblDaily[EntryDate],DATE(2026,6,10),tblDaily[WardCode],"CW")=0,"",SUMIFS(tblDaily[MalariaCases],tblDaily[EntryDate],DATE(2026,6,10),tblDaily[WardCode],"CW")),"")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  <c r="I212" s="5" t="str">
        <f>IFERROR(IF(SUMIFS(tblDaily[MalariaCases],tblDaily[EntryDate],DATE(2026,6,11),tblDaily[WardCode],"CW")=0,"",SUMIFS(tblDaily[MalariaCases],tblDaily[EntryDate],DATE(2026,6,11),tblDaily[WardCode],"CW")),"")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  <c r="I213" s="5" t="str">
        <f>IFERROR(IF(SUMIFS(tblDaily[MalariaCases],tblDaily[EntryDate],DATE(2026,6,12),tblDaily[WardCode],"CW")=0,"",SUMIFS(tblDaily[MalariaCases],tblDaily[EntryDate],DATE(2026,6,12),tblDaily[WardCode],"CW")),"")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  <c r="I214" s="5" t="str">
        <f>IFERROR(IF(SUMIFS(tblDaily[MalariaCases],tblDaily[EntryDate],DATE(2026,6,13),tblDaily[WardCode],"CW")=0,"",SUMIFS(tblDaily[MalariaCases],tblDaily[EntryDate],DATE(2026,6,13),tblDaily[WardCode],"CW")),"")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  <c r="I215" s="5" t="str">
        <f>IFERROR(IF(SUMIFS(tblDaily[MalariaCases],tblDaily[EntryDate],DATE(2026,6,14),tblDaily[WardCode],"CW")=0,"",SUMIFS(tblDaily[MalariaCases],tblDaily[EntryDate],DATE(2026,6,14),tblDaily[WardCode],"CW")),"")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  <c r="I216" s="5" t="str">
        <f>IFERROR(IF(SUMIFS(tblDaily[MalariaCases],tblDaily[EntryDate],DATE(2026,6,15),tblDaily[WardCode],"CW")=0,"",SUMIFS(tblDaily[MalariaCases],tblDaily[EntryDate],DATE(2026,6,15),tblDaily[WardCode],"CW")),"")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  <c r="I217" s="5" t="str">
        <f>IFERROR(IF(SUMIFS(tblDaily[MalariaCases],tblDaily[EntryDate],DATE(2026,6,16),tblDaily[WardCode],"CW")=0,"",SUMIFS(tblDaily[MalariaCases],tblDaily[EntryDate],DATE(2026,6,16),tblDaily[WardCode],"CW")),"")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  <c r="I218" s="5" t="str">
        <f>IFERROR(IF(SUMIFS(tblDaily[MalariaCases],tblDaily[EntryDate],DATE(2026,6,17),tblDaily[WardCode],"CW")=0,"",SUMIFS(tblDaily[MalariaCases],tblDaily[EntryDate],DATE(2026,6,17),tblDaily[WardCode],"CW")),"")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  <c r="I219" s="5" t="str">
        <f>IFERROR(IF(SUMIFS(tblDaily[MalariaCases],tblDaily[EntryDate],DATE(2026,6,18),tblDaily[WardCode],"CW")=0,"",SUMIFS(tblDaily[MalariaCases],tblDaily[EntryDate],DATE(2026,6,18),tblDaily[WardCode],"CW")),"")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  <c r="I220" s="5" t="str">
        <f>IFERROR(IF(SUMIFS(tblDaily[MalariaCases],tblDaily[EntryDate],DATE(2026,6,19),tblDaily[WardCode],"CW")=0,"",SUMIFS(tblDaily[MalariaCases],tblDaily[EntryDate],DATE(2026,6,19),tblDaily[WardCode],"CW")),"")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  <c r="I221" s="5" t="str">
        <f>IFERROR(IF(SUMIFS(tblDaily[MalariaCases],tblDaily[EntryDate],DATE(2026,6,20),tblDaily[WardCode],"CW")=0,"",SUMIFS(tblDaily[MalariaCases],tblDaily[EntryDate],DATE(2026,6,20),tblDaily[WardCode],"CW")),"")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  <c r="I222" s="5" t="str">
        <f>IFERROR(IF(SUMIFS(tblDaily[MalariaCases],tblDaily[EntryDate],DATE(2026,6,21),tblDaily[WardCode],"CW")=0,"",SUMIFS(tblDaily[MalariaCases],tblDaily[EntryDate],DATE(2026,6,21),tblDaily[WardCode],"CW")),"")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  <c r="I223" s="5" t="str">
        <f>IFERROR(IF(SUMIFS(tblDaily[MalariaCases],tblDaily[EntryDate],DATE(2026,6,22),tblDaily[WardCode],"CW")=0,"",SUMIFS(tblDaily[MalariaCases],tblDaily[EntryDate],DATE(2026,6,22),tblDaily[WardCode],"CW")),"")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  <c r="I224" s="5" t="str">
        <f>IFERROR(IF(SUMIFS(tblDaily[MalariaCases],tblDaily[EntryDate],DATE(2026,6,23),tblDaily[WardCode],"CW")=0,"",SUMIFS(tblDaily[MalariaCases],tblDaily[EntryDate],DATE(2026,6,23),tblDaily[WardCode],"CW")),"")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  <c r="I225" s="5" t="str">
        <f>IFERROR(IF(SUMIFS(tblDaily[MalariaCases],tblDaily[EntryDate],DATE(2026,6,24),tblDaily[WardCode],"CW")=0,"",SUMIFS(tblDaily[MalariaCases],tblDaily[EntryDate],DATE(2026,6,24),tblDaily[WardCode],"CW")),"")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  <c r="I226" s="5" t="str">
        <f>IFERROR(IF(SUMIFS(tblDaily[MalariaCases],tblDaily[EntryDate],DATE(2026,6,25),tblDaily[WardCode],"CW")=0,"",SUMIFS(tblDaily[MalariaCases],tblDaily[EntryDate],DATE(2026,6,25),tblDaily[WardCode],"CW")),"")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  <c r="I227" s="5" t="str">
        <f>IFERROR(IF(SUMIFS(tblDaily[MalariaCases],tblDaily[EntryDate],DATE(2026,6,26),tblDaily[WardCode],"CW")=0,"",SUMIFS(tblDaily[MalariaCases],tblDaily[EntryDate],DATE(2026,6,26),tblDaily[WardCode],"CW")),"")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  <c r="I228" s="5" t="str">
        <f>IFERROR(IF(SUMIFS(tblDaily[MalariaCases],tblDaily[EntryDate],DATE(2026,6,27),tblDaily[WardCode],"CW")=0,"",SUMIFS(tblDaily[MalariaCases],tblDaily[EntryDate],DATE(2026,6,27),tblDaily[WardCode],"CW")),"")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  <c r="I229" s="5" t="str">
        <f>IFERROR(IF(SUMIFS(tblDaily[MalariaCases],tblDaily[EntryDate],DATE(2026,6,28),tblDaily[WardCode],"CW")=0,"",SUMIFS(tblDaily[MalariaCases],tblDaily[EntryDate],DATE(2026,6,28),tblDaily[WardCode],"CW")),"")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  <c r="I230" s="5" t="str">
        <f>IFERROR(IF(SUMIFS(tblDaily[MalariaCases],tblDaily[EntryDate],DATE(2026,6,29),tblDaily[WardCode],"CW")=0,"",SUMIFS(tblDaily[MalariaCases],tblDaily[EntryDate],DATE(2026,6,29),tblDaily[WardCode],"CW")),"")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  <c r="I231" s="5" t="str">
        <f>IFERROR(IF(SUMIFS(tblDaily[MalariaCases],tblDaily[EntryDate],DATE(2026,6,30),tblDaily[WardCode],"CW")=0,"",SUMIFS(tblDaily[MalariaCases],tblDaily[EntryDate],DATE(2026,6,30),tblDaily[WardCode],"CW")),"")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96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IFERROR(SUMIFS(tblDaily[Remaining],tblDaily[EntryDate],DATE(2026,6,30),tblDaily[WardCode],"CW"),0)</f>
        <v>0</v>
      </c>
    </row>
    <row r="239" spans="1:9" x14ac:dyDescent="0.25">
      <c r="A239" s="1" t="s">
        <v>87</v>
      </c>
      <c r="H239" s="7">
        <f>IFERROR(INDEX(tblWardConfig[BedComplement],MATCH("CW",tblWardConfig[Export Year-End],0)),0)</f>
        <v>27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  <c r="I241" s="5" t="str">
        <f>IFERROR(IF(SUMIFS(tblDaily[MalariaCases],tblDaily[EntryDate],DATE(2026,7,1),tblDaily[WardCode],"CW")=0,"",SUMIFS(tblDaily[MalariaCases],tblDaily[EntryDate],DATE(2026,7,1),tblDaily[WardCode],"CW")),"")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  <c r="I242" s="5" t="str">
        <f>IFERROR(IF(SUMIFS(tblDaily[MalariaCases],tblDaily[EntryDate],DATE(2026,7,2),tblDaily[WardCode],"CW")=0,"",SUMIFS(tblDaily[MalariaCases],tblDaily[EntryDate],DATE(2026,7,2),tblDaily[WardCode],"CW")),"")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  <c r="I243" s="5" t="str">
        <f>IFERROR(IF(SUMIFS(tblDaily[MalariaCases],tblDaily[EntryDate],DATE(2026,7,3),tblDaily[WardCode],"CW")=0,"",SUMIFS(tblDaily[MalariaCases],tblDaily[EntryDate],DATE(2026,7,3),tblDaily[WardCode],"CW")),"")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  <c r="I244" s="5" t="str">
        <f>IFERROR(IF(SUMIFS(tblDaily[MalariaCases],tblDaily[EntryDate],DATE(2026,7,4),tblDaily[WardCode],"CW")=0,"",SUMIFS(tblDaily[MalariaCases],tblDaily[EntryDate],DATE(2026,7,4),tblDaily[WardCode],"CW")),"")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  <c r="I245" s="5" t="str">
        <f>IFERROR(IF(SUMIFS(tblDaily[MalariaCases],tblDaily[EntryDate],DATE(2026,7,5),tblDaily[WardCode],"CW")=0,"",SUMIFS(tblDaily[MalariaCases],tblDaily[EntryDate],DATE(2026,7,5),tblDaily[WardCode],"CW")),"")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  <c r="I246" s="5" t="str">
        <f>IFERROR(IF(SUMIFS(tblDaily[MalariaCases],tblDaily[EntryDate],DATE(2026,7,6),tblDaily[WardCode],"CW")=0,"",SUMIFS(tblDaily[MalariaCases],tblDaily[EntryDate],DATE(2026,7,6),tblDaily[WardCode],"CW")),"")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  <c r="I247" s="5" t="str">
        <f>IFERROR(IF(SUMIFS(tblDaily[MalariaCases],tblDaily[EntryDate],DATE(2026,7,7),tblDaily[WardCode],"CW")=0,"",SUMIFS(tblDaily[MalariaCases],tblDaily[EntryDate],DATE(2026,7,7),tblDaily[WardCode],"CW")),"")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  <c r="I248" s="5" t="str">
        <f>IFERROR(IF(SUMIFS(tblDaily[MalariaCases],tblDaily[EntryDate],DATE(2026,7,8),tblDaily[WardCode],"CW")=0,"",SUMIFS(tblDaily[MalariaCases],tblDaily[EntryDate],DATE(2026,7,8),tblDaily[WardCode],"CW")),"")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  <c r="I249" s="5" t="str">
        <f>IFERROR(IF(SUMIFS(tblDaily[MalariaCases],tblDaily[EntryDate],DATE(2026,7,9),tblDaily[WardCode],"CW")=0,"",SUMIFS(tblDaily[MalariaCases],tblDaily[EntryDate],DATE(2026,7,9),tblDaily[WardCode],"CW")),"")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  <c r="I250" s="5" t="str">
        <f>IFERROR(IF(SUMIFS(tblDaily[MalariaCases],tblDaily[EntryDate],DATE(2026,7,10),tblDaily[WardCode],"CW")=0,"",SUMIFS(tblDaily[MalariaCases],tblDaily[EntryDate],DATE(2026,7,10),tblDaily[WardCode],"CW")),"")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  <c r="I251" s="5" t="str">
        <f>IFERROR(IF(SUMIFS(tblDaily[MalariaCases],tblDaily[EntryDate],DATE(2026,7,11),tblDaily[WardCode],"CW")=0,"",SUMIFS(tblDaily[MalariaCases],tblDaily[EntryDate],DATE(2026,7,11),tblDaily[WardCode],"CW")),"")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  <c r="I252" s="5" t="str">
        <f>IFERROR(IF(SUMIFS(tblDaily[MalariaCases],tblDaily[EntryDate],DATE(2026,7,12),tblDaily[WardCode],"CW")=0,"",SUMIFS(tblDaily[MalariaCases],tblDaily[EntryDate],DATE(2026,7,12),tblDaily[WardCode],"CW")),"")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  <c r="I253" s="5" t="str">
        <f>IFERROR(IF(SUMIFS(tblDaily[MalariaCases],tblDaily[EntryDate],DATE(2026,7,13),tblDaily[WardCode],"CW")=0,"",SUMIFS(tblDaily[MalariaCases],tblDaily[EntryDate],DATE(2026,7,13),tblDaily[WardCode],"CW")),"")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  <c r="I254" s="5" t="str">
        <f>IFERROR(IF(SUMIFS(tblDaily[MalariaCases],tblDaily[EntryDate],DATE(2026,7,14),tblDaily[WardCode],"CW")=0,"",SUMIFS(tblDaily[MalariaCases],tblDaily[EntryDate],DATE(2026,7,14),tblDaily[WardCode],"CW")),"")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  <c r="I255" s="5" t="str">
        <f>IFERROR(IF(SUMIFS(tblDaily[MalariaCases],tblDaily[EntryDate],DATE(2026,7,15),tblDaily[WardCode],"CW")=0,"",SUMIFS(tblDaily[MalariaCases],tblDaily[EntryDate],DATE(2026,7,15),tblDaily[WardCode],"CW")),"")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  <c r="I256" s="5" t="str">
        <f>IFERROR(IF(SUMIFS(tblDaily[MalariaCases],tblDaily[EntryDate],DATE(2026,7,16),tblDaily[WardCode],"CW")=0,"",SUMIFS(tblDaily[MalariaCases],tblDaily[EntryDate],DATE(2026,7,16),tblDaily[WardCode],"CW")),"")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  <c r="I257" s="5" t="str">
        <f>IFERROR(IF(SUMIFS(tblDaily[MalariaCases],tblDaily[EntryDate],DATE(2026,7,17),tblDaily[WardCode],"CW")=0,"",SUMIFS(tblDaily[MalariaCases],tblDaily[EntryDate],DATE(2026,7,17),tblDaily[WardCode],"CW")),"")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  <c r="I258" s="5" t="str">
        <f>IFERROR(IF(SUMIFS(tblDaily[MalariaCases],tblDaily[EntryDate],DATE(2026,7,18),tblDaily[WardCode],"CW")=0,"",SUMIFS(tblDaily[MalariaCases],tblDaily[EntryDate],DATE(2026,7,18),tblDaily[WardCode],"CW")),"")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  <c r="I259" s="5" t="str">
        <f>IFERROR(IF(SUMIFS(tblDaily[MalariaCases],tblDaily[EntryDate],DATE(2026,7,19),tblDaily[WardCode],"CW")=0,"",SUMIFS(tblDaily[MalariaCases],tblDaily[EntryDate],DATE(2026,7,19),tblDaily[WardCode],"CW")),"")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  <c r="I260" s="5" t="str">
        <f>IFERROR(IF(SUMIFS(tblDaily[MalariaCases],tblDaily[EntryDate],DATE(2026,7,20),tblDaily[WardCode],"CW")=0,"",SUMIFS(tblDaily[MalariaCases],tblDaily[EntryDate],DATE(2026,7,20),tblDaily[WardCode],"CW")),"")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  <c r="I261" s="5" t="str">
        <f>IFERROR(IF(SUMIFS(tblDaily[MalariaCases],tblDaily[EntryDate],DATE(2026,7,21),tblDaily[WardCode],"CW")=0,"",SUMIFS(tblDaily[MalariaCases],tblDaily[EntryDate],DATE(2026,7,21),tblDaily[WardCode],"CW")),"")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  <c r="I262" s="5" t="str">
        <f>IFERROR(IF(SUMIFS(tblDaily[MalariaCases],tblDaily[EntryDate],DATE(2026,7,22),tblDaily[WardCode],"CW")=0,"",SUMIFS(tblDaily[MalariaCases],tblDaily[EntryDate],DATE(2026,7,22),tblDaily[WardCode],"CW")),"")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  <c r="I263" s="5" t="str">
        <f>IFERROR(IF(SUMIFS(tblDaily[MalariaCases],tblDaily[EntryDate],DATE(2026,7,23),tblDaily[WardCode],"CW")=0,"",SUMIFS(tblDaily[MalariaCases],tblDaily[EntryDate],DATE(2026,7,23),tblDaily[WardCode],"CW")),"")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  <c r="I264" s="5" t="str">
        <f>IFERROR(IF(SUMIFS(tblDaily[MalariaCases],tblDaily[EntryDate],DATE(2026,7,24),tblDaily[WardCode],"CW")=0,"",SUMIFS(tblDaily[MalariaCases],tblDaily[EntryDate],DATE(2026,7,24),tblDaily[WardCode],"CW")),"")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  <c r="I265" s="5" t="str">
        <f>IFERROR(IF(SUMIFS(tblDaily[MalariaCases],tblDaily[EntryDate],DATE(2026,7,25),tblDaily[WardCode],"CW")=0,"",SUMIFS(tblDaily[MalariaCases],tblDaily[EntryDate],DATE(2026,7,25),tblDaily[WardCode],"CW")),"")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  <c r="I266" s="5" t="str">
        <f>IFERROR(IF(SUMIFS(tblDaily[MalariaCases],tblDaily[EntryDate],DATE(2026,7,26),tblDaily[WardCode],"CW")=0,"",SUMIFS(tblDaily[MalariaCases],tblDaily[EntryDate],DATE(2026,7,26),tblDaily[WardCode],"CW")),"")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  <c r="I267" s="5" t="str">
        <f>IFERROR(IF(SUMIFS(tblDaily[MalariaCases],tblDaily[EntryDate],DATE(2026,7,27),tblDaily[WardCode],"CW")=0,"",SUMIFS(tblDaily[MalariaCases],tblDaily[EntryDate],DATE(2026,7,27),tblDaily[WardCode],"CW")),"")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  <c r="I268" s="5" t="str">
        <f>IFERROR(IF(SUMIFS(tblDaily[MalariaCases],tblDaily[EntryDate],DATE(2026,7,28),tblDaily[WardCode],"CW")=0,"",SUMIFS(tblDaily[MalariaCases],tblDaily[EntryDate],DATE(2026,7,28),tblDaily[WardCode],"CW")),"")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  <c r="I269" s="5" t="str">
        <f>IFERROR(IF(SUMIFS(tblDaily[MalariaCases],tblDaily[EntryDate],DATE(2026,7,29),tblDaily[WardCode],"CW")=0,"",SUMIFS(tblDaily[MalariaCases],tblDaily[EntryDate],DATE(2026,7,29),tblDaily[WardCode],"CW")),"")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  <c r="I270" s="5" t="str">
        <f>IFERROR(IF(SUMIFS(tblDaily[MalariaCases],tblDaily[EntryDate],DATE(2026,7,30),tblDaily[WardCode],"CW")=0,"",SUMIFS(tblDaily[MalariaCases],tblDaily[EntryDate],DATE(2026,7,30),tblDaily[WardCode],"CW")),"")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  <c r="I271" s="5" t="str">
        <f>IFERROR(IF(SUMIFS(tblDaily[MalariaCases],tblDaily[EntryDate],DATE(2026,7,31),tblDaily[WardCode],"CW")=0,"",SUMIFS(tblDaily[MalariaCases],tblDaily[EntryDate],DATE(2026,7,31),tblDaily[WardCode],"CW")),"")</f>
        <v/>
      </c>
    </row>
    <row r="272" spans="1:9" x14ac:dyDescent="0.25">
      <c r="A272" s="9" t="s">
        <v>94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96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IFERROR(SUMIFS(tblDaily[Remaining],tblDaily[EntryDate],DATE(2026,7,31),tblDaily[WardCode],"CW"),0)</f>
        <v>0</v>
      </c>
    </row>
    <row r="278" spans="1:9" x14ac:dyDescent="0.25">
      <c r="A278" s="1" t="s">
        <v>87</v>
      </c>
      <c r="H278" s="7">
        <f>IFERROR(INDEX(tblWardConfig[BedComplement],MATCH("CW",tblWardConfig[Export Year-End],0)),0)</f>
        <v>27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  <c r="I280" s="5" t="str">
        <f>IFERROR(IF(SUMIFS(tblDaily[MalariaCases],tblDaily[EntryDate],DATE(2026,8,1),tblDaily[WardCode],"CW")=0,"",SUMIFS(tblDaily[MalariaCases],tblDaily[EntryDate],DATE(2026,8,1),tblDaily[WardCode],"CW")),"")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  <c r="I281" s="5" t="str">
        <f>IFERROR(IF(SUMIFS(tblDaily[MalariaCases],tblDaily[EntryDate],DATE(2026,8,2),tblDaily[WardCode],"CW")=0,"",SUMIFS(tblDaily[MalariaCases],tblDaily[EntryDate],DATE(2026,8,2),tblDaily[WardCode],"CW")),"")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  <c r="I282" s="5" t="str">
        <f>IFERROR(IF(SUMIFS(tblDaily[MalariaCases],tblDaily[EntryDate],DATE(2026,8,3),tblDaily[WardCode],"CW")=0,"",SUMIFS(tblDaily[MalariaCases],tblDaily[EntryDate],DATE(2026,8,3),tblDaily[WardCode],"CW")),"")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  <c r="I283" s="5" t="str">
        <f>IFERROR(IF(SUMIFS(tblDaily[MalariaCases],tblDaily[EntryDate],DATE(2026,8,4),tblDaily[WardCode],"CW")=0,"",SUMIFS(tblDaily[MalariaCases],tblDaily[EntryDate],DATE(2026,8,4),tblDaily[WardCode],"CW")),"")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  <c r="I284" s="5" t="str">
        <f>IFERROR(IF(SUMIFS(tblDaily[MalariaCases],tblDaily[EntryDate],DATE(2026,8,5),tblDaily[WardCode],"CW")=0,"",SUMIFS(tblDaily[MalariaCases],tblDaily[EntryDate],DATE(2026,8,5),tblDaily[WardCode],"CW")),"")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  <c r="I285" s="5" t="str">
        <f>IFERROR(IF(SUMIFS(tblDaily[MalariaCases],tblDaily[EntryDate],DATE(2026,8,6),tblDaily[WardCode],"CW")=0,"",SUMIFS(tblDaily[MalariaCases],tblDaily[EntryDate],DATE(2026,8,6),tblDaily[WardCode],"CW")),"")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  <c r="I286" s="5" t="str">
        <f>IFERROR(IF(SUMIFS(tblDaily[MalariaCases],tblDaily[EntryDate],DATE(2026,8,7),tblDaily[WardCode],"CW")=0,"",SUMIFS(tblDaily[MalariaCases],tblDaily[EntryDate],DATE(2026,8,7),tblDaily[WardCode],"CW")),"")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  <c r="I287" s="5" t="str">
        <f>IFERROR(IF(SUMIFS(tblDaily[MalariaCases],tblDaily[EntryDate],DATE(2026,8,8),tblDaily[WardCode],"CW")=0,"",SUMIFS(tblDaily[MalariaCases],tblDaily[EntryDate],DATE(2026,8,8),tblDaily[WardCode],"CW")),"")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  <c r="I288" s="5" t="str">
        <f>IFERROR(IF(SUMIFS(tblDaily[MalariaCases],tblDaily[EntryDate],DATE(2026,8,9),tblDaily[WardCode],"CW")=0,"",SUMIFS(tblDaily[MalariaCases],tblDaily[EntryDate],DATE(2026,8,9),tblDaily[WardCode],"CW")),"")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  <c r="I289" s="5" t="str">
        <f>IFERROR(IF(SUMIFS(tblDaily[MalariaCases],tblDaily[EntryDate],DATE(2026,8,10),tblDaily[WardCode],"CW")=0,"",SUMIFS(tblDaily[MalariaCases],tblDaily[EntryDate],DATE(2026,8,10),tblDaily[WardCode],"CW")),"")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  <c r="I290" s="5" t="str">
        <f>IFERROR(IF(SUMIFS(tblDaily[MalariaCases],tblDaily[EntryDate],DATE(2026,8,11),tblDaily[WardCode],"CW")=0,"",SUMIFS(tblDaily[MalariaCases],tblDaily[EntryDate],DATE(2026,8,11),tblDaily[WardCode],"CW")),"")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  <c r="I291" s="5" t="str">
        <f>IFERROR(IF(SUMIFS(tblDaily[MalariaCases],tblDaily[EntryDate],DATE(2026,8,12),tblDaily[WardCode],"CW")=0,"",SUMIFS(tblDaily[MalariaCases],tblDaily[EntryDate],DATE(2026,8,12),tblDaily[WardCode],"CW")),"")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  <c r="I292" s="5" t="str">
        <f>IFERROR(IF(SUMIFS(tblDaily[MalariaCases],tblDaily[EntryDate],DATE(2026,8,13),tblDaily[WardCode],"CW")=0,"",SUMIFS(tblDaily[MalariaCases],tblDaily[EntryDate],DATE(2026,8,13),tblDaily[WardCode],"CW")),"")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  <c r="I293" s="5" t="str">
        <f>IFERROR(IF(SUMIFS(tblDaily[MalariaCases],tblDaily[EntryDate],DATE(2026,8,14),tblDaily[WardCode],"CW")=0,"",SUMIFS(tblDaily[MalariaCases],tblDaily[EntryDate],DATE(2026,8,14),tblDaily[WardCode],"CW")),"")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  <c r="I294" s="5" t="str">
        <f>IFERROR(IF(SUMIFS(tblDaily[MalariaCases],tblDaily[EntryDate],DATE(2026,8,15),tblDaily[WardCode],"CW")=0,"",SUMIFS(tblDaily[MalariaCases],tblDaily[EntryDate],DATE(2026,8,15),tblDaily[WardCode],"CW")),"")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  <c r="I295" s="5" t="str">
        <f>IFERROR(IF(SUMIFS(tblDaily[MalariaCases],tblDaily[EntryDate],DATE(2026,8,16),tblDaily[WardCode],"CW")=0,"",SUMIFS(tblDaily[MalariaCases],tblDaily[EntryDate],DATE(2026,8,16),tblDaily[WardCode],"CW")),"")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  <c r="I296" s="5" t="str">
        <f>IFERROR(IF(SUMIFS(tblDaily[MalariaCases],tblDaily[EntryDate],DATE(2026,8,17),tblDaily[WardCode],"CW")=0,"",SUMIFS(tblDaily[MalariaCases],tblDaily[EntryDate],DATE(2026,8,17),tblDaily[WardCode],"CW")),"")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  <c r="I297" s="5" t="str">
        <f>IFERROR(IF(SUMIFS(tblDaily[MalariaCases],tblDaily[EntryDate],DATE(2026,8,18),tblDaily[WardCode],"CW")=0,"",SUMIFS(tblDaily[MalariaCases],tblDaily[EntryDate],DATE(2026,8,18),tblDaily[WardCode],"CW")),"")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  <c r="I298" s="5" t="str">
        <f>IFERROR(IF(SUMIFS(tblDaily[MalariaCases],tblDaily[EntryDate],DATE(2026,8,19),tblDaily[WardCode],"CW")=0,"",SUMIFS(tblDaily[MalariaCases],tblDaily[EntryDate],DATE(2026,8,19),tblDaily[WardCode],"CW")),"")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  <c r="I299" s="5" t="str">
        <f>IFERROR(IF(SUMIFS(tblDaily[MalariaCases],tblDaily[EntryDate],DATE(2026,8,20),tblDaily[WardCode],"CW")=0,"",SUMIFS(tblDaily[MalariaCases],tblDaily[EntryDate],DATE(2026,8,20),tblDaily[WardCode],"CW")),"")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  <c r="I300" s="5" t="str">
        <f>IFERROR(IF(SUMIFS(tblDaily[MalariaCases],tblDaily[EntryDate],DATE(2026,8,21),tblDaily[WardCode],"CW")=0,"",SUMIFS(tblDaily[MalariaCases],tblDaily[EntryDate],DATE(2026,8,21),tblDaily[WardCode],"CW")),"")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  <c r="I301" s="5" t="str">
        <f>IFERROR(IF(SUMIFS(tblDaily[MalariaCases],tblDaily[EntryDate],DATE(2026,8,22),tblDaily[WardCode],"CW")=0,"",SUMIFS(tblDaily[MalariaCases],tblDaily[EntryDate],DATE(2026,8,22),tblDaily[WardCode],"CW")),"")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  <c r="I302" s="5" t="str">
        <f>IFERROR(IF(SUMIFS(tblDaily[MalariaCases],tblDaily[EntryDate],DATE(2026,8,23),tblDaily[WardCode],"CW")=0,"",SUMIFS(tblDaily[MalariaCases],tblDaily[EntryDate],DATE(2026,8,23),tblDaily[WardCode],"CW")),"")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  <c r="I303" s="5" t="str">
        <f>IFERROR(IF(SUMIFS(tblDaily[MalariaCases],tblDaily[EntryDate],DATE(2026,8,24),tblDaily[WardCode],"CW")=0,"",SUMIFS(tblDaily[MalariaCases],tblDaily[EntryDate],DATE(2026,8,24),tblDaily[WardCode],"CW")),"")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  <c r="I304" s="5" t="str">
        <f>IFERROR(IF(SUMIFS(tblDaily[MalariaCases],tblDaily[EntryDate],DATE(2026,8,25),tblDaily[WardCode],"CW")=0,"",SUMIFS(tblDaily[MalariaCases],tblDaily[EntryDate],DATE(2026,8,25),tblDaily[WardCode],"CW")),"")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  <c r="I305" s="5" t="str">
        <f>IFERROR(IF(SUMIFS(tblDaily[MalariaCases],tblDaily[EntryDate],DATE(2026,8,26),tblDaily[WardCode],"CW")=0,"",SUMIFS(tblDaily[MalariaCases],tblDaily[EntryDate],DATE(2026,8,26),tblDaily[WardCode],"CW")),"")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  <c r="I306" s="5" t="str">
        <f>IFERROR(IF(SUMIFS(tblDaily[MalariaCases],tblDaily[EntryDate],DATE(2026,8,27),tblDaily[WardCode],"CW")=0,"",SUMIFS(tblDaily[MalariaCases],tblDaily[EntryDate],DATE(2026,8,27),tblDaily[WardCode],"CW")),"")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  <c r="I307" s="5" t="str">
        <f>IFERROR(IF(SUMIFS(tblDaily[MalariaCases],tblDaily[EntryDate],DATE(2026,8,28),tblDaily[WardCode],"CW")=0,"",SUMIFS(tblDaily[MalariaCases],tblDaily[EntryDate],DATE(2026,8,28),tblDaily[WardCode],"CW")),"")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  <c r="I308" s="5" t="str">
        <f>IFERROR(IF(SUMIFS(tblDaily[MalariaCases],tblDaily[EntryDate],DATE(2026,8,29),tblDaily[WardCode],"CW")=0,"",SUMIFS(tblDaily[MalariaCases],tblDaily[EntryDate],DATE(2026,8,29),tblDaily[WardCode],"CW")),"")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  <c r="I309" s="5" t="str">
        <f>IFERROR(IF(SUMIFS(tblDaily[MalariaCases],tblDaily[EntryDate],DATE(2026,8,30),tblDaily[WardCode],"CW")=0,"",SUMIFS(tblDaily[MalariaCases],tblDaily[EntryDate],DATE(2026,8,30),tblDaily[WardCode],"CW")),"")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  <c r="I310" s="5" t="str">
        <f>IFERROR(IF(SUMIFS(tblDaily[MalariaCases],tblDaily[EntryDate],DATE(2026,8,31),tblDaily[WardCode],"CW")=0,"",SUMIFS(tblDaily[MalariaCases],tblDaily[EntryDate],DATE(2026,8,31),tblDaily[WardCode],"CW")),"")</f>
        <v/>
      </c>
    </row>
    <row r="311" spans="1:9" x14ac:dyDescent="0.25">
      <c r="A311" s="9" t="s">
        <v>94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96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IFERROR(SUMIFS(tblDaily[Remaining],tblDaily[EntryDate],DATE(2026,8,31),tblDaily[WardCode],"CW"),0)</f>
        <v>0</v>
      </c>
    </row>
    <row r="317" spans="1:9" x14ac:dyDescent="0.25">
      <c r="A317" s="1" t="s">
        <v>87</v>
      </c>
      <c r="H317" s="7">
        <f>IFERROR(INDEX(tblWardConfig[BedComplement],MATCH("CW",tblWardConfig[Export Year-End],0)),0)</f>
        <v>27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  <c r="I319" s="5" t="str">
        <f>IFERROR(IF(SUMIFS(tblDaily[MalariaCases],tblDaily[EntryDate],DATE(2026,9,1),tblDaily[WardCode],"CW")=0,"",SUMIFS(tblDaily[MalariaCases],tblDaily[EntryDate],DATE(2026,9,1),tblDaily[WardCode],"CW")),"")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  <c r="I320" s="5" t="str">
        <f>IFERROR(IF(SUMIFS(tblDaily[MalariaCases],tblDaily[EntryDate],DATE(2026,9,2),tblDaily[WardCode],"CW")=0,"",SUMIFS(tblDaily[MalariaCases],tblDaily[EntryDate],DATE(2026,9,2),tblDaily[WardCode],"CW")),"")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  <c r="I321" s="5" t="str">
        <f>IFERROR(IF(SUMIFS(tblDaily[MalariaCases],tblDaily[EntryDate],DATE(2026,9,3),tblDaily[WardCode],"CW")=0,"",SUMIFS(tblDaily[MalariaCases],tblDaily[EntryDate],DATE(2026,9,3),tblDaily[WardCode],"CW")),"")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  <c r="I322" s="5" t="str">
        <f>IFERROR(IF(SUMIFS(tblDaily[MalariaCases],tblDaily[EntryDate],DATE(2026,9,4),tblDaily[WardCode],"CW")=0,"",SUMIFS(tblDaily[MalariaCases],tblDaily[EntryDate],DATE(2026,9,4),tblDaily[WardCode],"CW")),"")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  <c r="I323" s="5" t="str">
        <f>IFERROR(IF(SUMIFS(tblDaily[MalariaCases],tblDaily[EntryDate],DATE(2026,9,5),tblDaily[WardCode],"CW")=0,"",SUMIFS(tblDaily[MalariaCases],tblDaily[EntryDate],DATE(2026,9,5),tblDaily[WardCode],"CW")),"")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  <c r="I324" s="5" t="str">
        <f>IFERROR(IF(SUMIFS(tblDaily[MalariaCases],tblDaily[EntryDate],DATE(2026,9,6),tblDaily[WardCode],"CW")=0,"",SUMIFS(tblDaily[MalariaCases],tblDaily[EntryDate],DATE(2026,9,6),tblDaily[WardCode],"CW")),"")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  <c r="I325" s="5" t="str">
        <f>IFERROR(IF(SUMIFS(tblDaily[MalariaCases],tblDaily[EntryDate],DATE(2026,9,7),tblDaily[WardCode],"CW")=0,"",SUMIFS(tblDaily[MalariaCases],tblDaily[EntryDate],DATE(2026,9,7),tblDaily[WardCode],"CW")),"")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  <c r="I326" s="5" t="str">
        <f>IFERROR(IF(SUMIFS(tblDaily[MalariaCases],tblDaily[EntryDate],DATE(2026,9,8),tblDaily[WardCode],"CW")=0,"",SUMIFS(tblDaily[MalariaCases],tblDaily[EntryDate],DATE(2026,9,8),tblDaily[WardCode],"CW")),"")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  <c r="I327" s="5" t="str">
        <f>IFERROR(IF(SUMIFS(tblDaily[MalariaCases],tblDaily[EntryDate],DATE(2026,9,9),tblDaily[WardCode],"CW")=0,"",SUMIFS(tblDaily[MalariaCases],tblDaily[EntryDate],DATE(2026,9,9),tblDaily[WardCode],"CW")),"")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  <c r="I328" s="5" t="str">
        <f>IFERROR(IF(SUMIFS(tblDaily[MalariaCases],tblDaily[EntryDate],DATE(2026,9,10),tblDaily[WardCode],"CW")=0,"",SUMIFS(tblDaily[MalariaCases],tblDaily[EntryDate],DATE(2026,9,10),tblDaily[WardCode],"CW")),"")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  <c r="I329" s="5" t="str">
        <f>IFERROR(IF(SUMIFS(tblDaily[MalariaCases],tblDaily[EntryDate],DATE(2026,9,11),tblDaily[WardCode],"CW")=0,"",SUMIFS(tblDaily[MalariaCases],tblDaily[EntryDate],DATE(2026,9,11),tblDaily[WardCode],"CW")),"")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  <c r="I330" s="5" t="str">
        <f>IFERROR(IF(SUMIFS(tblDaily[MalariaCases],tblDaily[EntryDate],DATE(2026,9,12),tblDaily[WardCode],"CW")=0,"",SUMIFS(tblDaily[MalariaCases],tblDaily[EntryDate],DATE(2026,9,12),tblDaily[WardCode],"CW")),"")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  <c r="I331" s="5" t="str">
        <f>IFERROR(IF(SUMIFS(tblDaily[MalariaCases],tblDaily[EntryDate],DATE(2026,9,13),tblDaily[WardCode],"CW")=0,"",SUMIFS(tblDaily[MalariaCases],tblDaily[EntryDate],DATE(2026,9,13),tblDaily[WardCode],"CW")),"")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  <c r="I332" s="5" t="str">
        <f>IFERROR(IF(SUMIFS(tblDaily[MalariaCases],tblDaily[EntryDate],DATE(2026,9,14),tblDaily[WardCode],"CW")=0,"",SUMIFS(tblDaily[MalariaCases],tblDaily[EntryDate],DATE(2026,9,14),tblDaily[WardCode],"CW")),"")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  <c r="I333" s="5" t="str">
        <f>IFERROR(IF(SUMIFS(tblDaily[MalariaCases],tblDaily[EntryDate],DATE(2026,9,15),tblDaily[WardCode],"CW")=0,"",SUMIFS(tblDaily[MalariaCases],tblDaily[EntryDate],DATE(2026,9,15),tblDaily[WardCode],"CW")),"")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  <c r="I334" s="5" t="str">
        <f>IFERROR(IF(SUMIFS(tblDaily[MalariaCases],tblDaily[EntryDate],DATE(2026,9,16),tblDaily[WardCode],"CW")=0,"",SUMIFS(tblDaily[MalariaCases],tblDaily[EntryDate],DATE(2026,9,16),tblDaily[WardCode],"CW")),"")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  <c r="I335" s="5" t="str">
        <f>IFERROR(IF(SUMIFS(tblDaily[MalariaCases],tblDaily[EntryDate],DATE(2026,9,17),tblDaily[WardCode],"CW")=0,"",SUMIFS(tblDaily[MalariaCases],tblDaily[EntryDate],DATE(2026,9,17),tblDaily[WardCode],"CW")),"")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  <c r="I336" s="5" t="str">
        <f>IFERROR(IF(SUMIFS(tblDaily[MalariaCases],tblDaily[EntryDate],DATE(2026,9,18),tblDaily[WardCode],"CW")=0,"",SUMIFS(tblDaily[MalariaCases],tblDaily[EntryDate],DATE(2026,9,18),tblDaily[WardCode],"CW")),"")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  <c r="I337" s="5" t="str">
        <f>IFERROR(IF(SUMIFS(tblDaily[MalariaCases],tblDaily[EntryDate],DATE(2026,9,19),tblDaily[WardCode],"CW")=0,"",SUMIFS(tblDaily[MalariaCases],tblDaily[EntryDate],DATE(2026,9,19),tblDaily[WardCode],"CW")),"")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  <c r="I338" s="5" t="str">
        <f>IFERROR(IF(SUMIFS(tblDaily[MalariaCases],tblDaily[EntryDate],DATE(2026,9,20),tblDaily[WardCode],"CW")=0,"",SUMIFS(tblDaily[MalariaCases],tblDaily[EntryDate],DATE(2026,9,20),tblDaily[WardCode],"CW")),"")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  <c r="I339" s="5" t="str">
        <f>IFERROR(IF(SUMIFS(tblDaily[MalariaCases],tblDaily[EntryDate],DATE(2026,9,21),tblDaily[WardCode],"CW")=0,"",SUMIFS(tblDaily[MalariaCases],tblDaily[EntryDate],DATE(2026,9,21),tblDaily[WardCode],"CW")),"")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  <c r="I340" s="5" t="str">
        <f>IFERROR(IF(SUMIFS(tblDaily[MalariaCases],tblDaily[EntryDate],DATE(2026,9,22),tblDaily[WardCode],"CW")=0,"",SUMIFS(tblDaily[MalariaCases],tblDaily[EntryDate],DATE(2026,9,22),tblDaily[WardCode],"CW")),"")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  <c r="I341" s="5" t="str">
        <f>IFERROR(IF(SUMIFS(tblDaily[MalariaCases],tblDaily[EntryDate],DATE(2026,9,23),tblDaily[WardCode],"CW")=0,"",SUMIFS(tblDaily[MalariaCases],tblDaily[EntryDate],DATE(2026,9,23),tblDaily[WardCode],"CW")),"")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  <c r="I342" s="5" t="str">
        <f>IFERROR(IF(SUMIFS(tblDaily[MalariaCases],tblDaily[EntryDate],DATE(2026,9,24),tblDaily[WardCode],"CW")=0,"",SUMIFS(tblDaily[MalariaCases],tblDaily[EntryDate],DATE(2026,9,24),tblDaily[WardCode],"CW")),"")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  <c r="I343" s="5" t="str">
        <f>IFERROR(IF(SUMIFS(tblDaily[MalariaCases],tblDaily[EntryDate],DATE(2026,9,25),tblDaily[WardCode],"CW")=0,"",SUMIFS(tblDaily[MalariaCases],tblDaily[EntryDate],DATE(2026,9,25),tblDaily[WardCode],"CW")),"")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  <c r="I344" s="5" t="str">
        <f>IFERROR(IF(SUMIFS(tblDaily[MalariaCases],tblDaily[EntryDate],DATE(2026,9,26),tblDaily[WardCode],"CW")=0,"",SUMIFS(tblDaily[MalariaCases],tblDaily[EntryDate],DATE(2026,9,26),tblDaily[WardCode],"CW")),"")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  <c r="I345" s="5" t="str">
        <f>IFERROR(IF(SUMIFS(tblDaily[MalariaCases],tblDaily[EntryDate],DATE(2026,9,27),tblDaily[WardCode],"CW")=0,"",SUMIFS(tblDaily[MalariaCases],tblDaily[EntryDate],DATE(2026,9,27),tblDaily[WardCode],"CW")),"")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  <c r="I346" s="5" t="str">
        <f>IFERROR(IF(SUMIFS(tblDaily[MalariaCases],tblDaily[EntryDate],DATE(2026,9,28),tblDaily[WardCode],"CW")=0,"",SUMIFS(tblDaily[MalariaCases],tblDaily[EntryDate],DATE(2026,9,28),tblDaily[WardCode],"CW")),"")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  <c r="I347" s="5" t="str">
        <f>IFERROR(IF(SUMIFS(tblDaily[MalariaCases],tblDaily[EntryDate],DATE(2026,9,29),tblDaily[WardCode],"CW")=0,"",SUMIFS(tblDaily[MalariaCases],tblDaily[EntryDate],DATE(2026,9,29),tblDaily[WardCode],"CW")),"")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  <c r="I348" s="5" t="str">
        <f>IFERROR(IF(SUMIFS(tblDaily[MalariaCases],tblDaily[EntryDate],DATE(2026,9,30),tblDaily[WardCode],"CW")=0,"",SUMIFS(tblDaily[MalariaCases],tblDaily[EntryDate],DATE(2026,9,30),tblDaily[WardCode],"CW")),"")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96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IFERROR(SUMIFS(tblDaily[Remaining],tblDaily[EntryDate],DATE(2026,9,30),tblDaily[WardCode],"CW"),0)</f>
        <v>0</v>
      </c>
    </row>
    <row r="356" spans="1:9" x14ac:dyDescent="0.25">
      <c r="A356" s="1" t="s">
        <v>87</v>
      </c>
      <c r="H356" s="7">
        <f>IFERROR(INDEX(tblWardConfig[BedComplement],MATCH("CW",tblWardConfig[Export Year-End],0)),0)</f>
        <v>27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  <c r="I358" s="5" t="str">
        <f>IFERROR(IF(SUMIFS(tblDaily[MalariaCases],tblDaily[EntryDate],DATE(2026,10,1),tblDaily[WardCode],"CW")=0,"",SUMIFS(tblDaily[MalariaCases],tblDaily[EntryDate],DATE(2026,10,1),tblDaily[WardCode],"CW")),"")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  <c r="I359" s="5" t="str">
        <f>IFERROR(IF(SUMIFS(tblDaily[MalariaCases],tblDaily[EntryDate],DATE(2026,10,2),tblDaily[WardCode],"CW")=0,"",SUMIFS(tblDaily[MalariaCases],tblDaily[EntryDate],DATE(2026,10,2),tblDaily[WardCode],"CW")),"")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  <c r="I360" s="5" t="str">
        <f>IFERROR(IF(SUMIFS(tblDaily[MalariaCases],tblDaily[EntryDate],DATE(2026,10,3),tblDaily[WardCode],"CW")=0,"",SUMIFS(tblDaily[MalariaCases],tblDaily[EntryDate],DATE(2026,10,3),tblDaily[WardCode],"CW")),"")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  <c r="I361" s="5" t="str">
        <f>IFERROR(IF(SUMIFS(tblDaily[MalariaCases],tblDaily[EntryDate],DATE(2026,10,4),tblDaily[WardCode],"CW")=0,"",SUMIFS(tblDaily[MalariaCases],tblDaily[EntryDate],DATE(2026,10,4),tblDaily[WardCode],"CW")),"")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  <c r="I362" s="5" t="str">
        <f>IFERROR(IF(SUMIFS(tblDaily[MalariaCases],tblDaily[EntryDate],DATE(2026,10,5),tblDaily[WardCode],"CW")=0,"",SUMIFS(tblDaily[MalariaCases],tblDaily[EntryDate],DATE(2026,10,5),tblDaily[WardCode],"CW")),"")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  <c r="I363" s="5" t="str">
        <f>IFERROR(IF(SUMIFS(tblDaily[MalariaCases],tblDaily[EntryDate],DATE(2026,10,6),tblDaily[WardCode],"CW")=0,"",SUMIFS(tblDaily[MalariaCases],tblDaily[EntryDate],DATE(2026,10,6),tblDaily[WardCode],"CW")),"")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  <c r="I364" s="5" t="str">
        <f>IFERROR(IF(SUMIFS(tblDaily[MalariaCases],tblDaily[EntryDate],DATE(2026,10,7),tblDaily[WardCode],"CW")=0,"",SUMIFS(tblDaily[MalariaCases],tblDaily[EntryDate],DATE(2026,10,7),tblDaily[WardCode],"CW")),"")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  <c r="I365" s="5" t="str">
        <f>IFERROR(IF(SUMIFS(tblDaily[MalariaCases],tblDaily[EntryDate],DATE(2026,10,8),tblDaily[WardCode],"CW")=0,"",SUMIFS(tblDaily[MalariaCases],tblDaily[EntryDate],DATE(2026,10,8),tblDaily[WardCode],"CW")),"")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  <c r="I366" s="5" t="str">
        <f>IFERROR(IF(SUMIFS(tblDaily[MalariaCases],tblDaily[EntryDate],DATE(2026,10,9),tblDaily[WardCode],"CW")=0,"",SUMIFS(tblDaily[MalariaCases],tblDaily[EntryDate],DATE(2026,10,9),tblDaily[WardCode],"CW")),"")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  <c r="I367" s="5" t="str">
        <f>IFERROR(IF(SUMIFS(tblDaily[MalariaCases],tblDaily[EntryDate],DATE(2026,10,10),tblDaily[WardCode],"CW")=0,"",SUMIFS(tblDaily[MalariaCases],tblDaily[EntryDate],DATE(2026,10,10),tblDaily[WardCode],"CW")),"")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  <c r="I368" s="5" t="str">
        <f>IFERROR(IF(SUMIFS(tblDaily[MalariaCases],tblDaily[EntryDate],DATE(2026,10,11),tblDaily[WardCode],"CW")=0,"",SUMIFS(tblDaily[MalariaCases],tblDaily[EntryDate],DATE(2026,10,11),tblDaily[WardCode],"CW")),"")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  <c r="I369" s="5" t="str">
        <f>IFERROR(IF(SUMIFS(tblDaily[MalariaCases],tblDaily[EntryDate],DATE(2026,10,12),tblDaily[WardCode],"CW")=0,"",SUMIFS(tblDaily[MalariaCases],tblDaily[EntryDate],DATE(2026,10,12),tblDaily[WardCode],"CW")),"")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  <c r="I370" s="5" t="str">
        <f>IFERROR(IF(SUMIFS(tblDaily[MalariaCases],tblDaily[EntryDate],DATE(2026,10,13),tblDaily[WardCode],"CW")=0,"",SUMIFS(tblDaily[MalariaCases],tblDaily[EntryDate],DATE(2026,10,13),tblDaily[WardCode],"CW")),"")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  <c r="I371" s="5" t="str">
        <f>IFERROR(IF(SUMIFS(tblDaily[MalariaCases],tblDaily[EntryDate],DATE(2026,10,14),tblDaily[WardCode],"CW")=0,"",SUMIFS(tblDaily[MalariaCases],tblDaily[EntryDate],DATE(2026,10,14),tblDaily[WardCode],"CW")),"")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  <c r="I372" s="5" t="str">
        <f>IFERROR(IF(SUMIFS(tblDaily[MalariaCases],tblDaily[EntryDate],DATE(2026,10,15),tblDaily[WardCode],"CW")=0,"",SUMIFS(tblDaily[MalariaCases],tblDaily[EntryDate],DATE(2026,10,15),tblDaily[WardCode],"CW")),"")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  <c r="I373" s="5" t="str">
        <f>IFERROR(IF(SUMIFS(tblDaily[MalariaCases],tblDaily[EntryDate],DATE(2026,10,16),tblDaily[WardCode],"CW")=0,"",SUMIFS(tblDaily[MalariaCases],tblDaily[EntryDate],DATE(2026,10,16),tblDaily[WardCode],"CW")),"")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  <c r="I374" s="5" t="str">
        <f>IFERROR(IF(SUMIFS(tblDaily[MalariaCases],tblDaily[EntryDate],DATE(2026,10,17),tblDaily[WardCode],"CW")=0,"",SUMIFS(tblDaily[MalariaCases],tblDaily[EntryDate],DATE(2026,10,17),tblDaily[WardCode],"CW")),"")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  <c r="I375" s="5" t="str">
        <f>IFERROR(IF(SUMIFS(tblDaily[MalariaCases],tblDaily[EntryDate],DATE(2026,10,18),tblDaily[WardCode],"CW")=0,"",SUMIFS(tblDaily[MalariaCases],tblDaily[EntryDate],DATE(2026,10,18),tblDaily[WardCode],"CW")),"")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  <c r="I376" s="5" t="str">
        <f>IFERROR(IF(SUMIFS(tblDaily[MalariaCases],tblDaily[EntryDate],DATE(2026,10,19),tblDaily[WardCode],"CW")=0,"",SUMIFS(tblDaily[MalariaCases],tblDaily[EntryDate],DATE(2026,10,19),tblDaily[WardCode],"CW")),"")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  <c r="I377" s="5" t="str">
        <f>IFERROR(IF(SUMIFS(tblDaily[MalariaCases],tblDaily[EntryDate],DATE(2026,10,20),tblDaily[WardCode],"CW")=0,"",SUMIFS(tblDaily[MalariaCases],tblDaily[EntryDate],DATE(2026,10,20),tblDaily[WardCode],"CW")),"")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  <c r="I378" s="5" t="str">
        <f>IFERROR(IF(SUMIFS(tblDaily[MalariaCases],tblDaily[EntryDate],DATE(2026,10,21),tblDaily[WardCode],"CW")=0,"",SUMIFS(tblDaily[MalariaCases],tblDaily[EntryDate],DATE(2026,10,21),tblDaily[WardCode],"CW")),"")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  <c r="I379" s="5" t="str">
        <f>IFERROR(IF(SUMIFS(tblDaily[MalariaCases],tblDaily[EntryDate],DATE(2026,10,22),tblDaily[WardCode],"CW")=0,"",SUMIFS(tblDaily[MalariaCases],tblDaily[EntryDate],DATE(2026,10,22),tblDaily[WardCode],"CW")),"")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  <c r="I380" s="5" t="str">
        <f>IFERROR(IF(SUMIFS(tblDaily[MalariaCases],tblDaily[EntryDate],DATE(2026,10,23),tblDaily[WardCode],"CW")=0,"",SUMIFS(tblDaily[MalariaCases],tblDaily[EntryDate],DATE(2026,10,23),tblDaily[WardCode],"CW")),"")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  <c r="I381" s="5" t="str">
        <f>IFERROR(IF(SUMIFS(tblDaily[MalariaCases],tblDaily[EntryDate],DATE(2026,10,24),tblDaily[WardCode],"CW")=0,"",SUMIFS(tblDaily[MalariaCases],tblDaily[EntryDate],DATE(2026,10,24),tblDaily[WardCode],"CW")),"")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  <c r="I382" s="5" t="str">
        <f>IFERROR(IF(SUMIFS(tblDaily[MalariaCases],tblDaily[EntryDate],DATE(2026,10,25),tblDaily[WardCode],"CW")=0,"",SUMIFS(tblDaily[MalariaCases],tblDaily[EntryDate],DATE(2026,10,25),tblDaily[WardCode],"CW")),"")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  <c r="I383" s="5" t="str">
        <f>IFERROR(IF(SUMIFS(tblDaily[MalariaCases],tblDaily[EntryDate],DATE(2026,10,26),tblDaily[WardCode],"CW")=0,"",SUMIFS(tblDaily[MalariaCases],tblDaily[EntryDate],DATE(2026,10,26),tblDaily[WardCode],"CW")),"")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  <c r="I384" s="5" t="str">
        <f>IFERROR(IF(SUMIFS(tblDaily[MalariaCases],tblDaily[EntryDate],DATE(2026,10,27),tblDaily[WardCode],"CW")=0,"",SUMIFS(tblDaily[MalariaCases],tblDaily[EntryDate],DATE(2026,10,27),tblDaily[WardCode],"CW")),"")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  <c r="I385" s="5" t="str">
        <f>IFERROR(IF(SUMIFS(tblDaily[MalariaCases],tblDaily[EntryDate],DATE(2026,10,28),tblDaily[WardCode],"CW")=0,"",SUMIFS(tblDaily[MalariaCases],tblDaily[EntryDate],DATE(2026,10,28),tblDaily[WardCode],"CW")),"")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  <c r="I386" s="5" t="str">
        <f>IFERROR(IF(SUMIFS(tblDaily[MalariaCases],tblDaily[EntryDate],DATE(2026,10,29),tblDaily[WardCode],"CW")=0,"",SUMIFS(tblDaily[MalariaCases],tblDaily[EntryDate],DATE(2026,10,29),tblDaily[WardCode],"CW")),"")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  <c r="I387" s="5" t="str">
        <f>IFERROR(IF(SUMIFS(tblDaily[MalariaCases],tblDaily[EntryDate],DATE(2026,10,30),tblDaily[WardCode],"CW")=0,"",SUMIFS(tblDaily[MalariaCases],tblDaily[EntryDate],DATE(2026,10,30),tblDaily[WardCode],"CW")),"")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  <c r="I388" s="5" t="str">
        <f>IFERROR(IF(SUMIFS(tblDaily[MalariaCases],tblDaily[EntryDate],DATE(2026,10,31),tblDaily[WardCode],"CW")=0,"",SUMIFS(tblDaily[MalariaCases],tblDaily[EntryDate],DATE(2026,10,31),tblDaily[WardCode],"CW")),"")</f>
        <v/>
      </c>
    </row>
    <row r="389" spans="1:9" x14ac:dyDescent="0.25">
      <c r="A389" s="9" t="s">
        <v>94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96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IFERROR(SUMIFS(tblDaily[Remaining],tblDaily[EntryDate],DATE(2026,10,31),tblDaily[WardCode],"CW"),0)</f>
        <v>0</v>
      </c>
    </row>
    <row r="395" spans="1:9" x14ac:dyDescent="0.25">
      <c r="A395" s="1" t="s">
        <v>87</v>
      </c>
      <c r="H395" s="7">
        <f>IFERROR(INDEX(tblWardConfig[BedComplement],MATCH("CW",tblWardConfig[Export Year-End],0)),0)</f>
        <v>27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  <c r="I397" s="5" t="str">
        <f>IFERROR(IF(SUMIFS(tblDaily[MalariaCases],tblDaily[EntryDate],DATE(2026,11,1),tblDaily[WardCode],"CW")=0,"",SUMIFS(tblDaily[MalariaCases],tblDaily[EntryDate],DATE(2026,11,1),tblDaily[WardCode],"CW")),"")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  <c r="I398" s="5" t="str">
        <f>IFERROR(IF(SUMIFS(tblDaily[MalariaCases],tblDaily[EntryDate],DATE(2026,11,2),tblDaily[WardCode],"CW")=0,"",SUMIFS(tblDaily[MalariaCases],tblDaily[EntryDate],DATE(2026,11,2),tblDaily[WardCode],"CW")),"")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  <c r="I399" s="5" t="str">
        <f>IFERROR(IF(SUMIFS(tblDaily[MalariaCases],tblDaily[EntryDate],DATE(2026,11,3),tblDaily[WardCode],"CW")=0,"",SUMIFS(tblDaily[MalariaCases],tblDaily[EntryDate],DATE(2026,11,3),tblDaily[WardCode],"CW")),"")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  <c r="I400" s="5" t="str">
        <f>IFERROR(IF(SUMIFS(tblDaily[MalariaCases],tblDaily[EntryDate],DATE(2026,11,4),tblDaily[WardCode],"CW")=0,"",SUMIFS(tblDaily[MalariaCases],tblDaily[EntryDate],DATE(2026,11,4),tblDaily[WardCode],"CW")),"")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  <c r="I401" s="5" t="str">
        <f>IFERROR(IF(SUMIFS(tblDaily[MalariaCases],tblDaily[EntryDate],DATE(2026,11,5),tblDaily[WardCode],"CW")=0,"",SUMIFS(tblDaily[MalariaCases],tblDaily[EntryDate],DATE(2026,11,5),tblDaily[WardCode],"CW")),"")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  <c r="I402" s="5" t="str">
        <f>IFERROR(IF(SUMIFS(tblDaily[MalariaCases],tblDaily[EntryDate],DATE(2026,11,6),tblDaily[WardCode],"CW")=0,"",SUMIFS(tblDaily[MalariaCases],tblDaily[EntryDate],DATE(2026,11,6),tblDaily[WardCode],"CW")),"")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  <c r="I403" s="5" t="str">
        <f>IFERROR(IF(SUMIFS(tblDaily[MalariaCases],tblDaily[EntryDate],DATE(2026,11,7),tblDaily[WardCode],"CW")=0,"",SUMIFS(tblDaily[MalariaCases],tblDaily[EntryDate],DATE(2026,11,7),tblDaily[WardCode],"CW")),"")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  <c r="I404" s="5" t="str">
        <f>IFERROR(IF(SUMIFS(tblDaily[MalariaCases],tblDaily[EntryDate],DATE(2026,11,8),tblDaily[WardCode],"CW")=0,"",SUMIFS(tblDaily[MalariaCases],tblDaily[EntryDate],DATE(2026,11,8),tblDaily[WardCode],"CW")),"")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  <c r="I405" s="5" t="str">
        <f>IFERROR(IF(SUMIFS(tblDaily[MalariaCases],tblDaily[EntryDate],DATE(2026,11,9),tblDaily[WardCode],"CW")=0,"",SUMIFS(tblDaily[MalariaCases],tblDaily[EntryDate],DATE(2026,11,9),tblDaily[WardCode],"CW")),"")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  <c r="I406" s="5" t="str">
        <f>IFERROR(IF(SUMIFS(tblDaily[MalariaCases],tblDaily[EntryDate],DATE(2026,11,10),tblDaily[WardCode],"CW")=0,"",SUMIFS(tblDaily[MalariaCases],tblDaily[EntryDate],DATE(2026,11,10),tblDaily[WardCode],"CW")),"")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  <c r="I407" s="5" t="str">
        <f>IFERROR(IF(SUMIFS(tblDaily[MalariaCases],tblDaily[EntryDate],DATE(2026,11,11),tblDaily[WardCode],"CW")=0,"",SUMIFS(tblDaily[MalariaCases],tblDaily[EntryDate],DATE(2026,11,11),tblDaily[WardCode],"CW")),"")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  <c r="I408" s="5" t="str">
        <f>IFERROR(IF(SUMIFS(tblDaily[MalariaCases],tblDaily[EntryDate],DATE(2026,11,12),tblDaily[WardCode],"CW")=0,"",SUMIFS(tblDaily[MalariaCases],tblDaily[EntryDate],DATE(2026,11,12),tblDaily[WardCode],"CW")),"")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  <c r="I409" s="5" t="str">
        <f>IFERROR(IF(SUMIFS(tblDaily[MalariaCases],tblDaily[EntryDate],DATE(2026,11,13),tblDaily[WardCode],"CW")=0,"",SUMIFS(tblDaily[MalariaCases],tblDaily[EntryDate],DATE(2026,11,13),tblDaily[WardCode],"CW")),"")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  <c r="I410" s="5" t="str">
        <f>IFERROR(IF(SUMIFS(tblDaily[MalariaCases],tblDaily[EntryDate],DATE(2026,11,14),tblDaily[WardCode],"CW")=0,"",SUMIFS(tblDaily[MalariaCases],tblDaily[EntryDate],DATE(2026,11,14),tblDaily[WardCode],"CW")),"")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  <c r="I411" s="5" t="str">
        <f>IFERROR(IF(SUMIFS(tblDaily[MalariaCases],tblDaily[EntryDate],DATE(2026,11,15),tblDaily[WardCode],"CW")=0,"",SUMIFS(tblDaily[MalariaCases],tblDaily[EntryDate],DATE(2026,11,15),tblDaily[WardCode],"CW")),"")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  <c r="I412" s="5" t="str">
        <f>IFERROR(IF(SUMIFS(tblDaily[MalariaCases],tblDaily[EntryDate],DATE(2026,11,16),tblDaily[WardCode],"CW")=0,"",SUMIFS(tblDaily[MalariaCases],tblDaily[EntryDate],DATE(2026,11,16),tblDaily[WardCode],"CW")),"")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  <c r="I413" s="5" t="str">
        <f>IFERROR(IF(SUMIFS(tblDaily[MalariaCases],tblDaily[EntryDate],DATE(2026,11,17),tblDaily[WardCode],"CW")=0,"",SUMIFS(tblDaily[MalariaCases],tblDaily[EntryDate],DATE(2026,11,17),tblDaily[WardCode],"CW")),"")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  <c r="I414" s="5" t="str">
        <f>IFERROR(IF(SUMIFS(tblDaily[MalariaCases],tblDaily[EntryDate],DATE(2026,11,18),tblDaily[WardCode],"CW")=0,"",SUMIFS(tblDaily[MalariaCases],tblDaily[EntryDate],DATE(2026,11,18),tblDaily[WardCode],"CW")),"")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  <c r="I415" s="5" t="str">
        <f>IFERROR(IF(SUMIFS(tblDaily[MalariaCases],tblDaily[EntryDate],DATE(2026,11,19),tblDaily[WardCode],"CW")=0,"",SUMIFS(tblDaily[MalariaCases],tblDaily[EntryDate],DATE(2026,11,19),tblDaily[WardCode],"CW")),"")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  <c r="I416" s="5" t="str">
        <f>IFERROR(IF(SUMIFS(tblDaily[MalariaCases],tblDaily[EntryDate],DATE(2026,11,20),tblDaily[WardCode],"CW")=0,"",SUMIFS(tblDaily[MalariaCases],tblDaily[EntryDate],DATE(2026,11,20),tblDaily[WardCode],"CW")),"")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  <c r="I417" s="5" t="str">
        <f>IFERROR(IF(SUMIFS(tblDaily[MalariaCases],tblDaily[EntryDate],DATE(2026,11,21),tblDaily[WardCode],"CW")=0,"",SUMIFS(tblDaily[MalariaCases],tblDaily[EntryDate],DATE(2026,11,21),tblDaily[WardCode],"CW")),"")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  <c r="I418" s="5" t="str">
        <f>IFERROR(IF(SUMIFS(tblDaily[MalariaCases],tblDaily[EntryDate],DATE(2026,11,22),tblDaily[WardCode],"CW")=0,"",SUMIFS(tblDaily[MalariaCases],tblDaily[EntryDate],DATE(2026,11,22),tblDaily[WardCode],"CW")),"")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  <c r="I419" s="5" t="str">
        <f>IFERROR(IF(SUMIFS(tblDaily[MalariaCases],tblDaily[EntryDate],DATE(2026,11,23),tblDaily[WardCode],"CW")=0,"",SUMIFS(tblDaily[MalariaCases],tblDaily[EntryDate],DATE(2026,11,23),tblDaily[WardCode],"CW")),"")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  <c r="I420" s="5" t="str">
        <f>IFERROR(IF(SUMIFS(tblDaily[MalariaCases],tblDaily[EntryDate],DATE(2026,11,24),tblDaily[WardCode],"CW")=0,"",SUMIFS(tblDaily[MalariaCases],tblDaily[EntryDate],DATE(2026,11,24),tblDaily[WardCode],"CW")),"")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  <c r="I421" s="5" t="str">
        <f>IFERROR(IF(SUMIFS(tblDaily[MalariaCases],tblDaily[EntryDate],DATE(2026,11,25),tblDaily[WardCode],"CW")=0,"",SUMIFS(tblDaily[MalariaCases],tblDaily[EntryDate],DATE(2026,11,25),tblDaily[WardCode],"CW")),"")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  <c r="I422" s="5" t="str">
        <f>IFERROR(IF(SUMIFS(tblDaily[MalariaCases],tblDaily[EntryDate],DATE(2026,11,26),tblDaily[WardCode],"CW")=0,"",SUMIFS(tblDaily[MalariaCases],tblDaily[EntryDate],DATE(2026,11,26),tblDaily[WardCode],"CW")),"")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  <c r="I423" s="5" t="str">
        <f>IFERROR(IF(SUMIFS(tblDaily[MalariaCases],tblDaily[EntryDate],DATE(2026,11,27),tblDaily[WardCode],"CW")=0,"",SUMIFS(tblDaily[MalariaCases],tblDaily[EntryDate],DATE(2026,11,27),tblDaily[WardCode],"CW")),"")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  <c r="I424" s="5" t="str">
        <f>IFERROR(IF(SUMIFS(tblDaily[MalariaCases],tblDaily[EntryDate],DATE(2026,11,28),tblDaily[WardCode],"CW")=0,"",SUMIFS(tblDaily[MalariaCases],tblDaily[EntryDate],DATE(2026,11,28),tblDaily[WardCode],"CW")),"")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  <c r="I425" s="5" t="str">
        <f>IFERROR(IF(SUMIFS(tblDaily[MalariaCases],tblDaily[EntryDate],DATE(2026,11,29),tblDaily[WardCode],"CW")=0,"",SUMIFS(tblDaily[MalariaCases],tblDaily[EntryDate],DATE(2026,11,29),tblDaily[WardCode],"CW")),"")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  <c r="I426" s="5" t="str">
        <f>IFERROR(IF(SUMIFS(tblDaily[MalariaCases],tblDaily[EntryDate],DATE(2026,11,30),tblDaily[WardCode],"CW")=0,"",SUMIFS(tblDaily[MalariaCases],tblDaily[EntryDate],DATE(2026,11,30),tblDaily[WardCode],"CW")),"")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96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IFERROR(SUMIFS(tblDaily[Remaining],tblDaily[EntryDate],DATE(2026,11,30),tblDaily[WardCode],"CW"),0)</f>
        <v>0</v>
      </c>
    </row>
    <row r="434" spans="1:9" x14ac:dyDescent="0.25">
      <c r="A434" s="1" t="s">
        <v>87</v>
      </c>
      <c r="H434" s="7">
        <f>IFERROR(INDEX(tblWardConfig[BedComplement],MATCH("CW",tblWardConfig[Export Year-End],0)),0)</f>
        <v>27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  <c r="I436" s="5" t="str">
        <f>IFERROR(IF(SUMIFS(tblDaily[MalariaCases],tblDaily[EntryDate],DATE(2026,12,1),tblDaily[WardCode],"CW")=0,"",SUMIFS(tblDaily[MalariaCases],tblDaily[EntryDate],DATE(2026,12,1),tblDaily[WardCode],"CW")),"")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  <c r="I437" s="5" t="str">
        <f>IFERROR(IF(SUMIFS(tblDaily[MalariaCases],tblDaily[EntryDate],DATE(2026,12,2),tblDaily[WardCode],"CW")=0,"",SUMIFS(tblDaily[MalariaCases],tblDaily[EntryDate],DATE(2026,12,2),tblDaily[WardCode],"CW")),"")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  <c r="I438" s="5" t="str">
        <f>IFERROR(IF(SUMIFS(tblDaily[MalariaCases],tblDaily[EntryDate],DATE(2026,12,3),tblDaily[WardCode],"CW")=0,"",SUMIFS(tblDaily[MalariaCases],tblDaily[EntryDate],DATE(2026,12,3),tblDaily[WardCode],"CW")),"")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  <c r="I439" s="5" t="str">
        <f>IFERROR(IF(SUMIFS(tblDaily[MalariaCases],tblDaily[EntryDate],DATE(2026,12,4),tblDaily[WardCode],"CW")=0,"",SUMIFS(tblDaily[MalariaCases],tblDaily[EntryDate],DATE(2026,12,4),tblDaily[WardCode],"CW")),"")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  <c r="I440" s="5" t="str">
        <f>IFERROR(IF(SUMIFS(tblDaily[MalariaCases],tblDaily[EntryDate],DATE(2026,12,5),tblDaily[WardCode],"CW")=0,"",SUMIFS(tblDaily[MalariaCases],tblDaily[EntryDate],DATE(2026,12,5),tblDaily[WardCode],"CW")),"")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  <c r="I441" s="5" t="str">
        <f>IFERROR(IF(SUMIFS(tblDaily[MalariaCases],tblDaily[EntryDate],DATE(2026,12,6),tblDaily[WardCode],"CW")=0,"",SUMIFS(tblDaily[MalariaCases],tblDaily[EntryDate],DATE(2026,12,6),tblDaily[WardCode],"CW")),"")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  <c r="I442" s="5" t="str">
        <f>IFERROR(IF(SUMIFS(tblDaily[MalariaCases],tblDaily[EntryDate],DATE(2026,12,7),tblDaily[WardCode],"CW")=0,"",SUMIFS(tblDaily[MalariaCases],tblDaily[EntryDate],DATE(2026,12,7),tblDaily[WardCode],"CW")),"")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  <c r="I443" s="5" t="str">
        <f>IFERROR(IF(SUMIFS(tblDaily[MalariaCases],tblDaily[EntryDate],DATE(2026,12,8),tblDaily[WardCode],"CW")=0,"",SUMIFS(tblDaily[MalariaCases],tblDaily[EntryDate],DATE(2026,12,8),tblDaily[WardCode],"CW")),"")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  <c r="I444" s="5" t="str">
        <f>IFERROR(IF(SUMIFS(tblDaily[MalariaCases],tblDaily[EntryDate],DATE(2026,12,9),tblDaily[WardCode],"CW")=0,"",SUMIFS(tblDaily[MalariaCases],tblDaily[EntryDate],DATE(2026,12,9),tblDaily[WardCode],"CW")),"")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  <c r="I445" s="5" t="str">
        <f>IFERROR(IF(SUMIFS(tblDaily[MalariaCases],tblDaily[EntryDate],DATE(2026,12,10),tblDaily[WardCode],"CW")=0,"",SUMIFS(tblDaily[MalariaCases],tblDaily[EntryDate],DATE(2026,12,10),tblDaily[WardCode],"CW")),"")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  <c r="I446" s="5" t="str">
        <f>IFERROR(IF(SUMIFS(tblDaily[MalariaCases],tblDaily[EntryDate],DATE(2026,12,11),tblDaily[WardCode],"CW")=0,"",SUMIFS(tblDaily[MalariaCases],tblDaily[EntryDate],DATE(2026,12,11),tblDaily[WardCode],"CW")),"")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  <c r="I447" s="5" t="str">
        <f>IFERROR(IF(SUMIFS(tblDaily[MalariaCases],tblDaily[EntryDate],DATE(2026,12,12),tblDaily[WardCode],"CW")=0,"",SUMIFS(tblDaily[MalariaCases],tblDaily[EntryDate],DATE(2026,12,12),tblDaily[WardCode],"CW")),"")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  <c r="I448" s="5" t="str">
        <f>IFERROR(IF(SUMIFS(tblDaily[MalariaCases],tblDaily[EntryDate],DATE(2026,12,13),tblDaily[WardCode],"CW")=0,"",SUMIFS(tblDaily[MalariaCases],tblDaily[EntryDate],DATE(2026,12,13),tblDaily[WardCode],"CW")),"")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  <c r="I449" s="5" t="str">
        <f>IFERROR(IF(SUMIFS(tblDaily[MalariaCases],tblDaily[EntryDate],DATE(2026,12,14),tblDaily[WardCode],"CW")=0,"",SUMIFS(tblDaily[MalariaCases],tblDaily[EntryDate],DATE(2026,12,14),tblDaily[WardCode],"CW")),"")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  <c r="I450" s="5" t="str">
        <f>IFERROR(IF(SUMIFS(tblDaily[MalariaCases],tblDaily[EntryDate],DATE(2026,12,15),tblDaily[WardCode],"CW")=0,"",SUMIFS(tblDaily[MalariaCases],tblDaily[EntryDate],DATE(2026,12,15),tblDaily[WardCode],"CW")),"")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  <c r="I451" s="5" t="str">
        <f>IFERROR(IF(SUMIFS(tblDaily[MalariaCases],tblDaily[EntryDate],DATE(2026,12,16),tblDaily[WardCode],"CW")=0,"",SUMIFS(tblDaily[MalariaCases],tblDaily[EntryDate],DATE(2026,12,16),tblDaily[WardCode],"CW")),"")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  <c r="I452" s="5" t="str">
        <f>IFERROR(IF(SUMIFS(tblDaily[MalariaCases],tblDaily[EntryDate],DATE(2026,12,17),tblDaily[WardCode],"CW")=0,"",SUMIFS(tblDaily[MalariaCases],tblDaily[EntryDate],DATE(2026,12,17),tblDaily[WardCode],"CW")),"")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  <c r="I453" s="5" t="str">
        <f>IFERROR(IF(SUMIFS(tblDaily[MalariaCases],tblDaily[EntryDate],DATE(2026,12,18),tblDaily[WardCode],"CW")=0,"",SUMIFS(tblDaily[MalariaCases],tblDaily[EntryDate],DATE(2026,12,18),tblDaily[WardCode],"CW")),"")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  <c r="I454" s="5" t="str">
        <f>IFERROR(IF(SUMIFS(tblDaily[MalariaCases],tblDaily[EntryDate],DATE(2026,12,19),tblDaily[WardCode],"CW")=0,"",SUMIFS(tblDaily[MalariaCases],tblDaily[EntryDate],DATE(2026,12,19),tblDaily[WardCode],"CW")),"")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  <c r="I455" s="5" t="str">
        <f>IFERROR(IF(SUMIFS(tblDaily[MalariaCases],tblDaily[EntryDate],DATE(2026,12,20),tblDaily[WardCode],"CW")=0,"",SUMIFS(tblDaily[MalariaCases],tblDaily[EntryDate],DATE(2026,12,20),tblDaily[WardCode],"CW")),"")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  <c r="I456" s="5" t="str">
        <f>IFERROR(IF(SUMIFS(tblDaily[MalariaCases],tblDaily[EntryDate],DATE(2026,12,21),tblDaily[WardCode],"CW")=0,"",SUMIFS(tblDaily[MalariaCases],tblDaily[EntryDate],DATE(2026,12,21),tblDaily[WardCode],"CW")),"")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  <c r="I457" s="5" t="str">
        <f>IFERROR(IF(SUMIFS(tblDaily[MalariaCases],tblDaily[EntryDate],DATE(2026,12,22),tblDaily[WardCode],"CW")=0,"",SUMIFS(tblDaily[MalariaCases],tblDaily[EntryDate],DATE(2026,12,22),tblDaily[WardCode],"CW")),"")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  <c r="I458" s="5" t="str">
        <f>IFERROR(IF(SUMIFS(tblDaily[MalariaCases],tblDaily[EntryDate],DATE(2026,12,23),tblDaily[WardCode],"CW")=0,"",SUMIFS(tblDaily[MalariaCases],tblDaily[EntryDate],DATE(2026,12,23),tblDaily[WardCode],"CW")),"")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  <c r="I459" s="5" t="str">
        <f>IFERROR(IF(SUMIFS(tblDaily[MalariaCases],tblDaily[EntryDate],DATE(2026,12,24),tblDaily[WardCode],"CW")=0,"",SUMIFS(tblDaily[MalariaCases],tblDaily[EntryDate],DATE(2026,12,24),tblDaily[WardCode],"CW")),"")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  <c r="I460" s="5" t="str">
        <f>IFERROR(IF(SUMIFS(tblDaily[MalariaCases],tblDaily[EntryDate],DATE(2026,12,25),tblDaily[WardCode],"CW")=0,"",SUMIFS(tblDaily[MalariaCases],tblDaily[EntryDate],DATE(2026,12,25),tblDaily[WardCode],"CW")),"")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  <c r="I461" s="5" t="str">
        <f>IFERROR(IF(SUMIFS(tblDaily[MalariaCases],tblDaily[EntryDate],DATE(2026,12,26),tblDaily[WardCode],"CW")=0,"",SUMIFS(tblDaily[MalariaCases],tblDaily[EntryDate],DATE(2026,12,26),tblDaily[WardCode],"CW")),"")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  <c r="I462" s="5" t="str">
        <f>IFERROR(IF(SUMIFS(tblDaily[MalariaCases],tblDaily[EntryDate],DATE(2026,12,27),tblDaily[WardCode],"CW")=0,"",SUMIFS(tblDaily[MalariaCases],tblDaily[EntryDate],DATE(2026,12,27),tblDaily[WardCode],"CW")),"")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  <c r="I463" s="5" t="str">
        <f>IFERROR(IF(SUMIFS(tblDaily[MalariaCases],tblDaily[EntryDate],DATE(2026,12,28),tblDaily[WardCode],"CW")=0,"",SUMIFS(tblDaily[MalariaCases],tblDaily[EntryDate],DATE(2026,12,28),tblDaily[WardCode],"CW")),"")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  <c r="I464" s="5" t="str">
        <f>IFERROR(IF(SUMIFS(tblDaily[MalariaCases],tblDaily[EntryDate],DATE(2026,12,29),tblDaily[WardCode],"CW")=0,"",SUMIFS(tblDaily[MalariaCases],tblDaily[EntryDate],DATE(2026,12,29),tblDaily[WardCode],"CW")),"")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  <c r="I465" s="5" t="str">
        <f>IFERROR(IF(SUMIFS(tblDaily[MalariaCases],tblDaily[EntryDate],DATE(2026,12,30),tblDaily[WardCode],"CW")=0,"",SUMIFS(tblDaily[MalariaCases],tblDaily[EntryDate],DATE(2026,12,30),tblDaily[WardCode],"CW")),"")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  <c r="I466" s="5" t="str">
        <f>IFERROR(IF(SUMIFS(tblDaily[MalariaCases],tblDaily[EntryDate],DATE(2026,12,31),tblDaily[WardCode],"CW")=0,"",SUMIFS(tblDaily[MalariaCases],tblDaily[EntryDate],DATE(2026,12,31),tblDaily[WardCode],"CW")),"")</f>
        <v/>
      </c>
    </row>
    <row r="467" spans="1:9" x14ac:dyDescent="0.25">
      <c r="A467" s="9" t="s">
        <v>94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97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IFERROR(INDEX(tblWardConfig[PrevYearRemaining],MATCH("BF",tblWardConfig[Export Year-End],0)),0)</f>
        <v>0</v>
      </c>
    </row>
    <row r="5" spans="1:9" x14ac:dyDescent="0.25">
      <c r="A5" s="1" t="s">
        <v>87</v>
      </c>
      <c r="H5" s="7">
        <f>IFERROR(INDEX(tblWardConfig[BedComplement],MATCH("BF",tblWardConfig[Export Year-End],0)),0)</f>
        <v>20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IFERROR(IF(SUMIFS(tblDaily[Admissions],tblDaily[EntryDate],DATE(2026,1,1),tblDaily[WardCode],"BF")=0,"",SUMIFS(tblDaily[Admissions],tblDaily[EntryDate],DATE(2026,1,1),tblDaily[WardCode],"BF")),"")</f>
        <v/>
      </c>
      <c r="C7" s="5" t="str">
        <f>IFERROR(IF(SUMIFS(tblDaily[Discharges],tblDaily[EntryDate],DATE(2026,1,1),tblDaily[WardCode],"BF")=0,"",SUMIFS(tblDaily[Discharges],tblDaily[EntryDate],DATE(2026,1,1),tblDaily[WardCode],"BF")),"")</f>
        <v/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 t="str">
        <f>IFERROR(IF(SUMIFS(tblDaily[Remaining],tblDaily[EntryDate],DATE(2026,1,1),tblDaily[WardCode],"BF")=0,"",SUMIFS(tblDaily[Remaining],tblDaily[EntryDate],DATE(2026,1,1),tblDaily[WardCode],"BF")),"")</f>
        <v/>
      </c>
      <c r="I7" s="5" t="str">
        <f>IFERROR(IF(SUMIFS(tblDaily[MalariaCases],tblDaily[EntryDate],DATE(2026,1,1),tblDaily[WardCode],"BF")=0,"",SUMIFS(tblDaily[MalariaCases],tblDaily[EntryDate],DATE(2026,1,1),tblDaily[WardCode],"BF")),"")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IFERROR(IF(SUMIFS(tblDaily[Admissions],tblDaily[EntryDate],DATE(2026,1,2),tblDaily[WardCode],"BF")=0,"",SUMIFS(tblDaily[Admissions],tblDaily[EntryDate],DATE(2026,1,2),tblDaily[WardCode],"BF")),"")</f>
        <v/>
      </c>
      <c r="C8" s="5" t="str">
        <f>IFERROR(IF(SUMIFS(tblDaily[Discharges],tblDaily[EntryDate],DATE(2026,1,2),tblDaily[WardCode],"BF")=0,"",SUMIFS(tblDaily[Discharges],tblDaily[EntryDate],DATE(2026,1,2),tblDaily[WardCode],"BF")),"")</f>
        <v/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 t="str">
        <f>IFERROR(IF(SUMIFS(tblDaily[Remaining],tblDaily[EntryDate],DATE(2026,1,2),tblDaily[WardCode],"BF")=0,"",SUMIFS(tblDaily[Remaining],tblDaily[EntryDate],DATE(2026,1,2),tblDaily[WardCode],"BF")),"")</f>
        <v/>
      </c>
      <c r="I8" s="5" t="str">
        <f>IFERROR(IF(SUMIFS(tblDaily[MalariaCases],tblDaily[EntryDate],DATE(2026,1,2),tblDaily[WardCode],"BF")=0,"",SUMIFS(tblDaily[MalariaCases],tblDaily[EntryDate],DATE(2026,1,2),tblDaily[WardCode],"BF")),"")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IFERROR(IF(SUMIFS(tblDaily[Admissions],tblDaily[EntryDate],DATE(2026,1,3),tblDaily[WardCode],"BF")=0,"",SUMIFS(tblDaily[Admissions],tblDaily[EntryDate],DATE(2026,1,3),tblDaily[WardCode],"BF")),"")</f>
        <v/>
      </c>
      <c r="C9" s="5" t="str">
        <f>IFERROR(IF(SUMIFS(tblDaily[Discharges],tblDaily[EntryDate],DATE(2026,1,3),tblDaily[WardCode],"BF")=0,"",SUMIFS(tblDaily[Discharges],tblDaily[EntryDate],DATE(2026,1,3),tblDaily[WardCode],"BF")),"")</f>
        <v/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 t="str">
        <f>IFERROR(IF(SUMIFS(tblDaily[Remaining],tblDaily[EntryDate],DATE(2026,1,3),tblDaily[WardCode],"BF")=0,"",SUMIFS(tblDaily[Remaining],tblDaily[EntryDate],DATE(2026,1,3),tblDaily[WardCode],"BF")),"")</f>
        <v/>
      </c>
      <c r="I9" s="5" t="str">
        <f>IFERROR(IF(SUMIFS(tblDaily[MalariaCases],tblDaily[EntryDate],DATE(2026,1,3),tblDaily[WardCode],"BF")=0,"",SUMIFS(tblDaily[MalariaCases],tblDaily[EntryDate],DATE(2026,1,3),tblDaily[WardCode],"BF")),"")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IFERROR(IF(SUMIFS(tblDaily[Admissions],tblDaily[EntryDate],DATE(2026,1,4),tblDaily[WardCode],"BF")=0,"",SUMIFS(tblDaily[Admissions],tblDaily[EntryDate],DATE(2026,1,4),tblDaily[WardCode],"BF")),"")</f>
        <v/>
      </c>
      <c r="C10" s="5" t="str">
        <f>IFERROR(IF(SUMIFS(tblDaily[Discharges],tblDaily[EntryDate],DATE(2026,1,4),tblDaily[WardCode],"BF")=0,"",SUMIFS(tblDaily[Discharges],tblDaily[EntryDate],DATE(2026,1,4),tblDaily[WardCode],"BF")),"")</f>
        <v/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 t="str">
        <f>IFERROR(IF(SUMIFS(tblDaily[Remaining],tblDaily[EntryDate],DATE(2026,1,4),tblDaily[WardCode],"BF")=0,"",SUMIFS(tblDaily[Remaining],tblDaily[EntryDate],DATE(2026,1,4),tblDaily[WardCode],"BF")),"")</f>
        <v/>
      </c>
      <c r="I10" s="5" t="str">
        <f>IFERROR(IF(SUMIFS(tblDaily[MalariaCases],tblDaily[EntryDate],DATE(2026,1,4),tblDaily[WardCode],"BF")=0,"",SUMIFS(tblDaily[MalariaCases],tblDaily[EntryDate],DATE(2026,1,4),tblDaily[WardCode],"BF")),"")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IFERROR(IF(SUMIFS(tblDaily[Admissions],tblDaily[EntryDate],DATE(2026,1,5),tblDaily[WardCode],"BF")=0,"",SUMIFS(tblDaily[Admissions],tblDaily[EntryDate],DATE(2026,1,5),tblDaily[WardCode],"BF")),"")</f>
        <v/>
      </c>
      <c r="C11" s="5" t="str">
        <f>IFERROR(IF(SUMIFS(tblDaily[Discharges],tblDaily[EntryDate],DATE(2026,1,5),tblDaily[WardCode],"BF")=0,"",SUMIFS(tblDaily[Discharges],tblDaily[EntryDate],DATE(2026,1,5),tblDaily[WardCode],"BF")),"")</f>
        <v/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 t="str">
        <f>IFERROR(IF(SUMIFS(tblDaily[TransfersIn],tblDaily[EntryDate],DATE(2026,1,5),tblDaily[WardCode],"BF")=0,"",SUMIFS(tblDaily[TransfersIn],tblDaily[EntryDate],DATE(2026,1,5),tblDaily[WardCode],"BF")),"")</f>
        <v/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 t="str">
        <f>IFERROR(IF(SUMIFS(tblDaily[Remaining],tblDaily[EntryDate],DATE(2026,1,5),tblDaily[WardCode],"BF")=0,"",SUMIFS(tblDaily[Remaining],tblDaily[EntryDate],DATE(2026,1,5),tblDaily[WardCode],"BF")),"")</f>
        <v/>
      </c>
      <c r="I11" s="5" t="str">
        <f>IFERROR(IF(SUMIFS(tblDaily[MalariaCases],tblDaily[EntryDate],DATE(2026,1,5),tblDaily[WardCode],"BF")=0,"",SUMIFS(tblDaily[MalariaCases],tblDaily[EntryDate],DATE(2026,1,5),tblDaily[WardCode],"BF")),"")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IFERROR(IF(SUMIFS(tblDaily[Admissions],tblDaily[EntryDate],DATE(2026,1,6),tblDaily[WardCode],"BF")=0,"",SUMIFS(tblDaily[Admissions],tblDaily[EntryDate],DATE(2026,1,6),tblDaily[WardCode],"BF")),"")</f>
        <v/>
      </c>
      <c r="C12" s="5" t="str">
        <f>IFERROR(IF(SUMIFS(tblDaily[Discharges],tblDaily[EntryDate],DATE(2026,1,6),tblDaily[WardCode],"BF")=0,"",SUMIFS(tblDaily[Discharges],tblDaily[EntryDate],DATE(2026,1,6),tblDaily[WardCode],"BF")),"")</f>
        <v/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 t="str">
        <f>IFERROR(IF(SUMIFS(tblDaily[Remaining],tblDaily[EntryDate],DATE(2026,1,6),tblDaily[WardCode],"BF")=0,"",SUMIFS(tblDaily[Remaining],tblDaily[EntryDate],DATE(2026,1,6),tblDaily[WardCode],"BF")),"")</f>
        <v/>
      </c>
      <c r="I12" s="5" t="str">
        <f>IFERROR(IF(SUMIFS(tblDaily[MalariaCases],tblDaily[EntryDate],DATE(2026,1,6),tblDaily[WardCode],"BF")=0,"",SUMIFS(tblDaily[MalariaCases],tblDaily[EntryDate],DATE(2026,1,6),tblDaily[WardCode],"BF")),"")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IFERROR(IF(SUMIFS(tblDaily[Admissions],tblDaily[EntryDate],DATE(2026,1,7),tblDaily[WardCode],"BF")=0,"",SUMIFS(tblDaily[Admissions],tblDaily[EntryDate],DATE(2026,1,7),tblDaily[WardCode],"BF")),"")</f>
        <v/>
      </c>
      <c r="C13" s="5" t="str">
        <f>IFERROR(IF(SUMIFS(tblDaily[Discharges],tblDaily[EntryDate],DATE(2026,1,7),tblDaily[WardCode],"BF")=0,"",SUMIFS(tblDaily[Discharges],tblDaily[EntryDate],DATE(2026,1,7),tblDaily[WardCode],"BF")),"")</f>
        <v/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 t="str">
        <f>IFERROR(IF(SUMIFS(tblDaily[Remaining],tblDaily[EntryDate],DATE(2026,1,7),tblDaily[WardCode],"BF")=0,"",SUMIFS(tblDaily[Remaining],tblDaily[EntryDate],DATE(2026,1,7),tblDaily[WardCode],"BF")),"")</f>
        <v/>
      </c>
      <c r="I13" s="5" t="str">
        <f>IFERROR(IF(SUMIFS(tblDaily[MalariaCases],tblDaily[EntryDate],DATE(2026,1,7),tblDaily[WardCode],"BF")=0,"",SUMIFS(tblDaily[MalariaCases],tblDaily[EntryDate],DATE(2026,1,7),tblDaily[WardCode],"BF")),"")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IFERROR(IF(SUMIFS(tblDaily[Admissions],tblDaily[EntryDate],DATE(2026,1,8),tblDaily[WardCode],"BF")=0,"",SUMIFS(tblDaily[Admissions],tblDaily[EntryDate],DATE(2026,1,8),tblDaily[WardCode],"BF")),"")</f>
        <v/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 t="str">
        <f>IFERROR(IF(SUMIFS(tblDaily[Remaining],tblDaily[EntryDate],DATE(2026,1,8),tblDaily[WardCode],"BF")=0,"",SUMIFS(tblDaily[Remaining],tblDaily[EntryDate],DATE(2026,1,8),tblDaily[WardCode],"BF")),"")</f>
        <v/>
      </c>
      <c r="I14" s="5" t="str">
        <f>IFERROR(IF(SUMIFS(tblDaily[MalariaCases],tblDaily[EntryDate],DATE(2026,1,8),tblDaily[WardCode],"BF")=0,"",SUMIFS(tblDaily[MalariaCases],tblDaily[EntryDate],DATE(2026,1,8),tblDaily[WardCode],"BF")),"")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IFERROR(IF(SUMIFS(tblDaily[Admissions],tblDaily[EntryDate],DATE(2026,1,9),tblDaily[WardCode],"BF")=0,"",SUMIFS(tblDaily[Admissions],tblDaily[EntryDate],DATE(2026,1,9),tblDaily[WardCode],"BF")),"")</f>
        <v/>
      </c>
      <c r="C15" s="5" t="str">
        <f>IFERROR(IF(SUMIFS(tblDaily[Discharges],tblDaily[EntryDate],DATE(2026,1,9),tblDaily[WardCode],"BF")=0,"",SUMIFS(tblDaily[Discharges],tblDaily[EntryDate],DATE(2026,1,9),tblDaily[WardCode],"BF")),"")</f>
        <v/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 t="str">
        <f>IFERROR(IF(SUMIFS(tblDaily[TransfersOut],tblDaily[EntryDate],DATE(2026,1,9),tblDaily[WardCode],"BF")=0,"",SUMIFS(tblDaily[TransfersOut],tblDaily[EntryDate],DATE(2026,1,9),tblDaily[WardCode],"BF")),"")</f>
        <v/>
      </c>
      <c r="H15" s="5" t="str">
        <f>IFERROR(IF(SUMIFS(tblDaily[Remaining],tblDaily[EntryDate],DATE(2026,1,9),tblDaily[WardCode],"BF")=0,"",SUMIFS(tblDaily[Remaining],tblDaily[EntryDate],DATE(2026,1,9),tblDaily[WardCode],"BF")),"")</f>
        <v/>
      </c>
      <c r="I15" s="5" t="str">
        <f>IFERROR(IF(SUMIFS(tblDaily[MalariaCases],tblDaily[EntryDate],DATE(2026,1,9),tblDaily[WardCode],"BF")=0,"",SUMIFS(tblDaily[MalariaCases],tblDaily[EntryDate],DATE(2026,1,9),tblDaily[WardCode],"BF")),"")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IFERROR(IF(SUMIFS(tblDaily[Admissions],tblDaily[EntryDate],DATE(2026,1,10),tblDaily[WardCode],"BF")=0,"",SUMIFS(tblDaily[Admissions],tblDaily[EntryDate],DATE(2026,1,10),tblDaily[WardCode],"BF")),"")</f>
        <v/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 t="str">
        <f>IFERROR(IF(SUMIFS(tblDaily[Remaining],tblDaily[EntryDate],DATE(2026,1,10),tblDaily[WardCode],"BF")=0,"",SUMIFS(tblDaily[Remaining],tblDaily[EntryDate],DATE(2026,1,10),tblDaily[WardCode],"BF")),"")</f>
        <v/>
      </c>
      <c r="I16" s="5" t="str">
        <f>IFERROR(IF(SUMIFS(tblDaily[MalariaCases],tblDaily[EntryDate],DATE(2026,1,10),tblDaily[WardCode],"BF")=0,"",SUMIFS(tblDaily[MalariaCases],tblDaily[EntryDate],DATE(2026,1,10),tblDaily[WardCode],"BF")),"")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 t="str">
        <f>IFERROR(IF(SUMIFS(tblDaily[Discharges],tblDaily[EntryDate],DATE(2026,1,11),tblDaily[WardCode],"BF")=0,"",SUMIFS(tblDaily[Discharges],tblDaily[EntryDate],DATE(2026,1,11),tblDaily[WardCode],"BF")),"")</f>
        <v/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 t="str">
        <f>IFERROR(IF(SUMIFS(tblDaily[Remaining],tblDaily[EntryDate],DATE(2026,1,11),tblDaily[WardCode],"BF")=0,"",SUMIFS(tblDaily[Remaining],tblDaily[EntryDate],DATE(2026,1,11),tblDaily[WardCode],"BF")),"")</f>
        <v/>
      </c>
      <c r="I17" s="5" t="str">
        <f>IFERROR(IF(SUMIFS(tblDaily[MalariaCases],tblDaily[EntryDate],DATE(2026,1,11),tblDaily[WardCode],"BF")=0,"",SUMIFS(tblDaily[MalariaCases],tblDaily[EntryDate],DATE(2026,1,11),tblDaily[WardCode],"BF")),"")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IFERROR(IF(SUMIFS(tblDaily[Admissions],tblDaily[EntryDate],DATE(2026,1,12),tblDaily[WardCode],"BF")=0,"",SUMIFS(tblDaily[Admissions],tblDaily[EntryDate],DATE(2026,1,12),tblDaily[WardCode],"BF")),"")</f>
        <v/>
      </c>
      <c r="C18" s="5" t="str">
        <f>IFERROR(IF(SUMIFS(tblDaily[Discharges],tblDaily[EntryDate],DATE(2026,1,12),tblDaily[WardCode],"BF")=0,"",SUMIFS(tblDaily[Discharges],tblDaily[EntryDate],DATE(2026,1,12),tblDaily[WardCode],"BF")),"")</f>
        <v/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 t="str">
        <f>IFERROR(IF(SUMIFS(tblDaily[Remaining],tblDaily[EntryDate],DATE(2026,1,12),tblDaily[WardCode],"BF")=0,"",SUMIFS(tblDaily[Remaining],tblDaily[EntryDate],DATE(2026,1,12),tblDaily[WardCode],"BF")),"")</f>
        <v/>
      </c>
      <c r="I18" s="5" t="str">
        <f>IFERROR(IF(SUMIFS(tblDaily[MalariaCases],tblDaily[EntryDate],DATE(2026,1,12),tblDaily[WardCode],"BF")=0,"",SUMIFS(tblDaily[MalariaCases],tblDaily[EntryDate],DATE(2026,1,12),tblDaily[WardCode],"BF")),"")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IFERROR(IF(SUMIFS(tblDaily[Admissions],tblDaily[EntryDate],DATE(2026,1,13),tblDaily[WardCode],"BF")=0,"",SUMIFS(tblDaily[Admissions],tblDaily[EntryDate],DATE(2026,1,13),tblDaily[WardCode],"BF")),"")</f>
        <v/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 t="str">
        <f>IFERROR(IF(SUMIFS(tblDaily[Remaining],tblDaily[EntryDate],DATE(2026,1,13),tblDaily[WardCode],"BF")=0,"",SUMIFS(tblDaily[Remaining],tblDaily[EntryDate],DATE(2026,1,13),tblDaily[WardCode],"BF")),"")</f>
        <v/>
      </c>
      <c r="I19" s="5" t="str">
        <f>IFERROR(IF(SUMIFS(tblDaily[MalariaCases],tblDaily[EntryDate],DATE(2026,1,13),tblDaily[WardCode],"BF")=0,"",SUMIFS(tblDaily[MalariaCases],tblDaily[EntryDate],DATE(2026,1,13),tblDaily[WardCode],"BF")),"")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IFERROR(IF(SUMIFS(tblDaily[Admissions],tblDaily[EntryDate],DATE(2026,1,14),tblDaily[WardCode],"BF")=0,"",SUMIFS(tblDaily[Admissions],tblDaily[EntryDate],DATE(2026,1,14),tblDaily[WardCode],"BF")),"")</f>
        <v/>
      </c>
      <c r="C20" s="5" t="str">
        <f>IFERROR(IF(SUMIFS(tblDaily[Discharges],tblDaily[EntryDate],DATE(2026,1,14),tblDaily[WardCode],"BF")=0,"",SUMIFS(tblDaily[Discharges],tblDaily[EntryDate],DATE(2026,1,14),tblDaily[WardCode],"BF")),"")</f>
        <v/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 t="str">
        <f>IFERROR(IF(SUMIFS(tblDaily[Remaining],tblDaily[EntryDate],DATE(2026,1,14),tblDaily[WardCode],"BF")=0,"",SUMIFS(tblDaily[Remaining],tblDaily[EntryDate],DATE(2026,1,14),tblDaily[WardCode],"BF")),"")</f>
        <v/>
      </c>
      <c r="I20" s="5" t="str">
        <f>IFERROR(IF(SUMIFS(tblDaily[MalariaCases],tblDaily[EntryDate],DATE(2026,1,14),tblDaily[WardCode],"BF")=0,"",SUMIFS(tblDaily[MalariaCases],tblDaily[EntryDate],DATE(2026,1,14),tblDaily[WardCode],"BF")),"")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IFERROR(IF(SUMIFS(tblDaily[Admissions],tblDaily[EntryDate],DATE(2026,1,15),tblDaily[WardCode],"BF")=0,"",SUMIFS(tblDaily[Admissions],tblDaily[EntryDate],DATE(2026,1,15),tblDaily[WardCode],"BF")),"")</f>
        <v/>
      </c>
      <c r="C21" s="5" t="str">
        <f>IFERROR(IF(SUMIFS(tblDaily[Discharges],tblDaily[EntryDate],DATE(2026,1,15),tblDaily[WardCode],"BF")=0,"",SUMIFS(tblDaily[Discharges],tblDaily[EntryDate],DATE(2026,1,15),tblDaily[WardCode],"BF")),"")</f>
        <v/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 t="str">
        <f>IFERROR(IF(SUMIFS(tblDaily[Remaining],tblDaily[EntryDate],DATE(2026,1,15),tblDaily[WardCode],"BF")=0,"",SUMIFS(tblDaily[Remaining],tblDaily[EntryDate],DATE(2026,1,15),tblDaily[WardCode],"BF")),"")</f>
        <v/>
      </c>
      <c r="I21" s="5" t="str">
        <f>IFERROR(IF(SUMIFS(tblDaily[MalariaCases],tblDaily[EntryDate],DATE(2026,1,15),tblDaily[WardCode],"BF")=0,"",SUMIFS(tblDaily[MalariaCases],tblDaily[EntryDate],DATE(2026,1,15),tblDaily[WardCode],"BF")),"")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 t="str">
        <f>IFERROR(IF(SUMIFS(tblDaily[Discharges],tblDaily[EntryDate],DATE(2026,1,16),tblDaily[WardCode],"BF")=0,"",SUMIFS(tblDaily[Discharges],tblDaily[EntryDate],DATE(2026,1,16),tblDaily[WardCode],"BF")),"")</f>
        <v/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 t="str">
        <f>IFERROR(IF(SUMIFS(tblDaily[Remaining],tblDaily[EntryDate],DATE(2026,1,16),tblDaily[WardCode],"BF")=0,"",SUMIFS(tblDaily[Remaining],tblDaily[EntryDate],DATE(2026,1,16),tblDaily[WardCode],"BF")),"")</f>
        <v/>
      </c>
      <c r="I22" s="5" t="str">
        <f>IFERROR(IF(SUMIFS(tblDaily[MalariaCases],tblDaily[EntryDate],DATE(2026,1,16),tblDaily[WardCode],"BF")=0,"",SUMIFS(tblDaily[MalariaCases],tblDaily[EntryDate],DATE(2026,1,16),tblDaily[WardCode],"BF")),"")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IFERROR(IF(SUMIFS(tblDaily[Admissions],tblDaily[EntryDate],DATE(2026,1,17),tblDaily[WardCode],"BF")=0,"",SUMIFS(tblDaily[Admissions],tblDaily[EntryDate],DATE(2026,1,17),tblDaily[WardCode],"BF")),"")</f>
        <v/>
      </c>
      <c r="C23" s="5" t="str">
        <f>IFERROR(IF(SUMIFS(tblDaily[Discharges],tblDaily[EntryDate],DATE(2026,1,17),tblDaily[WardCode],"BF")=0,"",SUMIFS(tblDaily[Discharges],tblDaily[EntryDate],DATE(2026,1,17),tblDaily[WardCode],"BF")),"")</f>
        <v/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 t="str">
        <f>IFERROR(IF(SUMIFS(tblDaily[Remaining],tblDaily[EntryDate],DATE(2026,1,17),tblDaily[WardCode],"BF")=0,"",SUMIFS(tblDaily[Remaining],tblDaily[EntryDate],DATE(2026,1,17),tblDaily[WardCode],"BF")),"")</f>
        <v/>
      </c>
      <c r="I23" s="5" t="str">
        <f>IFERROR(IF(SUMIFS(tblDaily[MalariaCases],tblDaily[EntryDate],DATE(2026,1,17),tblDaily[WardCode],"BF")=0,"",SUMIFS(tblDaily[MalariaCases],tblDaily[EntryDate],DATE(2026,1,17),tblDaily[WardCode],"BF")),"")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IFERROR(IF(SUMIFS(tblDaily[Admissions],tblDaily[EntryDate],DATE(2026,1,18),tblDaily[WardCode],"BF")=0,"",SUMIFS(tblDaily[Admissions],tblDaily[EntryDate],DATE(2026,1,18),tblDaily[WardCode],"BF")),"")</f>
        <v/>
      </c>
      <c r="C24" s="5" t="str">
        <f>IFERROR(IF(SUMIFS(tblDaily[Discharges],tblDaily[EntryDate],DATE(2026,1,18),tblDaily[WardCode],"BF")=0,"",SUMIFS(tblDaily[Discharges],tblDaily[EntryDate],DATE(2026,1,18),tblDaily[WardCode],"BF")),"")</f>
        <v/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 t="str">
        <f>IFERROR(IF(SUMIFS(tblDaily[Remaining],tblDaily[EntryDate],DATE(2026,1,18),tblDaily[WardCode],"BF")=0,"",SUMIFS(tblDaily[Remaining],tblDaily[EntryDate],DATE(2026,1,18),tblDaily[WardCode],"BF")),"")</f>
        <v/>
      </c>
      <c r="I24" s="5" t="str">
        <f>IFERROR(IF(SUMIFS(tblDaily[MalariaCases],tblDaily[EntryDate],DATE(2026,1,18),tblDaily[WardCode],"BF")=0,"",SUMIFS(tblDaily[MalariaCases],tblDaily[EntryDate],DATE(2026,1,18),tblDaily[WardCode],"BF")),"")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 t="str">
        <f>IFERROR(IF(SUMIFS(tblDaily[Discharges],tblDaily[EntryDate],DATE(2026,1,19),tblDaily[WardCode],"BF")=0,"",SUMIFS(tblDaily[Discharges],tblDaily[EntryDate],DATE(2026,1,19),tblDaily[WardCode],"BF")),"")</f>
        <v/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 t="str">
        <f>IFERROR(IF(SUMIFS(tblDaily[Remaining],tblDaily[EntryDate],DATE(2026,1,19),tblDaily[WardCode],"BF")=0,"",SUMIFS(tblDaily[Remaining],tblDaily[EntryDate],DATE(2026,1,19),tblDaily[WardCode],"BF")),"")</f>
        <v/>
      </c>
      <c r="I25" s="5" t="str">
        <f>IFERROR(IF(SUMIFS(tblDaily[MalariaCases],tblDaily[EntryDate],DATE(2026,1,19),tblDaily[WardCode],"BF")=0,"",SUMIFS(tblDaily[MalariaCases],tblDaily[EntryDate],DATE(2026,1,19),tblDaily[WardCode],"BF")),"")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 t="str">
        <f>IFERROR(IF(SUMIFS(tblDaily[Discharges],tblDaily[EntryDate],DATE(2026,1,20),tblDaily[WardCode],"BF")=0,"",SUMIFS(tblDaily[Discharges],tblDaily[EntryDate],DATE(2026,1,20),tblDaily[WardCode],"BF")),"")</f>
        <v/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 t="str">
        <f>IFERROR(IF(SUMIFS(tblDaily[Remaining],tblDaily[EntryDate],DATE(2026,1,20),tblDaily[WardCode],"BF")=0,"",SUMIFS(tblDaily[Remaining],tblDaily[EntryDate],DATE(2026,1,20),tblDaily[WardCode],"BF")),"")</f>
        <v/>
      </c>
      <c r="I26" s="5" t="str">
        <f>IFERROR(IF(SUMIFS(tblDaily[MalariaCases],tblDaily[EntryDate],DATE(2026,1,20),tblDaily[WardCode],"BF")=0,"",SUMIFS(tblDaily[MalariaCases],tblDaily[EntryDate],DATE(2026,1,20),tblDaily[WardCode],"BF")),"")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IFERROR(IF(SUMIFS(tblDaily[Admissions],tblDaily[EntryDate],DATE(2026,1,21),tblDaily[WardCode],"BF")=0,"",SUMIFS(tblDaily[Admissions],tblDaily[EntryDate],DATE(2026,1,21),tblDaily[WardCode],"BF")),"")</f>
        <v/>
      </c>
      <c r="C27" s="5" t="str">
        <f>IFERROR(IF(SUMIFS(tblDaily[Discharges],tblDaily[EntryDate],DATE(2026,1,21),tblDaily[WardCode],"BF")=0,"",SUMIFS(tblDaily[Discharges],tblDaily[EntryDate],DATE(2026,1,21),tblDaily[WardCode],"BF")),"")</f>
        <v/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 t="str">
        <f>IFERROR(IF(SUMIFS(tblDaily[Remaining],tblDaily[EntryDate],DATE(2026,1,21),tblDaily[WardCode],"BF")=0,"",SUMIFS(tblDaily[Remaining],tblDaily[EntryDate],DATE(2026,1,21),tblDaily[WardCode],"BF")),"")</f>
        <v/>
      </c>
      <c r="I27" s="5" t="str">
        <f>IFERROR(IF(SUMIFS(tblDaily[MalariaCases],tblDaily[EntryDate],DATE(2026,1,21),tblDaily[WardCode],"BF")=0,"",SUMIFS(tblDaily[MalariaCases],tblDaily[EntryDate],DATE(2026,1,21),tblDaily[WardCode],"BF")),"")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 t="str">
        <f>IFERROR(IF(SUMIFS(tblDaily[Discharges],tblDaily[EntryDate],DATE(2026,1,22),tblDaily[WardCode],"BF")=0,"",SUMIFS(tblDaily[Discharges],tblDaily[EntryDate],DATE(2026,1,22),tblDaily[WardCode],"BF")),"")</f>
        <v/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 t="str">
        <f>IFERROR(IF(SUMIFS(tblDaily[Remaining],tblDaily[EntryDate],DATE(2026,1,22),tblDaily[WardCode],"BF")=0,"",SUMIFS(tblDaily[Remaining],tblDaily[EntryDate],DATE(2026,1,22),tblDaily[WardCode],"BF")),"")</f>
        <v/>
      </c>
      <c r="I28" s="5" t="str">
        <f>IFERROR(IF(SUMIFS(tblDaily[MalariaCases],tblDaily[EntryDate],DATE(2026,1,22),tblDaily[WardCode],"BF")=0,"",SUMIFS(tblDaily[MalariaCases],tblDaily[EntryDate],DATE(2026,1,22),tblDaily[WardCode],"BF")),"")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IFERROR(IF(SUMIFS(tblDaily[Admissions],tblDaily[EntryDate],DATE(2026,1,23),tblDaily[WardCode],"BF")=0,"",SUMIFS(tblDaily[Admissions],tblDaily[EntryDate],DATE(2026,1,23),tblDaily[WardCode],"BF")),"")</f>
        <v/>
      </c>
      <c r="C29" s="5" t="str">
        <f>IFERROR(IF(SUMIFS(tblDaily[Discharges],tblDaily[EntryDate],DATE(2026,1,23),tblDaily[WardCode],"BF")=0,"",SUMIFS(tblDaily[Discharges],tblDaily[EntryDate],DATE(2026,1,23),tblDaily[WardCode],"BF")),"")</f>
        <v/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 t="str">
        <f>IFERROR(IF(SUMIFS(tblDaily[Remaining],tblDaily[EntryDate],DATE(2026,1,23),tblDaily[WardCode],"BF")=0,"",SUMIFS(tblDaily[Remaining],tblDaily[EntryDate],DATE(2026,1,23),tblDaily[WardCode],"BF")),"")</f>
        <v/>
      </c>
      <c r="I29" s="5" t="str">
        <f>IFERROR(IF(SUMIFS(tblDaily[MalariaCases],tblDaily[EntryDate],DATE(2026,1,23),tblDaily[WardCode],"BF")=0,"",SUMIFS(tblDaily[MalariaCases],tblDaily[EntryDate],DATE(2026,1,23),tblDaily[WardCode],"BF")),"")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IFERROR(IF(SUMIFS(tblDaily[Admissions],tblDaily[EntryDate],DATE(2026,1,24),tblDaily[WardCode],"BF")=0,"",SUMIFS(tblDaily[Admissions],tblDaily[EntryDate],DATE(2026,1,24),tblDaily[WardCode],"BF")),"")</f>
        <v/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 t="str">
        <f>IFERROR(IF(SUMIFS(tblDaily[Remaining],tblDaily[EntryDate],DATE(2026,1,24),tblDaily[WardCode],"BF")=0,"",SUMIFS(tblDaily[Remaining],tblDaily[EntryDate],DATE(2026,1,24),tblDaily[WardCode],"BF")),"")</f>
        <v/>
      </c>
      <c r="I30" s="5" t="str">
        <f>IFERROR(IF(SUMIFS(tblDaily[MalariaCases],tblDaily[EntryDate],DATE(2026,1,24),tblDaily[WardCode],"BF")=0,"",SUMIFS(tblDaily[MalariaCases],tblDaily[EntryDate],DATE(2026,1,24),tblDaily[WardCode],"BF")),"")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IFERROR(IF(SUMIFS(tblDaily[Admissions],tblDaily[EntryDate],DATE(2026,1,25),tblDaily[WardCode],"BF")=0,"",SUMIFS(tblDaily[Admissions],tblDaily[EntryDate],DATE(2026,1,25),tblDaily[WardCode],"BF")),"")</f>
        <v/>
      </c>
      <c r="C31" s="5" t="str">
        <f>IFERROR(IF(SUMIFS(tblDaily[Discharges],tblDaily[EntryDate],DATE(2026,1,25),tblDaily[WardCode],"BF")=0,"",SUMIFS(tblDaily[Discharges],tblDaily[EntryDate],DATE(2026,1,25),tblDaily[WardCode],"BF")),"")</f>
        <v/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 t="str">
        <f>IFERROR(IF(SUMIFS(tblDaily[Remaining],tblDaily[EntryDate],DATE(2026,1,25),tblDaily[WardCode],"BF")=0,"",SUMIFS(tblDaily[Remaining],tblDaily[EntryDate],DATE(2026,1,25),tblDaily[WardCode],"BF")),"")</f>
        <v/>
      </c>
      <c r="I31" s="5" t="str">
        <f>IFERROR(IF(SUMIFS(tblDaily[MalariaCases],tblDaily[EntryDate],DATE(2026,1,25),tblDaily[WardCode],"BF")=0,"",SUMIFS(tblDaily[MalariaCases],tblDaily[EntryDate],DATE(2026,1,25),tblDaily[WardCode],"BF")),"")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IFERROR(IF(SUMIFS(tblDaily[Admissions],tblDaily[EntryDate],DATE(2026,1,26),tblDaily[WardCode],"BF")=0,"",SUMIFS(tblDaily[Admissions],tblDaily[EntryDate],DATE(2026,1,26),tblDaily[WardCode],"BF")),"")</f>
        <v/>
      </c>
      <c r="C32" s="5" t="str">
        <f>IFERROR(IF(SUMIFS(tblDaily[Discharges],tblDaily[EntryDate],DATE(2026,1,26),tblDaily[WardCode],"BF")=0,"",SUMIFS(tblDaily[Discharges],tblDaily[EntryDate],DATE(2026,1,26),tblDaily[WardCode],"BF")),"")</f>
        <v/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 t="str">
        <f>IFERROR(IF(SUMIFS(tblDaily[Remaining],tblDaily[EntryDate],DATE(2026,1,26),tblDaily[WardCode],"BF")=0,"",SUMIFS(tblDaily[Remaining],tblDaily[EntryDate],DATE(2026,1,26),tblDaily[WardCode],"BF")),"")</f>
        <v/>
      </c>
      <c r="I32" s="5" t="str">
        <f>IFERROR(IF(SUMIFS(tblDaily[MalariaCases],tblDaily[EntryDate],DATE(2026,1,26),tblDaily[WardCode],"BF")=0,"",SUMIFS(tblDaily[MalariaCases],tblDaily[EntryDate],DATE(2026,1,26),tblDaily[WardCode],"BF")),"")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IFERROR(IF(SUMIFS(tblDaily[Admissions],tblDaily[EntryDate],DATE(2026,1,27),tblDaily[WardCode],"BF")=0,"",SUMIFS(tblDaily[Admissions],tblDaily[EntryDate],DATE(2026,1,27),tblDaily[WardCode],"BF")),"")</f>
        <v/>
      </c>
      <c r="C33" s="5" t="str">
        <f>IFERROR(IF(SUMIFS(tblDaily[Discharges],tblDaily[EntryDate],DATE(2026,1,27),tblDaily[WardCode],"BF")=0,"",SUMIFS(tblDaily[Discharges],tblDaily[EntryDate],DATE(2026,1,27),tblDaily[WardCode],"BF")),"")</f>
        <v/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 t="str">
        <f>IFERROR(IF(SUMIFS(tblDaily[Remaining],tblDaily[EntryDate],DATE(2026,1,27),tblDaily[WardCode],"BF")=0,"",SUMIFS(tblDaily[Remaining],tblDaily[EntryDate],DATE(2026,1,27),tblDaily[WardCode],"BF")),"")</f>
        <v/>
      </c>
      <c r="I33" s="5" t="str">
        <f>IFERROR(IF(SUMIFS(tblDaily[MalariaCases],tblDaily[EntryDate],DATE(2026,1,27),tblDaily[WardCode],"BF")=0,"",SUMIFS(tblDaily[MalariaCases],tblDaily[EntryDate],DATE(2026,1,27),tblDaily[WardCode],"BF")),"")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IFERROR(IF(SUMIFS(tblDaily[Admissions],tblDaily[EntryDate],DATE(2026,1,28),tblDaily[WardCode],"BF")=0,"",SUMIFS(tblDaily[Admissions],tblDaily[EntryDate],DATE(2026,1,28),tblDaily[WardCode],"BF")),"")</f>
        <v/>
      </c>
      <c r="C34" s="5" t="str">
        <f>IFERROR(IF(SUMIFS(tblDaily[Discharges],tblDaily[EntryDate],DATE(2026,1,28),tblDaily[WardCode],"BF")=0,"",SUMIFS(tblDaily[Discharges],tblDaily[EntryDate],DATE(2026,1,28),tblDaily[WardCode],"BF")),"")</f>
        <v/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 t="str">
        <f>IFERROR(IF(SUMIFS(tblDaily[Remaining],tblDaily[EntryDate],DATE(2026,1,28),tblDaily[WardCode],"BF")=0,"",SUMIFS(tblDaily[Remaining],tblDaily[EntryDate],DATE(2026,1,28),tblDaily[WardCode],"BF")),"")</f>
        <v/>
      </c>
      <c r="I34" s="5" t="str">
        <f>IFERROR(IF(SUMIFS(tblDaily[MalariaCases],tblDaily[EntryDate],DATE(2026,1,28),tblDaily[WardCode],"BF")=0,"",SUMIFS(tblDaily[MalariaCases],tblDaily[EntryDate],DATE(2026,1,28),tblDaily[WardCode],"BF")),"")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IFERROR(IF(SUMIFS(tblDaily[Admissions],tblDaily[EntryDate],DATE(2026,1,29),tblDaily[WardCode],"BF")=0,"",SUMIFS(tblDaily[Admissions],tblDaily[EntryDate],DATE(2026,1,29),tblDaily[WardCode],"BF")),"")</f>
        <v/>
      </c>
      <c r="C35" s="5" t="str">
        <f>IFERROR(IF(SUMIFS(tblDaily[Discharges],tblDaily[EntryDate],DATE(2026,1,29),tblDaily[WardCode],"BF")=0,"",SUMIFS(tblDaily[Discharges],tblDaily[EntryDate],DATE(2026,1,29),tblDaily[WardCode],"BF")),"")</f>
        <v/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 t="str">
        <f>IFERROR(IF(SUMIFS(tblDaily[Remaining],tblDaily[EntryDate],DATE(2026,1,29),tblDaily[WardCode],"BF")=0,"",SUMIFS(tblDaily[Remaining],tblDaily[EntryDate],DATE(2026,1,29),tblDaily[WardCode],"BF")),"")</f>
        <v/>
      </c>
      <c r="I35" s="5" t="str">
        <f>IFERROR(IF(SUMIFS(tblDaily[MalariaCases],tblDaily[EntryDate],DATE(2026,1,29),tblDaily[WardCode],"BF")=0,"",SUMIFS(tblDaily[MalariaCases],tblDaily[EntryDate],DATE(2026,1,29),tblDaily[WardCode],"BF")),"")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IFERROR(IF(SUMIFS(tblDaily[Admissions],tblDaily[EntryDate],DATE(2026,1,30),tblDaily[WardCode],"BF")=0,"",SUMIFS(tblDaily[Admissions],tblDaily[EntryDate],DATE(2026,1,30),tblDaily[WardCode],"BF")),"")</f>
        <v/>
      </c>
      <c r="C36" s="5" t="str">
        <f>IFERROR(IF(SUMIFS(tblDaily[Discharges],tblDaily[EntryDate],DATE(2026,1,30),tblDaily[WardCode],"BF")=0,"",SUMIFS(tblDaily[Discharges],tblDaily[EntryDate],DATE(2026,1,30),tblDaily[WardCode],"BF")),"")</f>
        <v/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 t="str">
        <f>IFERROR(IF(SUMIFS(tblDaily[Remaining],tblDaily[EntryDate],DATE(2026,1,30),tblDaily[WardCode],"BF")=0,"",SUMIFS(tblDaily[Remaining],tblDaily[EntryDate],DATE(2026,1,30),tblDaily[WardCode],"BF")),"")</f>
        <v/>
      </c>
      <c r="I36" s="5" t="str">
        <f>IFERROR(IF(SUMIFS(tblDaily[MalariaCases],tblDaily[EntryDate],DATE(2026,1,30),tblDaily[WardCode],"BF")=0,"",SUMIFS(tblDaily[MalariaCases],tblDaily[EntryDate],DATE(2026,1,30),tblDaily[WardCode],"BF")),"")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IFERROR(IF(SUMIFS(tblDaily[Admissions],tblDaily[EntryDate],DATE(2026,1,31),tblDaily[WardCode],"BF")=0,"",SUMIFS(tblDaily[Admissions],tblDaily[EntryDate],DATE(2026,1,31),tblDaily[WardCode],"BF")),"")</f>
        <v/>
      </c>
      <c r="C37" s="5" t="str">
        <f>IFERROR(IF(SUMIFS(tblDaily[Discharges],tblDaily[EntryDate],DATE(2026,1,31),tblDaily[WardCode],"BF")=0,"",SUMIFS(tblDaily[Discharges],tblDaily[EntryDate],DATE(2026,1,31),tblDaily[WardCode],"BF")),"")</f>
        <v/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 t="str">
        <f>IFERROR(IF(SUMIFS(tblDaily[Remaining],tblDaily[EntryDate],DATE(2026,1,31),tblDaily[WardCode],"BF")=0,"",SUMIFS(tblDaily[Remaining],tblDaily[EntryDate],DATE(2026,1,31),tblDaily[WardCode],"BF")),"")</f>
        <v/>
      </c>
      <c r="I37" s="5" t="str">
        <f>IFERROR(IF(SUMIFS(tblDaily[MalariaCases],tblDaily[EntryDate],DATE(2026,1,31),tblDaily[WardCode],"BF")=0,"",SUMIFS(tblDaily[MalariaCases],tblDaily[EntryDate],DATE(2026,1,31),tblDaily[WardCode],"BF")),"")</f>
        <v/>
      </c>
    </row>
    <row r="38" spans="1:9" x14ac:dyDescent="0.25">
      <c r="A38" s="9" t="s">
        <v>94</v>
      </c>
      <c r="B38" s="9">
        <f>SUMIFS(tblDaily[Admissions],tblDaily[Month],1,tblDaily[WardCode],"BF")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97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IFERROR(SUMIFS(tblDaily[Remaining],tblDaily[EntryDate],DATE(2026,1,31),tblDaily[WardCode],"BF"),0)</f>
        <v>0</v>
      </c>
    </row>
    <row r="44" spans="1:9" x14ac:dyDescent="0.25">
      <c r="A44" s="1" t="s">
        <v>87</v>
      </c>
      <c r="H44" s="7">
        <f>IFERROR(INDEX(tblWardConfig[BedComplement],MATCH("BF",tblWardConfig[Export Year-End],0)),0)</f>
        <v>20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  <c r="I46" s="5" t="str">
        <f>IFERROR(IF(SUMIFS(tblDaily[MalariaCases],tblDaily[EntryDate],DATE(2026,2,1),tblDaily[WardCode],"BF")=0,"",SUMIFS(tblDaily[MalariaCases],tblDaily[EntryDate],DATE(2026,2,1),tblDaily[WardCode],"BF")),"")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  <c r="I47" s="5" t="str">
        <f>IFERROR(IF(SUMIFS(tblDaily[MalariaCases],tblDaily[EntryDate],DATE(2026,2,2),tblDaily[WardCode],"BF")=0,"",SUMIFS(tblDaily[MalariaCases],tblDaily[EntryDate],DATE(2026,2,2),tblDaily[WardCode],"BF")),"")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IFERROR(IF(SUMIFS(tblDaily[Admissions],tblDaily[EntryDate],DATE(2026,2,3),tblDaily[WardCode],"BF")=0,"",SUMIFS(tblDaily[Admissions],tblDaily[EntryDate],DATE(2026,2,3),tblDaily[WardCode],"BF")),"")</f>
        <v/>
      </c>
      <c r="C48" s="5" t="str">
        <f>IFERROR(IF(SUMIFS(tblDaily[Discharges],tblDaily[EntryDate],DATE(2026,2,3),tblDaily[WardCode],"BF")=0,"",SUMIFS(tblDaily[Discharges],tblDaily[EntryDate],DATE(2026,2,3),tblDaily[WardCode],"BF")),"")</f>
        <v/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 t="str">
        <f>IFERROR(IF(SUMIFS(tblDaily[Remaining],tblDaily[EntryDate],DATE(2026,2,3),tblDaily[WardCode],"BF")=0,"",SUMIFS(tblDaily[Remaining],tblDaily[EntryDate],DATE(2026,2,3),tblDaily[WardCode],"BF")),"")</f>
        <v/>
      </c>
      <c r="I48" s="5" t="str">
        <f>IFERROR(IF(SUMIFS(tblDaily[MalariaCases],tblDaily[EntryDate],DATE(2026,2,3),tblDaily[WardCode],"BF")=0,"",SUMIFS(tblDaily[MalariaCases],tblDaily[EntryDate],DATE(2026,2,3),tblDaily[WardCode],"BF")),"")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  <c r="I49" s="5" t="str">
        <f>IFERROR(IF(SUMIFS(tblDaily[MalariaCases],tblDaily[EntryDate],DATE(2026,2,4),tblDaily[WardCode],"BF")=0,"",SUMIFS(tblDaily[MalariaCases],tblDaily[EntryDate],DATE(2026,2,4),tblDaily[WardCode],"BF")),"")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  <c r="I50" s="5" t="str">
        <f>IFERROR(IF(SUMIFS(tblDaily[MalariaCases],tblDaily[EntryDate],DATE(2026,2,5),tblDaily[WardCode],"BF")=0,"",SUMIFS(tblDaily[MalariaCases],tblDaily[EntryDate],DATE(2026,2,5),tblDaily[WardCode],"BF")),"")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  <c r="I51" s="5" t="str">
        <f>IFERROR(IF(SUMIFS(tblDaily[MalariaCases],tblDaily[EntryDate],DATE(2026,2,6),tblDaily[WardCode],"BF")=0,"",SUMIFS(tblDaily[MalariaCases],tblDaily[EntryDate],DATE(2026,2,6),tblDaily[WardCode],"BF")),"")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  <c r="I52" s="5" t="str">
        <f>IFERROR(IF(SUMIFS(tblDaily[MalariaCases],tblDaily[EntryDate],DATE(2026,2,7),tblDaily[WardCode],"BF")=0,"",SUMIFS(tblDaily[MalariaCases],tblDaily[EntryDate],DATE(2026,2,7),tblDaily[WardCode],"BF")),"")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  <c r="I53" s="5" t="str">
        <f>IFERROR(IF(SUMIFS(tblDaily[MalariaCases],tblDaily[EntryDate],DATE(2026,2,8),tblDaily[WardCode],"BF")=0,"",SUMIFS(tblDaily[MalariaCases],tblDaily[EntryDate],DATE(2026,2,8),tblDaily[WardCode],"BF")),"")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  <c r="I54" s="5" t="str">
        <f>IFERROR(IF(SUMIFS(tblDaily[MalariaCases],tblDaily[EntryDate],DATE(2026,2,9),tblDaily[WardCode],"BF")=0,"",SUMIFS(tblDaily[MalariaCases],tblDaily[EntryDate],DATE(2026,2,9),tblDaily[WardCode],"BF")),"")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  <c r="I55" s="5" t="str">
        <f>IFERROR(IF(SUMIFS(tblDaily[MalariaCases],tblDaily[EntryDate],DATE(2026,2,10),tblDaily[WardCode],"BF")=0,"",SUMIFS(tblDaily[MalariaCases],tblDaily[EntryDate],DATE(2026,2,10),tblDaily[WardCode],"BF")),"")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  <c r="I56" s="5" t="str">
        <f>IFERROR(IF(SUMIFS(tblDaily[MalariaCases],tblDaily[EntryDate],DATE(2026,2,11),tblDaily[WardCode],"BF")=0,"",SUMIFS(tblDaily[MalariaCases],tblDaily[EntryDate],DATE(2026,2,11),tblDaily[WardCode],"BF")),"")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  <c r="I57" s="5" t="str">
        <f>IFERROR(IF(SUMIFS(tblDaily[MalariaCases],tblDaily[EntryDate],DATE(2026,2,12),tblDaily[WardCode],"BF")=0,"",SUMIFS(tblDaily[MalariaCases],tblDaily[EntryDate],DATE(2026,2,12),tblDaily[WardCode],"BF")),"")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  <c r="I58" s="5" t="str">
        <f>IFERROR(IF(SUMIFS(tblDaily[MalariaCases],tblDaily[EntryDate],DATE(2026,2,13),tblDaily[WardCode],"BF")=0,"",SUMIFS(tblDaily[MalariaCases],tblDaily[EntryDate],DATE(2026,2,13),tblDaily[WardCode],"BF")),"")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  <c r="I59" s="5" t="str">
        <f>IFERROR(IF(SUMIFS(tblDaily[MalariaCases],tblDaily[EntryDate],DATE(2026,2,14),tblDaily[WardCode],"BF")=0,"",SUMIFS(tblDaily[MalariaCases],tblDaily[EntryDate],DATE(2026,2,14),tblDaily[WardCode],"BF")),"")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  <c r="I60" s="5" t="str">
        <f>IFERROR(IF(SUMIFS(tblDaily[MalariaCases],tblDaily[EntryDate],DATE(2026,2,15),tblDaily[WardCode],"BF")=0,"",SUMIFS(tblDaily[MalariaCases],tblDaily[EntryDate],DATE(2026,2,15),tblDaily[WardCode],"BF")),"")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  <c r="I61" s="5" t="str">
        <f>IFERROR(IF(SUMIFS(tblDaily[MalariaCases],tblDaily[EntryDate],DATE(2026,2,16),tblDaily[WardCode],"BF")=0,"",SUMIFS(tblDaily[MalariaCases],tblDaily[EntryDate],DATE(2026,2,16),tblDaily[WardCode],"BF")),"")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  <c r="I62" s="5" t="str">
        <f>IFERROR(IF(SUMIFS(tblDaily[MalariaCases],tblDaily[EntryDate],DATE(2026,2,17),tblDaily[WardCode],"BF")=0,"",SUMIFS(tblDaily[MalariaCases],tblDaily[EntryDate],DATE(2026,2,17),tblDaily[WardCode],"BF")),"")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  <c r="I63" s="5" t="str">
        <f>IFERROR(IF(SUMIFS(tblDaily[MalariaCases],tblDaily[EntryDate],DATE(2026,2,18),tblDaily[WardCode],"BF")=0,"",SUMIFS(tblDaily[MalariaCases],tblDaily[EntryDate],DATE(2026,2,18),tblDaily[WardCode],"BF")),"")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  <c r="I64" s="5" t="str">
        <f>IFERROR(IF(SUMIFS(tblDaily[MalariaCases],tblDaily[EntryDate],DATE(2026,2,19),tblDaily[WardCode],"BF")=0,"",SUMIFS(tblDaily[MalariaCases],tblDaily[EntryDate],DATE(2026,2,19),tblDaily[WardCode],"BF")),"")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  <c r="I65" s="5" t="str">
        <f>IFERROR(IF(SUMIFS(tblDaily[MalariaCases],tblDaily[EntryDate],DATE(2026,2,20),tblDaily[WardCode],"BF")=0,"",SUMIFS(tblDaily[MalariaCases],tblDaily[EntryDate],DATE(2026,2,20),tblDaily[WardCode],"BF")),"")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  <c r="I66" s="5" t="str">
        <f>IFERROR(IF(SUMIFS(tblDaily[MalariaCases],tblDaily[EntryDate],DATE(2026,2,21),tblDaily[WardCode],"BF")=0,"",SUMIFS(tblDaily[MalariaCases],tblDaily[EntryDate],DATE(2026,2,21),tblDaily[WardCode],"BF")),"")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  <c r="I67" s="5" t="str">
        <f>IFERROR(IF(SUMIFS(tblDaily[MalariaCases],tblDaily[EntryDate],DATE(2026,2,22),tblDaily[WardCode],"BF")=0,"",SUMIFS(tblDaily[MalariaCases],tblDaily[EntryDate],DATE(2026,2,22),tblDaily[WardCode],"BF")),"")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  <c r="I68" s="5" t="str">
        <f>IFERROR(IF(SUMIFS(tblDaily[MalariaCases],tblDaily[EntryDate],DATE(2026,2,23),tblDaily[WardCode],"BF")=0,"",SUMIFS(tblDaily[MalariaCases],tblDaily[EntryDate],DATE(2026,2,23),tblDaily[WardCode],"BF")),"")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  <c r="I69" s="5" t="str">
        <f>IFERROR(IF(SUMIFS(tblDaily[MalariaCases],tblDaily[EntryDate],DATE(2026,2,24),tblDaily[WardCode],"BF")=0,"",SUMIFS(tblDaily[MalariaCases],tblDaily[EntryDate],DATE(2026,2,24),tblDaily[WardCode],"BF")),"")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  <c r="I70" s="5" t="str">
        <f>IFERROR(IF(SUMIFS(tblDaily[MalariaCases],tblDaily[EntryDate],DATE(2026,2,25),tblDaily[WardCode],"BF")=0,"",SUMIFS(tblDaily[MalariaCases],tblDaily[EntryDate],DATE(2026,2,25),tblDaily[WardCode],"BF")),"")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  <c r="I71" s="5" t="str">
        <f>IFERROR(IF(SUMIFS(tblDaily[MalariaCases],tblDaily[EntryDate],DATE(2026,2,26),tblDaily[WardCode],"BF")=0,"",SUMIFS(tblDaily[MalariaCases],tblDaily[EntryDate],DATE(2026,2,26),tblDaily[WardCode],"BF")),"")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  <c r="I72" s="5" t="str">
        <f>IFERROR(IF(SUMIFS(tblDaily[MalariaCases],tblDaily[EntryDate],DATE(2026,2,27),tblDaily[WardCode],"BF")=0,"",SUMIFS(tblDaily[MalariaCases],tblDaily[EntryDate],DATE(2026,2,27),tblDaily[WardCode],"BF")),"")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  <c r="I73" s="5" t="str">
        <f>IFERROR(IF(SUMIFS(tblDaily[MalariaCases],tblDaily[EntryDate],DATE(2026,2,28),tblDaily[WardCode],"BF")=0,"",SUMIFS(tblDaily[MalariaCases],tblDaily[EntryDate],DATE(2026,2,28),tblDaily[WardCode],"BF")),"")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97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IFERROR(SUMIFS(tblDaily[Remaining],tblDaily[EntryDate],DATE(2026,2,28),tblDaily[WardCode],"BF"),0)</f>
        <v>0</v>
      </c>
    </row>
    <row r="83" spans="1:9" x14ac:dyDescent="0.25">
      <c r="A83" s="1" t="s">
        <v>87</v>
      </c>
      <c r="H83" s="7">
        <f>IFERROR(INDEX(tblWardConfig[BedComplement],MATCH("BF",tblWardConfig[Export Year-End],0)),0)</f>
        <v>20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  <c r="I85" s="5" t="str">
        <f>IFERROR(IF(SUMIFS(tblDaily[MalariaCases],tblDaily[EntryDate],DATE(2026,3,1),tblDaily[WardCode],"BF")=0,"",SUMIFS(tblDaily[MalariaCases],tblDaily[EntryDate],DATE(2026,3,1),tblDaily[WardCode],"BF")),"")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  <c r="I86" s="5" t="str">
        <f>IFERROR(IF(SUMIFS(tblDaily[MalariaCases],tblDaily[EntryDate],DATE(2026,3,2),tblDaily[WardCode],"BF")=0,"",SUMIFS(tblDaily[MalariaCases],tblDaily[EntryDate],DATE(2026,3,2),tblDaily[WardCode],"BF")),"")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  <c r="I87" s="5" t="str">
        <f>IFERROR(IF(SUMIFS(tblDaily[MalariaCases],tblDaily[EntryDate],DATE(2026,3,3),tblDaily[WardCode],"BF")=0,"",SUMIFS(tblDaily[MalariaCases],tblDaily[EntryDate],DATE(2026,3,3),tblDaily[WardCode],"BF")),"")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  <c r="I88" s="5" t="str">
        <f>IFERROR(IF(SUMIFS(tblDaily[MalariaCases],tblDaily[EntryDate],DATE(2026,3,4),tblDaily[WardCode],"BF")=0,"",SUMIFS(tblDaily[MalariaCases],tblDaily[EntryDate],DATE(2026,3,4),tblDaily[WardCode],"BF")),"")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  <c r="I89" s="5" t="str">
        <f>IFERROR(IF(SUMIFS(tblDaily[MalariaCases],tblDaily[EntryDate],DATE(2026,3,5),tblDaily[WardCode],"BF")=0,"",SUMIFS(tblDaily[MalariaCases],tblDaily[EntryDate],DATE(2026,3,5),tblDaily[WardCode],"BF")),"")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  <c r="I90" s="5" t="str">
        <f>IFERROR(IF(SUMIFS(tblDaily[MalariaCases],tblDaily[EntryDate],DATE(2026,3,6),tblDaily[WardCode],"BF")=0,"",SUMIFS(tblDaily[MalariaCases],tblDaily[EntryDate],DATE(2026,3,6),tblDaily[WardCode],"BF")),"")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  <c r="I91" s="5" t="str">
        <f>IFERROR(IF(SUMIFS(tblDaily[MalariaCases],tblDaily[EntryDate],DATE(2026,3,7),tblDaily[WardCode],"BF")=0,"",SUMIFS(tblDaily[MalariaCases],tblDaily[EntryDate],DATE(2026,3,7),tblDaily[WardCode],"BF")),"")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  <c r="I92" s="5" t="str">
        <f>IFERROR(IF(SUMIFS(tblDaily[MalariaCases],tblDaily[EntryDate],DATE(2026,3,8),tblDaily[WardCode],"BF")=0,"",SUMIFS(tblDaily[MalariaCases],tblDaily[EntryDate],DATE(2026,3,8),tblDaily[WardCode],"BF")),"")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  <c r="I93" s="5" t="str">
        <f>IFERROR(IF(SUMIFS(tblDaily[MalariaCases],tblDaily[EntryDate],DATE(2026,3,9),tblDaily[WardCode],"BF")=0,"",SUMIFS(tblDaily[MalariaCases],tblDaily[EntryDate],DATE(2026,3,9),tblDaily[WardCode],"BF")),"")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  <c r="I94" s="5" t="str">
        <f>IFERROR(IF(SUMIFS(tblDaily[MalariaCases],tblDaily[EntryDate],DATE(2026,3,10),tblDaily[WardCode],"BF")=0,"",SUMIFS(tblDaily[MalariaCases],tblDaily[EntryDate],DATE(2026,3,10),tblDaily[WardCode],"BF")),"")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  <c r="I95" s="5" t="str">
        <f>IFERROR(IF(SUMIFS(tblDaily[MalariaCases],tblDaily[EntryDate],DATE(2026,3,11),tblDaily[WardCode],"BF")=0,"",SUMIFS(tblDaily[MalariaCases],tblDaily[EntryDate],DATE(2026,3,11),tblDaily[WardCode],"BF")),"")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  <c r="I96" s="5" t="str">
        <f>IFERROR(IF(SUMIFS(tblDaily[MalariaCases],tblDaily[EntryDate],DATE(2026,3,12),tblDaily[WardCode],"BF")=0,"",SUMIFS(tblDaily[MalariaCases],tblDaily[EntryDate],DATE(2026,3,12),tblDaily[WardCode],"BF")),"")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  <c r="I97" s="5" t="str">
        <f>IFERROR(IF(SUMIFS(tblDaily[MalariaCases],tblDaily[EntryDate],DATE(2026,3,13),tblDaily[WardCode],"BF")=0,"",SUMIFS(tblDaily[MalariaCases],tblDaily[EntryDate],DATE(2026,3,13),tblDaily[WardCode],"BF")),"")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  <c r="I98" s="5" t="str">
        <f>IFERROR(IF(SUMIFS(tblDaily[MalariaCases],tblDaily[EntryDate],DATE(2026,3,14),tblDaily[WardCode],"BF")=0,"",SUMIFS(tblDaily[MalariaCases],tblDaily[EntryDate],DATE(2026,3,14),tblDaily[WardCode],"BF")),"")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  <c r="I99" s="5" t="str">
        <f>IFERROR(IF(SUMIFS(tblDaily[MalariaCases],tblDaily[EntryDate],DATE(2026,3,15),tblDaily[WardCode],"BF")=0,"",SUMIFS(tblDaily[MalariaCases],tblDaily[EntryDate],DATE(2026,3,15),tblDaily[WardCode],"BF")),"")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  <c r="I100" s="5" t="str">
        <f>IFERROR(IF(SUMIFS(tblDaily[MalariaCases],tblDaily[EntryDate],DATE(2026,3,16),tblDaily[WardCode],"BF")=0,"",SUMIFS(tblDaily[MalariaCases],tblDaily[EntryDate],DATE(2026,3,16),tblDaily[WardCode],"BF")),"")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  <c r="I101" s="5" t="str">
        <f>IFERROR(IF(SUMIFS(tblDaily[MalariaCases],tblDaily[EntryDate],DATE(2026,3,17),tblDaily[WardCode],"BF")=0,"",SUMIFS(tblDaily[MalariaCases],tblDaily[EntryDate],DATE(2026,3,17),tblDaily[WardCode],"BF")),"")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  <c r="I102" s="5" t="str">
        <f>IFERROR(IF(SUMIFS(tblDaily[MalariaCases],tblDaily[EntryDate],DATE(2026,3,18),tblDaily[WardCode],"BF")=0,"",SUMIFS(tblDaily[MalariaCases],tblDaily[EntryDate],DATE(2026,3,18),tblDaily[WardCode],"BF")),"")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  <c r="I103" s="5" t="str">
        <f>IFERROR(IF(SUMIFS(tblDaily[MalariaCases],tblDaily[EntryDate],DATE(2026,3,19),tblDaily[WardCode],"BF")=0,"",SUMIFS(tblDaily[MalariaCases],tblDaily[EntryDate],DATE(2026,3,19),tblDaily[WardCode],"BF")),"")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  <c r="I104" s="5" t="str">
        <f>IFERROR(IF(SUMIFS(tblDaily[MalariaCases],tblDaily[EntryDate],DATE(2026,3,20),tblDaily[WardCode],"BF")=0,"",SUMIFS(tblDaily[MalariaCases],tblDaily[EntryDate],DATE(2026,3,20),tblDaily[WardCode],"BF")),"")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  <c r="I105" s="5" t="str">
        <f>IFERROR(IF(SUMIFS(tblDaily[MalariaCases],tblDaily[EntryDate],DATE(2026,3,21),tblDaily[WardCode],"BF")=0,"",SUMIFS(tblDaily[MalariaCases],tblDaily[EntryDate],DATE(2026,3,21),tblDaily[WardCode],"BF")),"")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  <c r="I106" s="5" t="str">
        <f>IFERROR(IF(SUMIFS(tblDaily[MalariaCases],tblDaily[EntryDate],DATE(2026,3,22),tblDaily[WardCode],"BF")=0,"",SUMIFS(tblDaily[MalariaCases],tblDaily[EntryDate],DATE(2026,3,22),tblDaily[WardCode],"BF")),"")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  <c r="I107" s="5" t="str">
        <f>IFERROR(IF(SUMIFS(tblDaily[MalariaCases],tblDaily[EntryDate],DATE(2026,3,23),tblDaily[WardCode],"BF")=0,"",SUMIFS(tblDaily[MalariaCases],tblDaily[EntryDate],DATE(2026,3,23),tblDaily[WardCode],"BF")),"")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  <c r="I108" s="5" t="str">
        <f>IFERROR(IF(SUMIFS(tblDaily[MalariaCases],tblDaily[EntryDate],DATE(2026,3,24),tblDaily[WardCode],"BF")=0,"",SUMIFS(tblDaily[MalariaCases],tblDaily[EntryDate],DATE(2026,3,24),tblDaily[WardCode],"BF")),"")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  <c r="I109" s="5" t="str">
        <f>IFERROR(IF(SUMIFS(tblDaily[MalariaCases],tblDaily[EntryDate],DATE(2026,3,25),tblDaily[WardCode],"BF")=0,"",SUMIFS(tblDaily[MalariaCases],tblDaily[EntryDate],DATE(2026,3,25),tblDaily[WardCode],"BF")),"")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  <c r="I110" s="5" t="str">
        <f>IFERROR(IF(SUMIFS(tblDaily[MalariaCases],tblDaily[EntryDate],DATE(2026,3,26),tblDaily[WardCode],"BF")=0,"",SUMIFS(tblDaily[MalariaCases],tblDaily[EntryDate],DATE(2026,3,26),tblDaily[WardCode],"BF")),"")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  <c r="I111" s="5" t="str">
        <f>IFERROR(IF(SUMIFS(tblDaily[MalariaCases],tblDaily[EntryDate],DATE(2026,3,27),tblDaily[WardCode],"BF")=0,"",SUMIFS(tblDaily[MalariaCases],tblDaily[EntryDate],DATE(2026,3,27),tblDaily[WardCode],"BF")),"")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  <c r="I112" s="5" t="str">
        <f>IFERROR(IF(SUMIFS(tblDaily[MalariaCases],tblDaily[EntryDate],DATE(2026,3,28),tblDaily[WardCode],"BF")=0,"",SUMIFS(tblDaily[MalariaCases],tblDaily[EntryDate],DATE(2026,3,28),tblDaily[WardCode],"BF")),"")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  <c r="I113" s="5" t="str">
        <f>IFERROR(IF(SUMIFS(tblDaily[MalariaCases],tblDaily[EntryDate],DATE(2026,3,29),tblDaily[WardCode],"BF")=0,"",SUMIFS(tblDaily[MalariaCases],tblDaily[EntryDate],DATE(2026,3,29),tblDaily[WardCode],"BF")),"")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  <c r="I114" s="5" t="str">
        <f>IFERROR(IF(SUMIFS(tblDaily[MalariaCases],tblDaily[EntryDate],DATE(2026,3,30),tblDaily[WardCode],"BF")=0,"",SUMIFS(tblDaily[MalariaCases],tblDaily[EntryDate],DATE(2026,3,30),tblDaily[WardCode],"BF")),"")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  <c r="I115" s="5" t="str">
        <f>IFERROR(IF(SUMIFS(tblDaily[MalariaCases],tblDaily[EntryDate],DATE(2026,3,31),tblDaily[WardCode],"BF")=0,"",SUMIFS(tblDaily[MalariaCases],tblDaily[EntryDate],DATE(2026,3,31),tblDaily[WardCode],"BF")),"")</f>
        <v/>
      </c>
    </row>
    <row r="116" spans="1:9" x14ac:dyDescent="0.25">
      <c r="A116" s="9" t="s">
        <v>94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97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IFERROR(SUMIFS(tblDaily[Remaining],tblDaily[EntryDate],DATE(2026,3,31),tblDaily[WardCode],"BF"),0)</f>
        <v>0</v>
      </c>
    </row>
    <row r="122" spans="1:9" x14ac:dyDescent="0.25">
      <c r="A122" s="1" t="s">
        <v>87</v>
      </c>
      <c r="H122" s="7">
        <f>IFERROR(INDEX(tblWardConfig[BedComplement],MATCH("BF",tblWardConfig[Export Year-End],0)),0)</f>
        <v>20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  <c r="I124" s="5" t="str">
        <f>IFERROR(IF(SUMIFS(tblDaily[MalariaCases],tblDaily[EntryDate],DATE(2026,4,1),tblDaily[WardCode],"BF")=0,"",SUMIFS(tblDaily[MalariaCases],tblDaily[EntryDate],DATE(2026,4,1),tblDaily[WardCode],"BF")),"")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  <c r="I125" s="5" t="str">
        <f>IFERROR(IF(SUMIFS(tblDaily[MalariaCases],tblDaily[EntryDate],DATE(2026,4,2),tblDaily[WardCode],"BF")=0,"",SUMIFS(tblDaily[MalariaCases],tblDaily[EntryDate],DATE(2026,4,2),tblDaily[WardCode],"BF")),"")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  <c r="I126" s="5" t="str">
        <f>IFERROR(IF(SUMIFS(tblDaily[MalariaCases],tblDaily[EntryDate],DATE(2026,4,3),tblDaily[WardCode],"BF")=0,"",SUMIFS(tblDaily[MalariaCases],tblDaily[EntryDate],DATE(2026,4,3),tblDaily[WardCode],"BF")),"")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  <c r="I127" s="5" t="str">
        <f>IFERROR(IF(SUMIFS(tblDaily[MalariaCases],tblDaily[EntryDate],DATE(2026,4,4),tblDaily[WardCode],"BF")=0,"",SUMIFS(tblDaily[MalariaCases],tblDaily[EntryDate],DATE(2026,4,4),tblDaily[WardCode],"BF")),"")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  <c r="I128" s="5" t="str">
        <f>IFERROR(IF(SUMIFS(tblDaily[MalariaCases],tblDaily[EntryDate],DATE(2026,4,5),tblDaily[WardCode],"BF")=0,"",SUMIFS(tblDaily[MalariaCases],tblDaily[EntryDate],DATE(2026,4,5),tblDaily[WardCode],"BF")),"")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  <c r="I129" s="5" t="str">
        <f>IFERROR(IF(SUMIFS(tblDaily[MalariaCases],tblDaily[EntryDate],DATE(2026,4,6),tblDaily[WardCode],"BF")=0,"",SUMIFS(tblDaily[MalariaCases],tblDaily[EntryDate],DATE(2026,4,6),tblDaily[WardCode],"BF")),"")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  <c r="I130" s="5" t="str">
        <f>IFERROR(IF(SUMIFS(tblDaily[MalariaCases],tblDaily[EntryDate],DATE(2026,4,7),tblDaily[WardCode],"BF")=0,"",SUMIFS(tblDaily[MalariaCases],tblDaily[EntryDate],DATE(2026,4,7),tblDaily[WardCode],"BF")),"")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  <c r="I131" s="5" t="str">
        <f>IFERROR(IF(SUMIFS(tblDaily[MalariaCases],tblDaily[EntryDate],DATE(2026,4,8),tblDaily[WardCode],"BF")=0,"",SUMIFS(tblDaily[MalariaCases],tblDaily[EntryDate],DATE(2026,4,8),tblDaily[WardCode],"BF")),"")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  <c r="I132" s="5" t="str">
        <f>IFERROR(IF(SUMIFS(tblDaily[MalariaCases],tblDaily[EntryDate],DATE(2026,4,9),tblDaily[WardCode],"BF")=0,"",SUMIFS(tblDaily[MalariaCases],tblDaily[EntryDate],DATE(2026,4,9),tblDaily[WardCode],"BF")),"")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  <c r="I133" s="5" t="str">
        <f>IFERROR(IF(SUMIFS(tblDaily[MalariaCases],tblDaily[EntryDate],DATE(2026,4,10),tblDaily[WardCode],"BF")=0,"",SUMIFS(tblDaily[MalariaCases],tblDaily[EntryDate],DATE(2026,4,10),tblDaily[WardCode],"BF")),"")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  <c r="I134" s="5" t="str">
        <f>IFERROR(IF(SUMIFS(tblDaily[MalariaCases],tblDaily[EntryDate],DATE(2026,4,11),tblDaily[WardCode],"BF")=0,"",SUMIFS(tblDaily[MalariaCases],tblDaily[EntryDate],DATE(2026,4,11),tblDaily[WardCode],"BF")),"")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  <c r="I135" s="5" t="str">
        <f>IFERROR(IF(SUMIFS(tblDaily[MalariaCases],tblDaily[EntryDate],DATE(2026,4,12),tblDaily[WardCode],"BF")=0,"",SUMIFS(tblDaily[MalariaCases],tblDaily[EntryDate],DATE(2026,4,12),tblDaily[WardCode],"BF")),"")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  <c r="I136" s="5" t="str">
        <f>IFERROR(IF(SUMIFS(tblDaily[MalariaCases],tblDaily[EntryDate],DATE(2026,4,13),tblDaily[WardCode],"BF")=0,"",SUMIFS(tblDaily[MalariaCases],tblDaily[EntryDate],DATE(2026,4,13),tblDaily[WardCode],"BF")),"")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  <c r="I137" s="5" t="str">
        <f>IFERROR(IF(SUMIFS(tblDaily[MalariaCases],tblDaily[EntryDate],DATE(2026,4,14),tblDaily[WardCode],"BF")=0,"",SUMIFS(tblDaily[MalariaCases],tblDaily[EntryDate],DATE(2026,4,14),tblDaily[WardCode],"BF")),"")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  <c r="I138" s="5" t="str">
        <f>IFERROR(IF(SUMIFS(tblDaily[MalariaCases],tblDaily[EntryDate],DATE(2026,4,15),tblDaily[WardCode],"BF")=0,"",SUMIFS(tblDaily[MalariaCases],tblDaily[EntryDate],DATE(2026,4,15),tblDaily[WardCode],"BF")),"")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  <c r="I139" s="5" t="str">
        <f>IFERROR(IF(SUMIFS(tblDaily[MalariaCases],tblDaily[EntryDate],DATE(2026,4,16),tblDaily[WardCode],"BF")=0,"",SUMIFS(tblDaily[MalariaCases],tblDaily[EntryDate],DATE(2026,4,16),tblDaily[WardCode],"BF")),"")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  <c r="I140" s="5" t="str">
        <f>IFERROR(IF(SUMIFS(tblDaily[MalariaCases],tblDaily[EntryDate],DATE(2026,4,17),tblDaily[WardCode],"BF")=0,"",SUMIFS(tblDaily[MalariaCases],tblDaily[EntryDate],DATE(2026,4,17),tblDaily[WardCode],"BF")),"")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  <c r="I141" s="5" t="str">
        <f>IFERROR(IF(SUMIFS(tblDaily[MalariaCases],tblDaily[EntryDate],DATE(2026,4,18),tblDaily[WardCode],"BF")=0,"",SUMIFS(tblDaily[MalariaCases],tblDaily[EntryDate],DATE(2026,4,18),tblDaily[WardCode],"BF")),"")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  <c r="I142" s="5" t="str">
        <f>IFERROR(IF(SUMIFS(tblDaily[MalariaCases],tblDaily[EntryDate],DATE(2026,4,19),tblDaily[WardCode],"BF")=0,"",SUMIFS(tblDaily[MalariaCases],tblDaily[EntryDate],DATE(2026,4,19),tblDaily[WardCode],"BF")),"")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  <c r="I143" s="5" t="str">
        <f>IFERROR(IF(SUMIFS(tblDaily[MalariaCases],tblDaily[EntryDate],DATE(2026,4,20),tblDaily[WardCode],"BF")=0,"",SUMIFS(tblDaily[MalariaCases],tblDaily[EntryDate],DATE(2026,4,20),tblDaily[WardCode],"BF")),"")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  <c r="I144" s="5" t="str">
        <f>IFERROR(IF(SUMIFS(tblDaily[MalariaCases],tblDaily[EntryDate],DATE(2026,4,21),tblDaily[WardCode],"BF")=0,"",SUMIFS(tblDaily[MalariaCases],tblDaily[EntryDate],DATE(2026,4,21),tblDaily[WardCode],"BF")),"")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  <c r="I145" s="5" t="str">
        <f>IFERROR(IF(SUMIFS(tblDaily[MalariaCases],tblDaily[EntryDate],DATE(2026,4,22),tblDaily[WardCode],"BF")=0,"",SUMIFS(tblDaily[MalariaCases],tblDaily[EntryDate],DATE(2026,4,22),tblDaily[WardCode],"BF")),"")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  <c r="I146" s="5" t="str">
        <f>IFERROR(IF(SUMIFS(tblDaily[MalariaCases],tblDaily[EntryDate],DATE(2026,4,23),tblDaily[WardCode],"BF")=0,"",SUMIFS(tblDaily[MalariaCases],tblDaily[EntryDate],DATE(2026,4,23),tblDaily[WardCode],"BF")),"")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  <c r="I147" s="5" t="str">
        <f>IFERROR(IF(SUMIFS(tblDaily[MalariaCases],tblDaily[EntryDate],DATE(2026,4,24),tblDaily[WardCode],"BF")=0,"",SUMIFS(tblDaily[MalariaCases],tblDaily[EntryDate],DATE(2026,4,24),tblDaily[WardCode],"BF")),"")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  <c r="I148" s="5" t="str">
        <f>IFERROR(IF(SUMIFS(tblDaily[MalariaCases],tblDaily[EntryDate],DATE(2026,4,25),tblDaily[WardCode],"BF")=0,"",SUMIFS(tblDaily[MalariaCases],tblDaily[EntryDate],DATE(2026,4,25),tblDaily[WardCode],"BF")),"")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  <c r="I149" s="5" t="str">
        <f>IFERROR(IF(SUMIFS(tblDaily[MalariaCases],tblDaily[EntryDate],DATE(2026,4,26),tblDaily[WardCode],"BF")=0,"",SUMIFS(tblDaily[MalariaCases],tblDaily[EntryDate],DATE(2026,4,26),tblDaily[WardCode],"BF")),"")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  <c r="I150" s="5" t="str">
        <f>IFERROR(IF(SUMIFS(tblDaily[MalariaCases],tblDaily[EntryDate],DATE(2026,4,27),tblDaily[WardCode],"BF")=0,"",SUMIFS(tblDaily[MalariaCases],tblDaily[EntryDate],DATE(2026,4,27),tblDaily[WardCode],"BF")),"")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  <c r="I151" s="5" t="str">
        <f>IFERROR(IF(SUMIFS(tblDaily[MalariaCases],tblDaily[EntryDate],DATE(2026,4,28),tblDaily[WardCode],"BF")=0,"",SUMIFS(tblDaily[MalariaCases],tblDaily[EntryDate],DATE(2026,4,28),tblDaily[WardCode],"BF")),"")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  <c r="I152" s="5" t="str">
        <f>IFERROR(IF(SUMIFS(tblDaily[MalariaCases],tblDaily[EntryDate],DATE(2026,4,29),tblDaily[WardCode],"BF")=0,"",SUMIFS(tblDaily[MalariaCases],tblDaily[EntryDate],DATE(2026,4,29),tblDaily[WardCode],"BF")),"")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  <c r="I153" s="5" t="str">
        <f>IFERROR(IF(SUMIFS(tblDaily[MalariaCases],tblDaily[EntryDate],DATE(2026,4,30),tblDaily[WardCode],"BF")=0,"",SUMIFS(tblDaily[MalariaCases],tblDaily[EntryDate],DATE(2026,4,30),tblDaily[WardCode],"BF")),"")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97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IFERROR(SUMIFS(tblDaily[Remaining],tblDaily[EntryDate],DATE(2026,4,30),tblDaily[WardCode],"BF"),0)</f>
        <v>0</v>
      </c>
    </row>
    <row r="161" spans="1:9" x14ac:dyDescent="0.25">
      <c r="A161" s="1" t="s">
        <v>87</v>
      </c>
      <c r="H161" s="7">
        <f>IFERROR(INDEX(tblWardConfig[BedComplement],MATCH("BF",tblWardConfig[Export Year-End],0)),0)</f>
        <v>20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  <c r="I163" s="5" t="str">
        <f>IFERROR(IF(SUMIFS(tblDaily[MalariaCases],tblDaily[EntryDate],DATE(2026,5,1),tblDaily[WardCode],"BF")=0,"",SUMIFS(tblDaily[MalariaCases],tblDaily[EntryDate],DATE(2026,5,1),tblDaily[WardCode],"BF")),"")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  <c r="I164" s="5" t="str">
        <f>IFERROR(IF(SUMIFS(tblDaily[MalariaCases],tblDaily[EntryDate],DATE(2026,5,2),tblDaily[WardCode],"BF")=0,"",SUMIFS(tblDaily[MalariaCases],tblDaily[EntryDate],DATE(2026,5,2),tblDaily[WardCode],"BF")),"")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  <c r="I165" s="5" t="str">
        <f>IFERROR(IF(SUMIFS(tblDaily[MalariaCases],tblDaily[EntryDate],DATE(2026,5,3),tblDaily[WardCode],"BF")=0,"",SUMIFS(tblDaily[MalariaCases],tblDaily[EntryDate],DATE(2026,5,3),tblDaily[WardCode],"BF")),"")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  <c r="I166" s="5" t="str">
        <f>IFERROR(IF(SUMIFS(tblDaily[MalariaCases],tblDaily[EntryDate],DATE(2026,5,4),tblDaily[WardCode],"BF")=0,"",SUMIFS(tblDaily[MalariaCases],tblDaily[EntryDate],DATE(2026,5,4),tblDaily[WardCode],"BF")),"")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  <c r="I167" s="5" t="str">
        <f>IFERROR(IF(SUMIFS(tblDaily[MalariaCases],tblDaily[EntryDate],DATE(2026,5,5),tblDaily[WardCode],"BF")=0,"",SUMIFS(tblDaily[MalariaCases],tblDaily[EntryDate],DATE(2026,5,5),tblDaily[WardCode],"BF")),"")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  <c r="I168" s="5" t="str">
        <f>IFERROR(IF(SUMIFS(tblDaily[MalariaCases],tblDaily[EntryDate],DATE(2026,5,6),tblDaily[WardCode],"BF")=0,"",SUMIFS(tblDaily[MalariaCases],tblDaily[EntryDate],DATE(2026,5,6),tblDaily[WardCode],"BF")),"")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  <c r="I169" s="5" t="str">
        <f>IFERROR(IF(SUMIFS(tblDaily[MalariaCases],tblDaily[EntryDate],DATE(2026,5,7),tblDaily[WardCode],"BF")=0,"",SUMIFS(tblDaily[MalariaCases],tblDaily[EntryDate],DATE(2026,5,7),tblDaily[WardCode],"BF")),"")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  <c r="I170" s="5" t="str">
        <f>IFERROR(IF(SUMIFS(tblDaily[MalariaCases],tblDaily[EntryDate],DATE(2026,5,8),tblDaily[WardCode],"BF")=0,"",SUMIFS(tblDaily[MalariaCases],tblDaily[EntryDate],DATE(2026,5,8),tblDaily[WardCode],"BF")),"")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  <c r="I171" s="5" t="str">
        <f>IFERROR(IF(SUMIFS(tblDaily[MalariaCases],tblDaily[EntryDate],DATE(2026,5,9),tblDaily[WardCode],"BF")=0,"",SUMIFS(tblDaily[MalariaCases],tblDaily[EntryDate],DATE(2026,5,9),tblDaily[WardCode],"BF")),"")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  <c r="I172" s="5" t="str">
        <f>IFERROR(IF(SUMIFS(tblDaily[MalariaCases],tblDaily[EntryDate],DATE(2026,5,10),tblDaily[WardCode],"BF")=0,"",SUMIFS(tblDaily[MalariaCases],tblDaily[EntryDate],DATE(2026,5,10),tblDaily[WardCode],"BF")),"")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  <c r="I173" s="5" t="str">
        <f>IFERROR(IF(SUMIFS(tblDaily[MalariaCases],tblDaily[EntryDate],DATE(2026,5,11),tblDaily[WardCode],"BF")=0,"",SUMIFS(tblDaily[MalariaCases],tblDaily[EntryDate],DATE(2026,5,11),tblDaily[WardCode],"BF")),"")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  <c r="I174" s="5" t="str">
        <f>IFERROR(IF(SUMIFS(tblDaily[MalariaCases],tblDaily[EntryDate],DATE(2026,5,12),tblDaily[WardCode],"BF")=0,"",SUMIFS(tblDaily[MalariaCases],tblDaily[EntryDate],DATE(2026,5,12),tblDaily[WardCode],"BF")),"")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  <c r="I175" s="5" t="str">
        <f>IFERROR(IF(SUMIFS(tblDaily[MalariaCases],tblDaily[EntryDate],DATE(2026,5,13),tblDaily[WardCode],"BF")=0,"",SUMIFS(tblDaily[MalariaCases],tblDaily[EntryDate],DATE(2026,5,13),tblDaily[WardCode],"BF")),"")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  <c r="I176" s="5" t="str">
        <f>IFERROR(IF(SUMIFS(tblDaily[MalariaCases],tblDaily[EntryDate],DATE(2026,5,14),tblDaily[WardCode],"BF")=0,"",SUMIFS(tblDaily[MalariaCases],tblDaily[EntryDate],DATE(2026,5,14),tblDaily[WardCode],"BF")),"")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  <c r="I177" s="5" t="str">
        <f>IFERROR(IF(SUMIFS(tblDaily[MalariaCases],tblDaily[EntryDate],DATE(2026,5,15),tblDaily[WardCode],"BF")=0,"",SUMIFS(tblDaily[MalariaCases],tblDaily[EntryDate],DATE(2026,5,15),tblDaily[WardCode],"BF")),"")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  <c r="I178" s="5" t="str">
        <f>IFERROR(IF(SUMIFS(tblDaily[MalariaCases],tblDaily[EntryDate],DATE(2026,5,16),tblDaily[WardCode],"BF")=0,"",SUMIFS(tblDaily[MalariaCases],tblDaily[EntryDate],DATE(2026,5,16),tblDaily[WardCode],"BF")),"")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  <c r="I179" s="5" t="str">
        <f>IFERROR(IF(SUMIFS(tblDaily[MalariaCases],tblDaily[EntryDate],DATE(2026,5,17),tblDaily[WardCode],"BF")=0,"",SUMIFS(tblDaily[MalariaCases],tblDaily[EntryDate],DATE(2026,5,17),tblDaily[WardCode],"BF")),"")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  <c r="I180" s="5" t="str">
        <f>IFERROR(IF(SUMIFS(tblDaily[MalariaCases],tblDaily[EntryDate],DATE(2026,5,18),tblDaily[WardCode],"BF")=0,"",SUMIFS(tblDaily[MalariaCases],tblDaily[EntryDate],DATE(2026,5,18),tblDaily[WardCode],"BF")),"")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  <c r="I181" s="5" t="str">
        <f>IFERROR(IF(SUMIFS(tblDaily[MalariaCases],tblDaily[EntryDate],DATE(2026,5,19),tblDaily[WardCode],"BF")=0,"",SUMIFS(tblDaily[MalariaCases],tblDaily[EntryDate],DATE(2026,5,19),tblDaily[WardCode],"BF")),"")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  <c r="I182" s="5" t="str">
        <f>IFERROR(IF(SUMIFS(tblDaily[MalariaCases],tblDaily[EntryDate],DATE(2026,5,20),tblDaily[WardCode],"BF")=0,"",SUMIFS(tblDaily[MalariaCases],tblDaily[EntryDate],DATE(2026,5,20),tblDaily[WardCode],"BF")),"")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  <c r="I183" s="5" t="str">
        <f>IFERROR(IF(SUMIFS(tblDaily[MalariaCases],tblDaily[EntryDate],DATE(2026,5,21),tblDaily[WardCode],"BF")=0,"",SUMIFS(tblDaily[MalariaCases],tblDaily[EntryDate],DATE(2026,5,21),tblDaily[WardCode],"BF")),"")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  <c r="I184" s="5" t="str">
        <f>IFERROR(IF(SUMIFS(tblDaily[MalariaCases],tblDaily[EntryDate],DATE(2026,5,22),tblDaily[WardCode],"BF")=0,"",SUMIFS(tblDaily[MalariaCases],tblDaily[EntryDate],DATE(2026,5,22),tblDaily[WardCode],"BF")),"")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  <c r="I185" s="5" t="str">
        <f>IFERROR(IF(SUMIFS(tblDaily[MalariaCases],tblDaily[EntryDate],DATE(2026,5,23),tblDaily[WardCode],"BF")=0,"",SUMIFS(tblDaily[MalariaCases],tblDaily[EntryDate],DATE(2026,5,23),tblDaily[WardCode],"BF")),"")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  <c r="I186" s="5" t="str">
        <f>IFERROR(IF(SUMIFS(tblDaily[MalariaCases],tblDaily[EntryDate],DATE(2026,5,24),tblDaily[WardCode],"BF")=0,"",SUMIFS(tblDaily[MalariaCases],tblDaily[EntryDate],DATE(2026,5,24),tblDaily[WardCode],"BF")),"")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  <c r="I187" s="5" t="str">
        <f>IFERROR(IF(SUMIFS(tblDaily[MalariaCases],tblDaily[EntryDate],DATE(2026,5,25),tblDaily[WardCode],"BF")=0,"",SUMIFS(tblDaily[MalariaCases],tblDaily[EntryDate],DATE(2026,5,25),tblDaily[WardCode],"BF")),"")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  <c r="I188" s="5" t="str">
        <f>IFERROR(IF(SUMIFS(tblDaily[MalariaCases],tblDaily[EntryDate],DATE(2026,5,26),tblDaily[WardCode],"BF")=0,"",SUMIFS(tblDaily[MalariaCases],tblDaily[EntryDate],DATE(2026,5,26),tblDaily[WardCode],"BF")),"")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  <c r="I189" s="5" t="str">
        <f>IFERROR(IF(SUMIFS(tblDaily[MalariaCases],tblDaily[EntryDate],DATE(2026,5,27),tblDaily[WardCode],"BF")=0,"",SUMIFS(tblDaily[MalariaCases],tblDaily[EntryDate],DATE(2026,5,27),tblDaily[WardCode],"BF")),"")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  <c r="I190" s="5" t="str">
        <f>IFERROR(IF(SUMIFS(tblDaily[MalariaCases],tblDaily[EntryDate],DATE(2026,5,28),tblDaily[WardCode],"BF")=0,"",SUMIFS(tblDaily[MalariaCases],tblDaily[EntryDate],DATE(2026,5,28),tblDaily[WardCode],"BF")),"")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  <c r="I191" s="5" t="str">
        <f>IFERROR(IF(SUMIFS(tblDaily[MalariaCases],tblDaily[EntryDate],DATE(2026,5,29),tblDaily[WardCode],"BF")=0,"",SUMIFS(tblDaily[MalariaCases],tblDaily[EntryDate],DATE(2026,5,29),tblDaily[WardCode],"BF")),"")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  <c r="I192" s="5" t="str">
        <f>IFERROR(IF(SUMIFS(tblDaily[MalariaCases],tblDaily[EntryDate],DATE(2026,5,30),tblDaily[WardCode],"BF")=0,"",SUMIFS(tblDaily[MalariaCases],tblDaily[EntryDate],DATE(2026,5,30),tblDaily[WardCode],"BF")),"")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  <c r="I193" s="5" t="str">
        <f>IFERROR(IF(SUMIFS(tblDaily[MalariaCases],tblDaily[EntryDate],DATE(2026,5,31),tblDaily[WardCode],"BF")=0,"",SUMIFS(tblDaily[MalariaCases],tblDaily[EntryDate],DATE(2026,5,31),tblDaily[WardCode],"BF")),"")</f>
        <v/>
      </c>
    </row>
    <row r="194" spans="1:9" x14ac:dyDescent="0.25">
      <c r="A194" s="9" t="s">
        <v>94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97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IFERROR(SUMIFS(tblDaily[Remaining],tblDaily[EntryDate],DATE(2026,5,31),tblDaily[WardCode],"BF"),0)</f>
        <v>0</v>
      </c>
    </row>
    <row r="200" spans="1:9" x14ac:dyDescent="0.25">
      <c r="A200" s="1" t="s">
        <v>87</v>
      </c>
      <c r="H200" s="7">
        <f>IFERROR(INDEX(tblWardConfig[BedComplement],MATCH("BF",tblWardConfig[Export Year-End],0)),0)</f>
        <v>20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  <c r="I202" s="5" t="str">
        <f>IFERROR(IF(SUMIFS(tblDaily[MalariaCases],tblDaily[EntryDate],DATE(2026,6,1),tblDaily[WardCode],"BF")=0,"",SUMIFS(tblDaily[MalariaCases],tblDaily[EntryDate],DATE(2026,6,1),tblDaily[WardCode],"BF")),"")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  <c r="I203" s="5" t="str">
        <f>IFERROR(IF(SUMIFS(tblDaily[MalariaCases],tblDaily[EntryDate],DATE(2026,6,2),tblDaily[WardCode],"BF")=0,"",SUMIFS(tblDaily[MalariaCases],tblDaily[EntryDate],DATE(2026,6,2),tblDaily[WardCode],"BF")),"")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  <c r="I204" s="5" t="str">
        <f>IFERROR(IF(SUMIFS(tblDaily[MalariaCases],tblDaily[EntryDate],DATE(2026,6,3),tblDaily[WardCode],"BF")=0,"",SUMIFS(tblDaily[MalariaCases],tblDaily[EntryDate],DATE(2026,6,3),tblDaily[WardCode],"BF")),"")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  <c r="I205" s="5" t="str">
        <f>IFERROR(IF(SUMIFS(tblDaily[MalariaCases],tblDaily[EntryDate],DATE(2026,6,4),tblDaily[WardCode],"BF")=0,"",SUMIFS(tblDaily[MalariaCases],tblDaily[EntryDate],DATE(2026,6,4),tblDaily[WardCode],"BF")),"")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  <c r="I206" s="5" t="str">
        <f>IFERROR(IF(SUMIFS(tblDaily[MalariaCases],tblDaily[EntryDate],DATE(2026,6,5),tblDaily[WardCode],"BF")=0,"",SUMIFS(tblDaily[MalariaCases],tblDaily[EntryDate],DATE(2026,6,5),tblDaily[WardCode],"BF")),"")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  <c r="I207" s="5" t="str">
        <f>IFERROR(IF(SUMIFS(tblDaily[MalariaCases],tblDaily[EntryDate],DATE(2026,6,6),tblDaily[WardCode],"BF")=0,"",SUMIFS(tblDaily[MalariaCases],tblDaily[EntryDate],DATE(2026,6,6),tblDaily[WardCode],"BF")),"")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  <c r="I208" s="5" t="str">
        <f>IFERROR(IF(SUMIFS(tblDaily[MalariaCases],tblDaily[EntryDate],DATE(2026,6,7),tblDaily[WardCode],"BF")=0,"",SUMIFS(tblDaily[MalariaCases],tblDaily[EntryDate],DATE(2026,6,7),tblDaily[WardCode],"BF")),"")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  <c r="I209" s="5" t="str">
        <f>IFERROR(IF(SUMIFS(tblDaily[MalariaCases],tblDaily[EntryDate],DATE(2026,6,8),tblDaily[WardCode],"BF")=0,"",SUMIFS(tblDaily[MalariaCases],tblDaily[EntryDate],DATE(2026,6,8),tblDaily[WardCode],"BF")),"")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  <c r="I210" s="5" t="str">
        <f>IFERROR(IF(SUMIFS(tblDaily[MalariaCases],tblDaily[EntryDate],DATE(2026,6,9),tblDaily[WardCode],"BF")=0,"",SUMIFS(tblDaily[MalariaCases],tblDaily[EntryDate],DATE(2026,6,9),tblDaily[WardCode],"BF")),"")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  <c r="I211" s="5" t="str">
        <f>IFERROR(IF(SUMIFS(tblDaily[MalariaCases],tblDaily[EntryDate],DATE(2026,6,10),tblDaily[WardCode],"BF")=0,"",SUMIFS(tblDaily[MalariaCases],tblDaily[EntryDate],DATE(2026,6,10),tblDaily[WardCode],"BF")),"")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  <c r="I212" s="5" t="str">
        <f>IFERROR(IF(SUMIFS(tblDaily[MalariaCases],tblDaily[EntryDate],DATE(2026,6,11),tblDaily[WardCode],"BF")=0,"",SUMIFS(tblDaily[MalariaCases],tblDaily[EntryDate],DATE(2026,6,11),tblDaily[WardCode],"BF")),"")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  <c r="I213" s="5" t="str">
        <f>IFERROR(IF(SUMIFS(tblDaily[MalariaCases],tblDaily[EntryDate],DATE(2026,6,12),tblDaily[WardCode],"BF")=0,"",SUMIFS(tblDaily[MalariaCases],tblDaily[EntryDate],DATE(2026,6,12),tblDaily[WardCode],"BF")),"")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  <c r="I214" s="5" t="str">
        <f>IFERROR(IF(SUMIFS(tblDaily[MalariaCases],tblDaily[EntryDate],DATE(2026,6,13),tblDaily[WardCode],"BF")=0,"",SUMIFS(tblDaily[MalariaCases],tblDaily[EntryDate],DATE(2026,6,13),tblDaily[WardCode],"BF")),"")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  <c r="I215" s="5" t="str">
        <f>IFERROR(IF(SUMIFS(tblDaily[MalariaCases],tblDaily[EntryDate],DATE(2026,6,14),tblDaily[WardCode],"BF")=0,"",SUMIFS(tblDaily[MalariaCases],tblDaily[EntryDate],DATE(2026,6,14),tblDaily[WardCode],"BF")),"")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  <c r="I216" s="5" t="str">
        <f>IFERROR(IF(SUMIFS(tblDaily[MalariaCases],tblDaily[EntryDate],DATE(2026,6,15),tblDaily[WardCode],"BF")=0,"",SUMIFS(tblDaily[MalariaCases],tblDaily[EntryDate],DATE(2026,6,15),tblDaily[WardCode],"BF")),"")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  <c r="I217" s="5" t="str">
        <f>IFERROR(IF(SUMIFS(tblDaily[MalariaCases],tblDaily[EntryDate],DATE(2026,6,16),tblDaily[WardCode],"BF")=0,"",SUMIFS(tblDaily[MalariaCases],tblDaily[EntryDate],DATE(2026,6,16),tblDaily[WardCode],"BF")),"")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  <c r="I218" s="5" t="str">
        <f>IFERROR(IF(SUMIFS(tblDaily[MalariaCases],tblDaily[EntryDate],DATE(2026,6,17),tblDaily[WardCode],"BF")=0,"",SUMIFS(tblDaily[MalariaCases],tblDaily[EntryDate],DATE(2026,6,17),tblDaily[WardCode],"BF")),"")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  <c r="I219" s="5" t="str">
        <f>IFERROR(IF(SUMIFS(tblDaily[MalariaCases],tblDaily[EntryDate],DATE(2026,6,18),tblDaily[WardCode],"BF")=0,"",SUMIFS(tblDaily[MalariaCases],tblDaily[EntryDate],DATE(2026,6,18),tblDaily[WardCode],"BF")),"")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  <c r="I220" s="5" t="str">
        <f>IFERROR(IF(SUMIFS(tblDaily[MalariaCases],tblDaily[EntryDate],DATE(2026,6,19),tblDaily[WardCode],"BF")=0,"",SUMIFS(tblDaily[MalariaCases],tblDaily[EntryDate],DATE(2026,6,19),tblDaily[WardCode],"BF")),"")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  <c r="I221" s="5" t="str">
        <f>IFERROR(IF(SUMIFS(tblDaily[MalariaCases],tblDaily[EntryDate],DATE(2026,6,20),tblDaily[WardCode],"BF")=0,"",SUMIFS(tblDaily[MalariaCases],tblDaily[EntryDate],DATE(2026,6,20),tblDaily[WardCode],"BF")),"")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  <c r="I222" s="5" t="str">
        <f>IFERROR(IF(SUMIFS(tblDaily[MalariaCases],tblDaily[EntryDate],DATE(2026,6,21),tblDaily[WardCode],"BF")=0,"",SUMIFS(tblDaily[MalariaCases],tblDaily[EntryDate],DATE(2026,6,21),tblDaily[WardCode],"BF")),"")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  <c r="I223" s="5" t="str">
        <f>IFERROR(IF(SUMIFS(tblDaily[MalariaCases],tblDaily[EntryDate],DATE(2026,6,22),tblDaily[WardCode],"BF")=0,"",SUMIFS(tblDaily[MalariaCases],tblDaily[EntryDate],DATE(2026,6,22),tblDaily[WardCode],"BF")),"")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  <c r="I224" s="5" t="str">
        <f>IFERROR(IF(SUMIFS(tblDaily[MalariaCases],tblDaily[EntryDate],DATE(2026,6,23),tblDaily[WardCode],"BF")=0,"",SUMIFS(tblDaily[MalariaCases],tblDaily[EntryDate],DATE(2026,6,23),tblDaily[WardCode],"BF")),"")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  <c r="I225" s="5" t="str">
        <f>IFERROR(IF(SUMIFS(tblDaily[MalariaCases],tblDaily[EntryDate],DATE(2026,6,24),tblDaily[WardCode],"BF")=0,"",SUMIFS(tblDaily[MalariaCases],tblDaily[EntryDate],DATE(2026,6,24),tblDaily[WardCode],"BF")),"")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  <c r="I226" s="5" t="str">
        <f>IFERROR(IF(SUMIFS(tblDaily[MalariaCases],tblDaily[EntryDate],DATE(2026,6,25),tblDaily[WardCode],"BF")=0,"",SUMIFS(tblDaily[MalariaCases],tblDaily[EntryDate],DATE(2026,6,25),tblDaily[WardCode],"BF")),"")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  <c r="I227" s="5" t="str">
        <f>IFERROR(IF(SUMIFS(tblDaily[MalariaCases],tblDaily[EntryDate],DATE(2026,6,26),tblDaily[WardCode],"BF")=0,"",SUMIFS(tblDaily[MalariaCases],tblDaily[EntryDate],DATE(2026,6,26),tblDaily[WardCode],"BF")),"")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  <c r="I228" s="5" t="str">
        <f>IFERROR(IF(SUMIFS(tblDaily[MalariaCases],tblDaily[EntryDate],DATE(2026,6,27),tblDaily[WardCode],"BF")=0,"",SUMIFS(tblDaily[MalariaCases],tblDaily[EntryDate],DATE(2026,6,27),tblDaily[WardCode],"BF")),"")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  <c r="I229" s="5" t="str">
        <f>IFERROR(IF(SUMIFS(tblDaily[MalariaCases],tblDaily[EntryDate],DATE(2026,6,28),tblDaily[WardCode],"BF")=0,"",SUMIFS(tblDaily[MalariaCases],tblDaily[EntryDate],DATE(2026,6,28),tblDaily[WardCode],"BF")),"")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  <c r="I230" s="5" t="str">
        <f>IFERROR(IF(SUMIFS(tblDaily[MalariaCases],tblDaily[EntryDate],DATE(2026,6,29),tblDaily[WardCode],"BF")=0,"",SUMIFS(tblDaily[MalariaCases],tblDaily[EntryDate],DATE(2026,6,29),tblDaily[WardCode],"BF")),"")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  <c r="I231" s="5" t="str">
        <f>IFERROR(IF(SUMIFS(tblDaily[MalariaCases],tblDaily[EntryDate],DATE(2026,6,30),tblDaily[WardCode],"BF")=0,"",SUMIFS(tblDaily[MalariaCases],tblDaily[EntryDate],DATE(2026,6,30),tblDaily[WardCode],"BF")),"")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97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IFERROR(SUMIFS(tblDaily[Remaining],tblDaily[EntryDate],DATE(2026,6,30),tblDaily[WardCode],"BF"),0)</f>
        <v>0</v>
      </c>
    </row>
    <row r="239" spans="1:9" x14ac:dyDescent="0.25">
      <c r="A239" s="1" t="s">
        <v>87</v>
      </c>
      <c r="H239" s="7">
        <f>IFERROR(INDEX(tblWardConfig[BedComplement],MATCH("BF",tblWardConfig[Export Year-End],0)),0)</f>
        <v>20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  <c r="I241" s="5" t="str">
        <f>IFERROR(IF(SUMIFS(tblDaily[MalariaCases],tblDaily[EntryDate],DATE(2026,7,1),tblDaily[WardCode],"BF")=0,"",SUMIFS(tblDaily[MalariaCases],tblDaily[EntryDate],DATE(2026,7,1),tblDaily[WardCode],"BF")),"")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  <c r="I242" s="5" t="str">
        <f>IFERROR(IF(SUMIFS(tblDaily[MalariaCases],tblDaily[EntryDate],DATE(2026,7,2),tblDaily[WardCode],"BF")=0,"",SUMIFS(tblDaily[MalariaCases],tblDaily[EntryDate],DATE(2026,7,2),tblDaily[WardCode],"BF")),"")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  <c r="I243" s="5" t="str">
        <f>IFERROR(IF(SUMIFS(tblDaily[MalariaCases],tblDaily[EntryDate],DATE(2026,7,3),tblDaily[WardCode],"BF")=0,"",SUMIFS(tblDaily[MalariaCases],tblDaily[EntryDate],DATE(2026,7,3),tblDaily[WardCode],"BF")),"")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  <c r="I244" s="5" t="str">
        <f>IFERROR(IF(SUMIFS(tblDaily[MalariaCases],tblDaily[EntryDate],DATE(2026,7,4),tblDaily[WardCode],"BF")=0,"",SUMIFS(tblDaily[MalariaCases],tblDaily[EntryDate],DATE(2026,7,4),tblDaily[WardCode],"BF")),"")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  <c r="I245" s="5" t="str">
        <f>IFERROR(IF(SUMIFS(tblDaily[MalariaCases],tblDaily[EntryDate],DATE(2026,7,5),tblDaily[WardCode],"BF")=0,"",SUMIFS(tblDaily[MalariaCases],tblDaily[EntryDate],DATE(2026,7,5),tblDaily[WardCode],"BF")),"")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  <c r="I246" s="5" t="str">
        <f>IFERROR(IF(SUMIFS(tblDaily[MalariaCases],tblDaily[EntryDate],DATE(2026,7,6),tblDaily[WardCode],"BF")=0,"",SUMIFS(tblDaily[MalariaCases],tblDaily[EntryDate],DATE(2026,7,6),tblDaily[WardCode],"BF")),"")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  <c r="I247" s="5" t="str">
        <f>IFERROR(IF(SUMIFS(tblDaily[MalariaCases],tblDaily[EntryDate],DATE(2026,7,7),tblDaily[WardCode],"BF")=0,"",SUMIFS(tblDaily[MalariaCases],tblDaily[EntryDate],DATE(2026,7,7),tblDaily[WardCode],"BF")),"")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  <c r="I248" s="5" t="str">
        <f>IFERROR(IF(SUMIFS(tblDaily[MalariaCases],tblDaily[EntryDate],DATE(2026,7,8),tblDaily[WardCode],"BF")=0,"",SUMIFS(tblDaily[MalariaCases],tblDaily[EntryDate],DATE(2026,7,8),tblDaily[WardCode],"BF")),"")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  <c r="I249" s="5" t="str">
        <f>IFERROR(IF(SUMIFS(tblDaily[MalariaCases],tblDaily[EntryDate],DATE(2026,7,9),tblDaily[WardCode],"BF")=0,"",SUMIFS(tblDaily[MalariaCases],tblDaily[EntryDate],DATE(2026,7,9),tblDaily[WardCode],"BF")),"")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  <c r="I250" s="5" t="str">
        <f>IFERROR(IF(SUMIFS(tblDaily[MalariaCases],tblDaily[EntryDate],DATE(2026,7,10),tblDaily[WardCode],"BF")=0,"",SUMIFS(tblDaily[MalariaCases],tblDaily[EntryDate],DATE(2026,7,10),tblDaily[WardCode],"BF")),"")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  <c r="I251" s="5" t="str">
        <f>IFERROR(IF(SUMIFS(tblDaily[MalariaCases],tblDaily[EntryDate],DATE(2026,7,11),tblDaily[WardCode],"BF")=0,"",SUMIFS(tblDaily[MalariaCases],tblDaily[EntryDate],DATE(2026,7,11),tblDaily[WardCode],"BF")),"")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  <c r="I252" s="5" t="str">
        <f>IFERROR(IF(SUMIFS(tblDaily[MalariaCases],tblDaily[EntryDate],DATE(2026,7,12),tblDaily[WardCode],"BF")=0,"",SUMIFS(tblDaily[MalariaCases],tblDaily[EntryDate],DATE(2026,7,12),tblDaily[WardCode],"BF")),"")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  <c r="I253" s="5" t="str">
        <f>IFERROR(IF(SUMIFS(tblDaily[MalariaCases],tblDaily[EntryDate],DATE(2026,7,13),tblDaily[WardCode],"BF")=0,"",SUMIFS(tblDaily[MalariaCases],tblDaily[EntryDate],DATE(2026,7,13),tblDaily[WardCode],"BF")),"")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  <c r="I254" s="5" t="str">
        <f>IFERROR(IF(SUMIFS(tblDaily[MalariaCases],tblDaily[EntryDate],DATE(2026,7,14),tblDaily[WardCode],"BF")=0,"",SUMIFS(tblDaily[MalariaCases],tblDaily[EntryDate],DATE(2026,7,14),tblDaily[WardCode],"BF")),"")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  <c r="I255" s="5" t="str">
        <f>IFERROR(IF(SUMIFS(tblDaily[MalariaCases],tblDaily[EntryDate],DATE(2026,7,15),tblDaily[WardCode],"BF")=0,"",SUMIFS(tblDaily[MalariaCases],tblDaily[EntryDate],DATE(2026,7,15),tblDaily[WardCode],"BF")),"")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  <c r="I256" s="5" t="str">
        <f>IFERROR(IF(SUMIFS(tblDaily[MalariaCases],tblDaily[EntryDate],DATE(2026,7,16),tblDaily[WardCode],"BF")=0,"",SUMIFS(tblDaily[MalariaCases],tblDaily[EntryDate],DATE(2026,7,16),tblDaily[WardCode],"BF")),"")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  <c r="I257" s="5" t="str">
        <f>IFERROR(IF(SUMIFS(tblDaily[MalariaCases],tblDaily[EntryDate],DATE(2026,7,17),tblDaily[WardCode],"BF")=0,"",SUMIFS(tblDaily[MalariaCases],tblDaily[EntryDate],DATE(2026,7,17),tblDaily[WardCode],"BF")),"")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  <c r="I258" s="5" t="str">
        <f>IFERROR(IF(SUMIFS(tblDaily[MalariaCases],tblDaily[EntryDate],DATE(2026,7,18),tblDaily[WardCode],"BF")=0,"",SUMIFS(tblDaily[MalariaCases],tblDaily[EntryDate],DATE(2026,7,18),tblDaily[WardCode],"BF")),"")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  <c r="I259" s="5" t="str">
        <f>IFERROR(IF(SUMIFS(tblDaily[MalariaCases],tblDaily[EntryDate],DATE(2026,7,19),tblDaily[WardCode],"BF")=0,"",SUMIFS(tblDaily[MalariaCases],tblDaily[EntryDate],DATE(2026,7,19),tblDaily[WardCode],"BF")),"")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  <c r="I260" s="5" t="str">
        <f>IFERROR(IF(SUMIFS(tblDaily[MalariaCases],tblDaily[EntryDate],DATE(2026,7,20),tblDaily[WardCode],"BF")=0,"",SUMIFS(tblDaily[MalariaCases],tblDaily[EntryDate],DATE(2026,7,20),tblDaily[WardCode],"BF")),"")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  <c r="I261" s="5" t="str">
        <f>IFERROR(IF(SUMIFS(tblDaily[MalariaCases],tblDaily[EntryDate],DATE(2026,7,21),tblDaily[WardCode],"BF")=0,"",SUMIFS(tblDaily[MalariaCases],tblDaily[EntryDate],DATE(2026,7,21),tblDaily[WardCode],"BF")),"")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  <c r="I262" s="5" t="str">
        <f>IFERROR(IF(SUMIFS(tblDaily[MalariaCases],tblDaily[EntryDate],DATE(2026,7,22),tblDaily[WardCode],"BF")=0,"",SUMIFS(tblDaily[MalariaCases],tblDaily[EntryDate],DATE(2026,7,22),tblDaily[WardCode],"BF")),"")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  <c r="I263" s="5" t="str">
        <f>IFERROR(IF(SUMIFS(tblDaily[MalariaCases],tblDaily[EntryDate],DATE(2026,7,23),tblDaily[WardCode],"BF")=0,"",SUMIFS(tblDaily[MalariaCases],tblDaily[EntryDate],DATE(2026,7,23),tblDaily[WardCode],"BF")),"")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  <c r="I264" s="5" t="str">
        <f>IFERROR(IF(SUMIFS(tblDaily[MalariaCases],tblDaily[EntryDate],DATE(2026,7,24),tblDaily[WardCode],"BF")=0,"",SUMIFS(tblDaily[MalariaCases],tblDaily[EntryDate],DATE(2026,7,24),tblDaily[WardCode],"BF")),"")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  <c r="I265" s="5" t="str">
        <f>IFERROR(IF(SUMIFS(tblDaily[MalariaCases],tblDaily[EntryDate],DATE(2026,7,25),tblDaily[WardCode],"BF")=0,"",SUMIFS(tblDaily[MalariaCases],tblDaily[EntryDate],DATE(2026,7,25),tblDaily[WardCode],"BF")),"")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  <c r="I266" s="5" t="str">
        <f>IFERROR(IF(SUMIFS(tblDaily[MalariaCases],tblDaily[EntryDate],DATE(2026,7,26),tblDaily[WardCode],"BF")=0,"",SUMIFS(tblDaily[MalariaCases],tblDaily[EntryDate],DATE(2026,7,26),tblDaily[WardCode],"BF")),"")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  <c r="I267" s="5" t="str">
        <f>IFERROR(IF(SUMIFS(tblDaily[MalariaCases],tblDaily[EntryDate],DATE(2026,7,27),tblDaily[WardCode],"BF")=0,"",SUMIFS(tblDaily[MalariaCases],tblDaily[EntryDate],DATE(2026,7,27),tblDaily[WardCode],"BF")),"")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  <c r="I268" s="5" t="str">
        <f>IFERROR(IF(SUMIFS(tblDaily[MalariaCases],tblDaily[EntryDate],DATE(2026,7,28),tblDaily[WardCode],"BF")=0,"",SUMIFS(tblDaily[MalariaCases],tblDaily[EntryDate],DATE(2026,7,28),tblDaily[WardCode],"BF")),"")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  <c r="I269" s="5" t="str">
        <f>IFERROR(IF(SUMIFS(tblDaily[MalariaCases],tblDaily[EntryDate],DATE(2026,7,29),tblDaily[WardCode],"BF")=0,"",SUMIFS(tblDaily[MalariaCases],tblDaily[EntryDate],DATE(2026,7,29),tblDaily[WardCode],"BF")),"")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  <c r="I270" s="5" t="str">
        <f>IFERROR(IF(SUMIFS(tblDaily[MalariaCases],tblDaily[EntryDate],DATE(2026,7,30),tblDaily[WardCode],"BF")=0,"",SUMIFS(tblDaily[MalariaCases],tblDaily[EntryDate],DATE(2026,7,30),tblDaily[WardCode],"BF")),"")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  <c r="I271" s="5" t="str">
        <f>IFERROR(IF(SUMIFS(tblDaily[MalariaCases],tblDaily[EntryDate],DATE(2026,7,31),tblDaily[WardCode],"BF")=0,"",SUMIFS(tblDaily[MalariaCases],tblDaily[EntryDate],DATE(2026,7,31),tblDaily[WardCode],"BF")),"")</f>
        <v/>
      </c>
    </row>
    <row r="272" spans="1:9" x14ac:dyDescent="0.25">
      <c r="A272" s="9" t="s">
        <v>94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97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IFERROR(SUMIFS(tblDaily[Remaining],tblDaily[EntryDate],DATE(2026,7,31),tblDaily[WardCode],"BF"),0)</f>
        <v>0</v>
      </c>
    </row>
    <row r="278" spans="1:9" x14ac:dyDescent="0.25">
      <c r="A278" s="1" t="s">
        <v>87</v>
      </c>
      <c r="H278" s="7">
        <f>IFERROR(INDEX(tblWardConfig[BedComplement],MATCH("BF",tblWardConfig[Export Year-End],0)),0)</f>
        <v>20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  <c r="I280" s="5" t="str">
        <f>IFERROR(IF(SUMIFS(tblDaily[MalariaCases],tblDaily[EntryDate],DATE(2026,8,1),tblDaily[WardCode],"BF")=0,"",SUMIFS(tblDaily[MalariaCases],tblDaily[EntryDate],DATE(2026,8,1),tblDaily[WardCode],"BF")),"")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  <c r="I281" s="5" t="str">
        <f>IFERROR(IF(SUMIFS(tblDaily[MalariaCases],tblDaily[EntryDate],DATE(2026,8,2),tblDaily[WardCode],"BF")=0,"",SUMIFS(tblDaily[MalariaCases],tblDaily[EntryDate],DATE(2026,8,2),tblDaily[WardCode],"BF")),"")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  <c r="I282" s="5" t="str">
        <f>IFERROR(IF(SUMIFS(tblDaily[MalariaCases],tblDaily[EntryDate],DATE(2026,8,3),tblDaily[WardCode],"BF")=0,"",SUMIFS(tblDaily[MalariaCases],tblDaily[EntryDate],DATE(2026,8,3),tblDaily[WardCode],"BF")),"")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  <c r="I283" s="5" t="str">
        <f>IFERROR(IF(SUMIFS(tblDaily[MalariaCases],tblDaily[EntryDate],DATE(2026,8,4),tblDaily[WardCode],"BF")=0,"",SUMIFS(tblDaily[MalariaCases],tblDaily[EntryDate],DATE(2026,8,4),tblDaily[WardCode],"BF")),"")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  <c r="I284" s="5" t="str">
        <f>IFERROR(IF(SUMIFS(tblDaily[MalariaCases],tblDaily[EntryDate],DATE(2026,8,5),tblDaily[WardCode],"BF")=0,"",SUMIFS(tblDaily[MalariaCases],tblDaily[EntryDate],DATE(2026,8,5),tblDaily[WardCode],"BF")),"")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  <c r="I285" s="5" t="str">
        <f>IFERROR(IF(SUMIFS(tblDaily[MalariaCases],tblDaily[EntryDate],DATE(2026,8,6),tblDaily[WardCode],"BF")=0,"",SUMIFS(tblDaily[MalariaCases],tblDaily[EntryDate],DATE(2026,8,6),tblDaily[WardCode],"BF")),"")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  <c r="I286" s="5" t="str">
        <f>IFERROR(IF(SUMIFS(tblDaily[MalariaCases],tblDaily[EntryDate],DATE(2026,8,7),tblDaily[WardCode],"BF")=0,"",SUMIFS(tblDaily[MalariaCases],tblDaily[EntryDate],DATE(2026,8,7),tblDaily[WardCode],"BF")),"")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  <c r="I287" s="5" t="str">
        <f>IFERROR(IF(SUMIFS(tblDaily[MalariaCases],tblDaily[EntryDate],DATE(2026,8,8),tblDaily[WardCode],"BF")=0,"",SUMIFS(tblDaily[MalariaCases],tblDaily[EntryDate],DATE(2026,8,8),tblDaily[WardCode],"BF")),"")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  <c r="I288" s="5" t="str">
        <f>IFERROR(IF(SUMIFS(tblDaily[MalariaCases],tblDaily[EntryDate],DATE(2026,8,9),tblDaily[WardCode],"BF")=0,"",SUMIFS(tblDaily[MalariaCases],tblDaily[EntryDate],DATE(2026,8,9),tblDaily[WardCode],"BF")),"")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  <c r="I289" s="5" t="str">
        <f>IFERROR(IF(SUMIFS(tblDaily[MalariaCases],tblDaily[EntryDate],DATE(2026,8,10),tblDaily[WardCode],"BF")=0,"",SUMIFS(tblDaily[MalariaCases],tblDaily[EntryDate],DATE(2026,8,10),tblDaily[WardCode],"BF")),"")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  <c r="I290" s="5" t="str">
        <f>IFERROR(IF(SUMIFS(tblDaily[MalariaCases],tblDaily[EntryDate],DATE(2026,8,11),tblDaily[WardCode],"BF")=0,"",SUMIFS(tblDaily[MalariaCases],tblDaily[EntryDate],DATE(2026,8,11),tblDaily[WardCode],"BF")),"")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  <c r="I291" s="5" t="str">
        <f>IFERROR(IF(SUMIFS(tblDaily[MalariaCases],tblDaily[EntryDate],DATE(2026,8,12),tblDaily[WardCode],"BF")=0,"",SUMIFS(tblDaily[MalariaCases],tblDaily[EntryDate],DATE(2026,8,12),tblDaily[WardCode],"BF")),"")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  <c r="I292" s="5" t="str">
        <f>IFERROR(IF(SUMIFS(tblDaily[MalariaCases],tblDaily[EntryDate],DATE(2026,8,13),tblDaily[WardCode],"BF")=0,"",SUMIFS(tblDaily[MalariaCases],tblDaily[EntryDate],DATE(2026,8,13),tblDaily[WardCode],"BF")),"")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  <c r="I293" s="5" t="str">
        <f>IFERROR(IF(SUMIFS(tblDaily[MalariaCases],tblDaily[EntryDate],DATE(2026,8,14),tblDaily[WardCode],"BF")=0,"",SUMIFS(tblDaily[MalariaCases],tblDaily[EntryDate],DATE(2026,8,14),tblDaily[WardCode],"BF")),"")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  <c r="I294" s="5" t="str">
        <f>IFERROR(IF(SUMIFS(tblDaily[MalariaCases],tblDaily[EntryDate],DATE(2026,8,15),tblDaily[WardCode],"BF")=0,"",SUMIFS(tblDaily[MalariaCases],tblDaily[EntryDate],DATE(2026,8,15),tblDaily[WardCode],"BF")),"")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  <c r="I295" s="5" t="str">
        <f>IFERROR(IF(SUMIFS(tblDaily[MalariaCases],tblDaily[EntryDate],DATE(2026,8,16),tblDaily[WardCode],"BF")=0,"",SUMIFS(tblDaily[MalariaCases],tblDaily[EntryDate],DATE(2026,8,16),tblDaily[WardCode],"BF")),"")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  <c r="I296" s="5" t="str">
        <f>IFERROR(IF(SUMIFS(tblDaily[MalariaCases],tblDaily[EntryDate],DATE(2026,8,17),tblDaily[WardCode],"BF")=0,"",SUMIFS(tblDaily[MalariaCases],tblDaily[EntryDate],DATE(2026,8,17),tblDaily[WardCode],"BF")),"")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  <c r="I297" s="5" t="str">
        <f>IFERROR(IF(SUMIFS(tblDaily[MalariaCases],tblDaily[EntryDate],DATE(2026,8,18),tblDaily[WardCode],"BF")=0,"",SUMIFS(tblDaily[MalariaCases],tblDaily[EntryDate],DATE(2026,8,18),tblDaily[WardCode],"BF")),"")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  <c r="I298" s="5" t="str">
        <f>IFERROR(IF(SUMIFS(tblDaily[MalariaCases],tblDaily[EntryDate],DATE(2026,8,19),tblDaily[WardCode],"BF")=0,"",SUMIFS(tblDaily[MalariaCases],tblDaily[EntryDate],DATE(2026,8,19),tblDaily[WardCode],"BF")),"")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  <c r="I299" s="5" t="str">
        <f>IFERROR(IF(SUMIFS(tblDaily[MalariaCases],tblDaily[EntryDate],DATE(2026,8,20),tblDaily[WardCode],"BF")=0,"",SUMIFS(tblDaily[MalariaCases],tblDaily[EntryDate],DATE(2026,8,20),tblDaily[WardCode],"BF")),"")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  <c r="I300" s="5" t="str">
        <f>IFERROR(IF(SUMIFS(tblDaily[MalariaCases],tblDaily[EntryDate],DATE(2026,8,21),tblDaily[WardCode],"BF")=0,"",SUMIFS(tblDaily[MalariaCases],tblDaily[EntryDate],DATE(2026,8,21),tblDaily[WardCode],"BF")),"")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  <c r="I301" s="5" t="str">
        <f>IFERROR(IF(SUMIFS(tblDaily[MalariaCases],tblDaily[EntryDate],DATE(2026,8,22),tblDaily[WardCode],"BF")=0,"",SUMIFS(tblDaily[MalariaCases],tblDaily[EntryDate],DATE(2026,8,22),tblDaily[WardCode],"BF")),"")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  <c r="I302" s="5" t="str">
        <f>IFERROR(IF(SUMIFS(tblDaily[MalariaCases],tblDaily[EntryDate],DATE(2026,8,23),tblDaily[WardCode],"BF")=0,"",SUMIFS(tblDaily[MalariaCases],tblDaily[EntryDate],DATE(2026,8,23),tblDaily[WardCode],"BF")),"")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  <c r="I303" s="5" t="str">
        <f>IFERROR(IF(SUMIFS(tblDaily[MalariaCases],tblDaily[EntryDate],DATE(2026,8,24),tblDaily[WardCode],"BF")=0,"",SUMIFS(tblDaily[MalariaCases],tblDaily[EntryDate],DATE(2026,8,24),tblDaily[WardCode],"BF")),"")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  <c r="I304" s="5" t="str">
        <f>IFERROR(IF(SUMIFS(tblDaily[MalariaCases],tblDaily[EntryDate],DATE(2026,8,25),tblDaily[WardCode],"BF")=0,"",SUMIFS(tblDaily[MalariaCases],tblDaily[EntryDate],DATE(2026,8,25),tblDaily[WardCode],"BF")),"")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  <c r="I305" s="5" t="str">
        <f>IFERROR(IF(SUMIFS(tblDaily[MalariaCases],tblDaily[EntryDate],DATE(2026,8,26),tblDaily[WardCode],"BF")=0,"",SUMIFS(tblDaily[MalariaCases],tblDaily[EntryDate],DATE(2026,8,26),tblDaily[WardCode],"BF")),"")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  <c r="I306" s="5" t="str">
        <f>IFERROR(IF(SUMIFS(tblDaily[MalariaCases],tblDaily[EntryDate],DATE(2026,8,27),tblDaily[WardCode],"BF")=0,"",SUMIFS(tblDaily[MalariaCases],tblDaily[EntryDate],DATE(2026,8,27),tblDaily[WardCode],"BF")),"")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  <c r="I307" s="5" t="str">
        <f>IFERROR(IF(SUMIFS(tblDaily[MalariaCases],tblDaily[EntryDate],DATE(2026,8,28),tblDaily[WardCode],"BF")=0,"",SUMIFS(tblDaily[MalariaCases],tblDaily[EntryDate],DATE(2026,8,28),tblDaily[WardCode],"BF")),"")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  <c r="I308" s="5" t="str">
        <f>IFERROR(IF(SUMIFS(tblDaily[MalariaCases],tblDaily[EntryDate],DATE(2026,8,29),tblDaily[WardCode],"BF")=0,"",SUMIFS(tblDaily[MalariaCases],tblDaily[EntryDate],DATE(2026,8,29),tblDaily[WardCode],"BF")),"")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  <c r="I309" s="5" t="str">
        <f>IFERROR(IF(SUMIFS(tblDaily[MalariaCases],tblDaily[EntryDate],DATE(2026,8,30),tblDaily[WardCode],"BF")=0,"",SUMIFS(tblDaily[MalariaCases],tblDaily[EntryDate],DATE(2026,8,30),tblDaily[WardCode],"BF")),"")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  <c r="I310" s="5" t="str">
        <f>IFERROR(IF(SUMIFS(tblDaily[MalariaCases],tblDaily[EntryDate],DATE(2026,8,31),tblDaily[WardCode],"BF")=0,"",SUMIFS(tblDaily[MalariaCases],tblDaily[EntryDate],DATE(2026,8,31),tblDaily[WardCode],"BF")),"")</f>
        <v/>
      </c>
    </row>
    <row r="311" spans="1:9" x14ac:dyDescent="0.25">
      <c r="A311" s="9" t="s">
        <v>94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97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IFERROR(SUMIFS(tblDaily[Remaining],tblDaily[EntryDate],DATE(2026,8,31),tblDaily[WardCode],"BF"),0)</f>
        <v>0</v>
      </c>
    </row>
    <row r="317" spans="1:9" x14ac:dyDescent="0.25">
      <c r="A317" s="1" t="s">
        <v>87</v>
      </c>
      <c r="H317" s="7">
        <f>IFERROR(INDEX(tblWardConfig[BedComplement],MATCH("BF",tblWardConfig[Export Year-End],0)),0)</f>
        <v>20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  <c r="I319" s="5" t="str">
        <f>IFERROR(IF(SUMIFS(tblDaily[MalariaCases],tblDaily[EntryDate],DATE(2026,9,1),tblDaily[WardCode],"BF")=0,"",SUMIFS(tblDaily[MalariaCases],tblDaily[EntryDate],DATE(2026,9,1),tblDaily[WardCode],"BF")),"")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  <c r="I320" s="5" t="str">
        <f>IFERROR(IF(SUMIFS(tblDaily[MalariaCases],tblDaily[EntryDate],DATE(2026,9,2),tblDaily[WardCode],"BF")=0,"",SUMIFS(tblDaily[MalariaCases],tblDaily[EntryDate],DATE(2026,9,2),tblDaily[WardCode],"BF")),"")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  <c r="I321" s="5" t="str">
        <f>IFERROR(IF(SUMIFS(tblDaily[MalariaCases],tblDaily[EntryDate],DATE(2026,9,3),tblDaily[WardCode],"BF")=0,"",SUMIFS(tblDaily[MalariaCases],tblDaily[EntryDate],DATE(2026,9,3),tblDaily[WardCode],"BF")),"")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  <c r="I322" s="5" t="str">
        <f>IFERROR(IF(SUMIFS(tblDaily[MalariaCases],tblDaily[EntryDate],DATE(2026,9,4),tblDaily[WardCode],"BF")=0,"",SUMIFS(tblDaily[MalariaCases],tblDaily[EntryDate],DATE(2026,9,4),tblDaily[WardCode],"BF")),"")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  <c r="I323" s="5" t="str">
        <f>IFERROR(IF(SUMIFS(tblDaily[MalariaCases],tblDaily[EntryDate],DATE(2026,9,5),tblDaily[WardCode],"BF")=0,"",SUMIFS(tblDaily[MalariaCases],tblDaily[EntryDate],DATE(2026,9,5),tblDaily[WardCode],"BF")),"")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  <c r="I324" s="5" t="str">
        <f>IFERROR(IF(SUMIFS(tblDaily[MalariaCases],tblDaily[EntryDate],DATE(2026,9,6),tblDaily[WardCode],"BF")=0,"",SUMIFS(tblDaily[MalariaCases],tblDaily[EntryDate],DATE(2026,9,6),tblDaily[WardCode],"BF")),"")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  <c r="I325" s="5" t="str">
        <f>IFERROR(IF(SUMIFS(tblDaily[MalariaCases],tblDaily[EntryDate],DATE(2026,9,7),tblDaily[WardCode],"BF")=0,"",SUMIFS(tblDaily[MalariaCases],tblDaily[EntryDate],DATE(2026,9,7),tblDaily[WardCode],"BF")),"")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  <c r="I326" s="5" t="str">
        <f>IFERROR(IF(SUMIFS(tblDaily[MalariaCases],tblDaily[EntryDate],DATE(2026,9,8),tblDaily[WardCode],"BF")=0,"",SUMIFS(tblDaily[MalariaCases],tblDaily[EntryDate],DATE(2026,9,8),tblDaily[WardCode],"BF")),"")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  <c r="I327" s="5" t="str">
        <f>IFERROR(IF(SUMIFS(tblDaily[MalariaCases],tblDaily[EntryDate],DATE(2026,9,9),tblDaily[WardCode],"BF")=0,"",SUMIFS(tblDaily[MalariaCases],tblDaily[EntryDate],DATE(2026,9,9),tblDaily[WardCode],"BF")),"")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  <c r="I328" s="5" t="str">
        <f>IFERROR(IF(SUMIFS(tblDaily[MalariaCases],tblDaily[EntryDate],DATE(2026,9,10),tblDaily[WardCode],"BF")=0,"",SUMIFS(tblDaily[MalariaCases],tblDaily[EntryDate],DATE(2026,9,10),tblDaily[WardCode],"BF")),"")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  <c r="I329" s="5" t="str">
        <f>IFERROR(IF(SUMIFS(tblDaily[MalariaCases],tblDaily[EntryDate],DATE(2026,9,11),tblDaily[WardCode],"BF")=0,"",SUMIFS(tblDaily[MalariaCases],tblDaily[EntryDate],DATE(2026,9,11),tblDaily[WardCode],"BF")),"")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  <c r="I330" s="5" t="str">
        <f>IFERROR(IF(SUMIFS(tblDaily[MalariaCases],tblDaily[EntryDate],DATE(2026,9,12),tblDaily[WardCode],"BF")=0,"",SUMIFS(tblDaily[MalariaCases],tblDaily[EntryDate],DATE(2026,9,12),tblDaily[WardCode],"BF")),"")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  <c r="I331" s="5" t="str">
        <f>IFERROR(IF(SUMIFS(tblDaily[MalariaCases],tblDaily[EntryDate],DATE(2026,9,13),tblDaily[WardCode],"BF")=0,"",SUMIFS(tblDaily[MalariaCases],tblDaily[EntryDate],DATE(2026,9,13),tblDaily[WardCode],"BF")),"")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  <c r="I332" s="5" t="str">
        <f>IFERROR(IF(SUMIFS(tblDaily[MalariaCases],tblDaily[EntryDate],DATE(2026,9,14),tblDaily[WardCode],"BF")=0,"",SUMIFS(tblDaily[MalariaCases],tblDaily[EntryDate],DATE(2026,9,14),tblDaily[WardCode],"BF")),"")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  <c r="I333" s="5" t="str">
        <f>IFERROR(IF(SUMIFS(tblDaily[MalariaCases],tblDaily[EntryDate],DATE(2026,9,15),tblDaily[WardCode],"BF")=0,"",SUMIFS(tblDaily[MalariaCases],tblDaily[EntryDate],DATE(2026,9,15),tblDaily[WardCode],"BF")),"")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  <c r="I334" s="5" t="str">
        <f>IFERROR(IF(SUMIFS(tblDaily[MalariaCases],tblDaily[EntryDate],DATE(2026,9,16),tblDaily[WardCode],"BF")=0,"",SUMIFS(tblDaily[MalariaCases],tblDaily[EntryDate],DATE(2026,9,16),tblDaily[WardCode],"BF")),"")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  <c r="I335" s="5" t="str">
        <f>IFERROR(IF(SUMIFS(tblDaily[MalariaCases],tblDaily[EntryDate],DATE(2026,9,17),tblDaily[WardCode],"BF")=0,"",SUMIFS(tblDaily[MalariaCases],tblDaily[EntryDate],DATE(2026,9,17),tblDaily[WardCode],"BF")),"")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  <c r="I336" s="5" t="str">
        <f>IFERROR(IF(SUMIFS(tblDaily[MalariaCases],tblDaily[EntryDate],DATE(2026,9,18),tblDaily[WardCode],"BF")=0,"",SUMIFS(tblDaily[MalariaCases],tblDaily[EntryDate],DATE(2026,9,18),tblDaily[WardCode],"BF")),"")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  <c r="I337" s="5" t="str">
        <f>IFERROR(IF(SUMIFS(tblDaily[MalariaCases],tblDaily[EntryDate],DATE(2026,9,19),tblDaily[WardCode],"BF")=0,"",SUMIFS(tblDaily[MalariaCases],tblDaily[EntryDate],DATE(2026,9,19),tblDaily[WardCode],"BF")),"")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  <c r="I338" s="5" t="str">
        <f>IFERROR(IF(SUMIFS(tblDaily[MalariaCases],tblDaily[EntryDate],DATE(2026,9,20),tblDaily[WardCode],"BF")=0,"",SUMIFS(tblDaily[MalariaCases],tblDaily[EntryDate],DATE(2026,9,20),tblDaily[WardCode],"BF")),"")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  <c r="I339" s="5" t="str">
        <f>IFERROR(IF(SUMIFS(tblDaily[MalariaCases],tblDaily[EntryDate],DATE(2026,9,21),tblDaily[WardCode],"BF")=0,"",SUMIFS(tblDaily[MalariaCases],tblDaily[EntryDate],DATE(2026,9,21),tblDaily[WardCode],"BF")),"")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  <c r="I340" s="5" t="str">
        <f>IFERROR(IF(SUMIFS(tblDaily[MalariaCases],tblDaily[EntryDate],DATE(2026,9,22),tblDaily[WardCode],"BF")=0,"",SUMIFS(tblDaily[MalariaCases],tblDaily[EntryDate],DATE(2026,9,22),tblDaily[WardCode],"BF")),"")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  <c r="I341" s="5" t="str">
        <f>IFERROR(IF(SUMIFS(tblDaily[MalariaCases],tblDaily[EntryDate],DATE(2026,9,23),tblDaily[WardCode],"BF")=0,"",SUMIFS(tblDaily[MalariaCases],tblDaily[EntryDate],DATE(2026,9,23),tblDaily[WardCode],"BF")),"")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  <c r="I342" s="5" t="str">
        <f>IFERROR(IF(SUMIFS(tblDaily[MalariaCases],tblDaily[EntryDate],DATE(2026,9,24),tblDaily[WardCode],"BF")=0,"",SUMIFS(tblDaily[MalariaCases],tblDaily[EntryDate],DATE(2026,9,24),tblDaily[WardCode],"BF")),"")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  <c r="I343" s="5" t="str">
        <f>IFERROR(IF(SUMIFS(tblDaily[MalariaCases],tblDaily[EntryDate],DATE(2026,9,25),tblDaily[WardCode],"BF")=0,"",SUMIFS(tblDaily[MalariaCases],tblDaily[EntryDate],DATE(2026,9,25),tblDaily[WardCode],"BF")),"")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  <c r="I344" s="5" t="str">
        <f>IFERROR(IF(SUMIFS(tblDaily[MalariaCases],tblDaily[EntryDate],DATE(2026,9,26),tblDaily[WardCode],"BF")=0,"",SUMIFS(tblDaily[MalariaCases],tblDaily[EntryDate],DATE(2026,9,26),tblDaily[WardCode],"BF")),"")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  <c r="I345" s="5" t="str">
        <f>IFERROR(IF(SUMIFS(tblDaily[MalariaCases],tblDaily[EntryDate],DATE(2026,9,27),tblDaily[WardCode],"BF")=0,"",SUMIFS(tblDaily[MalariaCases],tblDaily[EntryDate],DATE(2026,9,27),tblDaily[WardCode],"BF")),"")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  <c r="I346" s="5" t="str">
        <f>IFERROR(IF(SUMIFS(tblDaily[MalariaCases],tblDaily[EntryDate],DATE(2026,9,28),tblDaily[WardCode],"BF")=0,"",SUMIFS(tblDaily[MalariaCases],tblDaily[EntryDate],DATE(2026,9,28),tblDaily[WardCode],"BF")),"")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  <c r="I347" s="5" t="str">
        <f>IFERROR(IF(SUMIFS(tblDaily[MalariaCases],tblDaily[EntryDate],DATE(2026,9,29),tblDaily[WardCode],"BF")=0,"",SUMIFS(tblDaily[MalariaCases],tblDaily[EntryDate],DATE(2026,9,29),tblDaily[WardCode],"BF")),"")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  <c r="I348" s="5" t="str">
        <f>IFERROR(IF(SUMIFS(tblDaily[MalariaCases],tblDaily[EntryDate],DATE(2026,9,30),tblDaily[WardCode],"BF")=0,"",SUMIFS(tblDaily[MalariaCases],tblDaily[EntryDate],DATE(2026,9,30),tblDaily[WardCode],"BF")),"")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97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IFERROR(SUMIFS(tblDaily[Remaining],tblDaily[EntryDate],DATE(2026,9,30),tblDaily[WardCode],"BF"),0)</f>
        <v>0</v>
      </c>
    </row>
    <row r="356" spans="1:9" x14ac:dyDescent="0.25">
      <c r="A356" s="1" t="s">
        <v>87</v>
      </c>
      <c r="H356" s="7">
        <f>IFERROR(INDEX(tblWardConfig[BedComplement],MATCH("BF",tblWardConfig[Export Year-End],0)),0)</f>
        <v>20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  <c r="I358" s="5" t="str">
        <f>IFERROR(IF(SUMIFS(tblDaily[MalariaCases],tblDaily[EntryDate],DATE(2026,10,1),tblDaily[WardCode],"BF")=0,"",SUMIFS(tblDaily[MalariaCases],tblDaily[EntryDate],DATE(2026,10,1),tblDaily[WardCode],"BF")),"")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  <c r="I359" s="5" t="str">
        <f>IFERROR(IF(SUMIFS(tblDaily[MalariaCases],tblDaily[EntryDate],DATE(2026,10,2),tblDaily[WardCode],"BF")=0,"",SUMIFS(tblDaily[MalariaCases],tblDaily[EntryDate],DATE(2026,10,2),tblDaily[WardCode],"BF")),"")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  <c r="I360" s="5" t="str">
        <f>IFERROR(IF(SUMIFS(tblDaily[MalariaCases],tblDaily[EntryDate],DATE(2026,10,3),tblDaily[WardCode],"BF")=0,"",SUMIFS(tblDaily[MalariaCases],tblDaily[EntryDate],DATE(2026,10,3),tblDaily[WardCode],"BF")),"")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  <c r="I361" s="5" t="str">
        <f>IFERROR(IF(SUMIFS(tblDaily[MalariaCases],tblDaily[EntryDate],DATE(2026,10,4),tblDaily[WardCode],"BF")=0,"",SUMIFS(tblDaily[MalariaCases],tblDaily[EntryDate],DATE(2026,10,4),tblDaily[WardCode],"BF")),"")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  <c r="I362" s="5" t="str">
        <f>IFERROR(IF(SUMIFS(tblDaily[MalariaCases],tblDaily[EntryDate],DATE(2026,10,5),tblDaily[WardCode],"BF")=0,"",SUMIFS(tblDaily[MalariaCases],tblDaily[EntryDate],DATE(2026,10,5),tblDaily[WardCode],"BF")),"")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  <c r="I363" s="5" t="str">
        <f>IFERROR(IF(SUMIFS(tblDaily[MalariaCases],tblDaily[EntryDate],DATE(2026,10,6),tblDaily[WardCode],"BF")=0,"",SUMIFS(tblDaily[MalariaCases],tblDaily[EntryDate],DATE(2026,10,6),tblDaily[WardCode],"BF")),"")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  <c r="I364" s="5" t="str">
        <f>IFERROR(IF(SUMIFS(tblDaily[MalariaCases],tblDaily[EntryDate],DATE(2026,10,7),tblDaily[WardCode],"BF")=0,"",SUMIFS(tblDaily[MalariaCases],tblDaily[EntryDate],DATE(2026,10,7),tblDaily[WardCode],"BF")),"")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  <c r="I365" s="5" t="str">
        <f>IFERROR(IF(SUMIFS(tblDaily[MalariaCases],tblDaily[EntryDate],DATE(2026,10,8),tblDaily[WardCode],"BF")=0,"",SUMIFS(tblDaily[MalariaCases],tblDaily[EntryDate],DATE(2026,10,8),tblDaily[WardCode],"BF")),"")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  <c r="I366" s="5" t="str">
        <f>IFERROR(IF(SUMIFS(tblDaily[MalariaCases],tblDaily[EntryDate],DATE(2026,10,9),tblDaily[WardCode],"BF")=0,"",SUMIFS(tblDaily[MalariaCases],tblDaily[EntryDate],DATE(2026,10,9),tblDaily[WardCode],"BF")),"")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  <c r="I367" s="5" t="str">
        <f>IFERROR(IF(SUMIFS(tblDaily[MalariaCases],tblDaily[EntryDate],DATE(2026,10,10),tblDaily[WardCode],"BF")=0,"",SUMIFS(tblDaily[MalariaCases],tblDaily[EntryDate],DATE(2026,10,10),tblDaily[WardCode],"BF")),"")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  <c r="I368" s="5" t="str">
        <f>IFERROR(IF(SUMIFS(tblDaily[MalariaCases],tblDaily[EntryDate],DATE(2026,10,11),tblDaily[WardCode],"BF")=0,"",SUMIFS(tblDaily[MalariaCases],tblDaily[EntryDate],DATE(2026,10,11),tblDaily[WardCode],"BF")),"")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  <c r="I369" s="5" t="str">
        <f>IFERROR(IF(SUMIFS(tblDaily[MalariaCases],tblDaily[EntryDate],DATE(2026,10,12),tblDaily[WardCode],"BF")=0,"",SUMIFS(tblDaily[MalariaCases],tblDaily[EntryDate],DATE(2026,10,12),tblDaily[WardCode],"BF")),"")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  <c r="I370" s="5" t="str">
        <f>IFERROR(IF(SUMIFS(tblDaily[MalariaCases],tblDaily[EntryDate],DATE(2026,10,13),tblDaily[WardCode],"BF")=0,"",SUMIFS(tblDaily[MalariaCases],tblDaily[EntryDate],DATE(2026,10,13),tblDaily[WardCode],"BF")),"")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  <c r="I371" s="5" t="str">
        <f>IFERROR(IF(SUMIFS(tblDaily[MalariaCases],tblDaily[EntryDate],DATE(2026,10,14),tblDaily[WardCode],"BF")=0,"",SUMIFS(tblDaily[MalariaCases],tblDaily[EntryDate],DATE(2026,10,14),tblDaily[WardCode],"BF")),"")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  <c r="I372" s="5" t="str">
        <f>IFERROR(IF(SUMIFS(tblDaily[MalariaCases],tblDaily[EntryDate],DATE(2026,10,15),tblDaily[WardCode],"BF")=0,"",SUMIFS(tblDaily[MalariaCases],tblDaily[EntryDate],DATE(2026,10,15),tblDaily[WardCode],"BF")),"")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  <c r="I373" s="5" t="str">
        <f>IFERROR(IF(SUMIFS(tblDaily[MalariaCases],tblDaily[EntryDate],DATE(2026,10,16),tblDaily[WardCode],"BF")=0,"",SUMIFS(tblDaily[MalariaCases],tblDaily[EntryDate],DATE(2026,10,16),tblDaily[WardCode],"BF")),"")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  <c r="I374" s="5" t="str">
        <f>IFERROR(IF(SUMIFS(tblDaily[MalariaCases],tblDaily[EntryDate],DATE(2026,10,17),tblDaily[WardCode],"BF")=0,"",SUMIFS(tblDaily[MalariaCases],tblDaily[EntryDate],DATE(2026,10,17),tblDaily[WardCode],"BF")),"")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  <c r="I375" s="5" t="str">
        <f>IFERROR(IF(SUMIFS(tblDaily[MalariaCases],tblDaily[EntryDate],DATE(2026,10,18),tblDaily[WardCode],"BF")=0,"",SUMIFS(tblDaily[MalariaCases],tblDaily[EntryDate],DATE(2026,10,18),tblDaily[WardCode],"BF")),"")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  <c r="I376" s="5" t="str">
        <f>IFERROR(IF(SUMIFS(tblDaily[MalariaCases],tblDaily[EntryDate],DATE(2026,10,19),tblDaily[WardCode],"BF")=0,"",SUMIFS(tblDaily[MalariaCases],tblDaily[EntryDate],DATE(2026,10,19),tblDaily[WardCode],"BF")),"")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  <c r="I377" s="5" t="str">
        <f>IFERROR(IF(SUMIFS(tblDaily[MalariaCases],tblDaily[EntryDate],DATE(2026,10,20),tblDaily[WardCode],"BF")=0,"",SUMIFS(tblDaily[MalariaCases],tblDaily[EntryDate],DATE(2026,10,20),tblDaily[WardCode],"BF")),"")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  <c r="I378" s="5" t="str">
        <f>IFERROR(IF(SUMIFS(tblDaily[MalariaCases],tblDaily[EntryDate],DATE(2026,10,21),tblDaily[WardCode],"BF")=0,"",SUMIFS(tblDaily[MalariaCases],tblDaily[EntryDate],DATE(2026,10,21),tblDaily[WardCode],"BF")),"")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  <c r="I379" s="5" t="str">
        <f>IFERROR(IF(SUMIFS(tblDaily[MalariaCases],tblDaily[EntryDate],DATE(2026,10,22),tblDaily[WardCode],"BF")=0,"",SUMIFS(tblDaily[MalariaCases],tblDaily[EntryDate],DATE(2026,10,22),tblDaily[WardCode],"BF")),"")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  <c r="I380" s="5" t="str">
        <f>IFERROR(IF(SUMIFS(tblDaily[MalariaCases],tblDaily[EntryDate],DATE(2026,10,23),tblDaily[WardCode],"BF")=0,"",SUMIFS(tblDaily[MalariaCases],tblDaily[EntryDate],DATE(2026,10,23),tblDaily[WardCode],"BF")),"")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  <c r="I381" s="5" t="str">
        <f>IFERROR(IF(SUMIFS(tblDaily[MalariaCases],tblDaily[EntryDate],DATE(2026,10,24),tblDaily[WardCode],"BF")=0,"",SUMIFS(tblDaily[MalariaCases],tblDaily[EntryDate],DATE(2026,10,24),tblDaily[WardCode],"BF")),"")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  <c r="I382" s="5" t="str">
        <f>IFERROR(IF(SUMIFS(tblDaily[MalariaCases],tblDaily[EntryDate],DATE(2026,10,25),tblDaily[WardCode],"BF")=0,"",SUMIFS(tblDaily[MalariaCases],tblDaily[EntryDate],DATE(2026,10,25),tblDaily[WardCode],"BF")),"")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  <c r="I383" s="5" t="str">
        <f>IFERROR(IF(SUMIFS(tblDaily[MalariaCases],tblDaily[EntryDate],DATE(2026,10,26),tblDaily[WardCode],"BF")=0,"",SUMIFS(tblDaily[MalariaCases],tblDaily[EntryDate],DATE(2026,10,26),tblDaily[WardCode],"BF")),"")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  <c r="I384" s="5" t="str">
        <f>IFERROR(IF(SUMIFS(tblDaily[MalariaCases],tblDaily[EntryDate],DATE(2026,10,27),tblDaily[WardCode],"BF")=0,"",SUMIFS(tblDaily[MalariaCases],tblDaily[EntryDate],DATE(2026,10,27),tblDaily[WardCode],"BF")),"")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  <c r="I385" s="5" t="str">
        <f>IFERROR(IF(SUMIFS(tblDaily[MalariaCases],tblDaily[EntryDate],DATE(2026,10,28),tblDaily[WardCode],"BF")=0,"",SUMIFS(tblDaily[MalariaCases],tblDaily[EntryDate],DATE(2026,10,28),tblDaily[WardCode],"BF")),"")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  <c r="I386" s="5" t="str">
        <f>IFERROR(IF(SUMIFS(tblDaily[MalariaCases],tblDaily[EntryDate],DATE(2026,10,29),tblDaily[WardCode],"BF")=0,"",SUMIFS(tblDaily[MalariaCases],tblDaily[EntryDate],DATE(2026,10,29),tblDaily[WardCode],"BF")),"")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  <c r="I387" s="5" t="str">
        <f>IFERROR(IF(SUMIFS(tblDaily[MalariaCases],tblDaily[EntryDate],DATE(2026,10,30),tblDaily[WardCode],"BF")=0,"",SUMIFS(tblDaily[MalariaCases],tblDaily[EntryDate],DATE(2026,10,30),tblDaily[WardCode],"BF")),"")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  <c r="I388" s="5" t="str">
        <f>IFERROR(IF(SUMIFS(tblDaily[MalariaCases],tblDaily[EntryDate],DATE(2026,10,31),tblDaily[WardCode],"BF")=0,"",SUMIFS(tblDaily[MalariaCases],tblDaily[EntryDate],DATE(2026,10,31),tblDaily[WardCode],"BF")),"")</f>
        <v/>
      </c>
    </row>
    <row r="389" spans="1:9" x14ac:dyDescent="0.25">
      <c r="A389" s="9" t="s">
        <v>94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97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IFERROR(SUMIFS(tblDaily[Remaining],tblDaily[EntryDate],DATE(2026,10,31),tblDaily[WardCode],"BF"),0)</f>
        <v>0</v>
      </c>
    </row>
    <row r="395" spans="1:9" x14ac:dyDescent="0.25">
      <c r="A395" s="1" t="s">
        <v>87</v>
      </c>
      <c r="H395" s="7">
        <f>IFERROR(INDEX(tblWardConfig[BedComplement],MATCH("BF",tblWardConfig[Export Year-End],0)),0)</f>
        <v>20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  <c r="I397" s="5" t="str">
        <f>IFERROR(IF(SUMIFS(tblDaily[MalariaCases],tblDaily[EntryDate],DATE(2026,11,1),tblDaily[WardCode],"BF")=0,"",SUMIFS(tblDaily[MalariaCases],tblDaily[EntryDate],DATE(2026,11,1),tblDaily[WardCode],"BF")),"")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  <c r="I398" s="5" t="str">
        <f>IFERROR(IF(SUMIFS(tblDaily[MalariaCases],tblDaily[EntryDate],DATE(2026,11,2),tblDaily[WardCode],"BF")=0,"",SUMIFS(tblDaily[MalariaCases],tblDaily[EntryDate],DATE(2026,11,2),tblDaily[WardCode],"BF")),"")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  <c r="I399" s="5" t="str">
        <f>IFERROR(IF(SUMIFS(tblDaily[MalariaCases],tblDaily[EntryDate],DATE(2026,11,3),tblDaily[WardCode],"BF")=0,"",SUMIFS(tblDaily[MalariaCases],tblDaily[EntryDate],DATE(2026,11,3),tblDaily[WardCode],"BF")),"")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  <c r="I400" s="5" t="str">
        <f>IFERROR(IF(SUMIFS(tblDaily[MalariaCases],tblDaily[EntryDate],DATE(2026,11,4),tblDaily[WardCode],"BF")=0,"",SUMIFS(tblDaily[MalariaCases],tblDaily[EntryDate],DATE(2026,11,4),tblDaily[WardCode],"BF")),"")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  <c r="I401" s="5" t="str">
        <f>IFERROR(IF(SUMIFS(tblDaily[MalariaCases],tblDaily[EntryDate],DATE(2026,11,5),tblDaily[WardCode],"BF")=0,"",SUMIFS(tblDaily[MalariaCases],tblDaily[EntryDate],DATE(2026,11,5),tblDaily[WardCode],"BF")),"")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  <c r="I402" s="5" t="str">
        <f>IFERROR(IF(SUMIFS(tblDaily[MalariaCases],tblDaily[EntryDate],DATE(2026,11,6),tblDaily[WardCode],"BF")=0,"",SUMIFS(tblDaily[MalariaCases],tblDaily[EntryDate],DATE(2026,11,6),tblDaily[WardCode],"BF")),"")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  <c r="I403" s="5" t="str">
        <f>IFERROR(IF(SUMIFS(tblDaily[MalariaCases],tblDaily[EntryDate],DATE(2026,11,7),tblDaily[WardCode],"BF")=0,"",SUMIFS(tblDaily[MalariaCases],tblDaily[EntryDate],DATE(2026,11,7),tblDaily[WardCode],"BF")),"")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  <c r="I404" s="5" t="str">
        <f>IFERROR(IF(SUMIFS(tblDaily[MalariaCases],tblDaily[EntryDate],DATE(2026,11,8),tblDaily[WardCode],"BF")=0,"",SUMIFS(tblDaily[MalariaCases],tblDaily[EntryDate],DATE(2026,11,8),tblDaily[WardCode],"BF")),"")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  <c r="I405" s="5" t="str">
        <f>IFERROR(IF(SUMIFS(tblDaily[MalariaCases],tblDaily[EntryDate],DATE(2026,11,9),tblDaily[WardCode],"BF")=0,"",SUMIFS(tblDaily[MalariaCases],tblDaily[EntryDate],DATE(2026,11,9),tblDaily[WardCode],"BF")),"")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  <c r="I406" s="5" t="str">
        <f>IFERROR(IF(SUMIFS(tblDaily[MalariaCases],tblDaily[EntryDate],DATE(2026,11,10),tblDaily[WardCode],"BF")=0,"",SUMIFS(tblDaily[MalariaCases],tblDaily[EntryDate],DATE(2026,11,10),tblDaily[WardCode],"BF")),"")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  <c r="I407" s="5" t="str">
        <f>IFERROR(IF(SUMIFS(tblDaily[MalariaCases],tblDaily[EntryDate],DATE(2026,11,11),tblDaily[WardCode],"BF")=0,"",SUMIFS(tblDaily[MalariaCases],tblDaily[EntryDate],DATE(2026,11,11),tblDaily[WardCode],"BF")),"")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  <c r="I408" s="5" t="str">
        <f>IFERROR(IF(SUMIFS(tblDaily[MalariaCases],tblDaily[EntryDate],DATE(2026,11,12),tblDaily[WardCode],"BF")=0,"",SUMIFS(tblDaily[MalariaCases],tblDaily[EntryDate],DATE(2026,11,12),tblDaily[WardCode],"BF")),"")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  <c r="I409" s="5" t="str">
        <f>IFERROR(IF(SUMIFS(tblDaily[MalariaCases],tblDaily[EntryDate],DATE(2026,11,13),tblDaily[WardCode],"BF")=0,"",SUMIFS(tblDaily[MalariaCases],tblDaily[EntryDate],DATE(2026,11,13),tblDaily[WardCode],"BF")),"")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  <c r="I410" s="5" t="str">
        <f>IFERROR(IF(SUMIFS(tblDaily[MalariaCases],tblDaily[EntryDate],DATE(2026,11,14),tblDaily[WardCode],"BF")=0,"",SUMIFS(tblDaily[MalariaCases],tblDaily[EntryDate],DATE(2026,11,14),tblDaily[WardCode],"BF")),"")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  <c r="I411" s="5" t="str">
        <f>IFERROR(IF(SUMIFS(tblDaily[MalariaCases],tblDaily[EntryDate],DATE(2026,11,15),tblDaily[WardCode],"BF")=0,"",SUMIFS(tblDaily[MalariaCases],tblDaily[EntryDate],DATE(2026,11,15),tblDaily[WardCode],"BF")),"")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  <c r="I412" s="5" t="str">
        <f>IFERROR(IF(SUMIFS(tblDaily[MalariaCases],tblDaily[EntryDate],DATE(2026,11,16),tblDaily[WardCode],"BF")=0,"",SUMIFS(tblDaily[MalariaCases],tblDaily[EntryDate],DATE(2026,11,16),tblDaily[WardCode],"BF")),"")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  <c r="I413" s="5" t="str">
        <f>IFERROR(IF(SUMIFS(tblDaily[MalariaCases],tblDaily[EntryDate],DATE(2026,11,17),tblDaily[WardCode],"BF")=0,"",SUMIFS(tblDaily[MalariaCases],tblDaily[EntryDate],DATE(2026,11,17),tblDaily[WardCode],"BF")),"")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  <c r="I414" s="5" t="str">
        <f>IFERROR(IF(SUMIFS(tblDaily[MalariaCases],tblDaily[EntryDate],DATE(2026,11,18),tblDaily[WardCode],"BF")=0,"",SUMIFS(tblDaily[MalariaCases],tblDaily[EntryDate],DATE(2026,11,18),tblDaily[WardCode],"BF")),"")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  <c r="I415" s="5" t="str">
        <f>IFERROR(IF(SUMIFS(tblDaily[MalariaCases],tblDaily[EntryDate],DATE(2026,11,19),tblDaily[WardCode],"BF")=0,"",SUMIFS(tblDaily[MalariaCases],tblDaily[EntryDate],DATE(2026,11,19),tblDaily[WardCode],"BF")),"")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  <c r="I416" s="5" t="str">
        <f>IFERROR(IF(SUMIFS(tblDaily[MalariaCases],tblDaily[EntryDate],DATE(2026,11,20),tblDaily[WardCode],"BF")=0,"",SUMIFS(tblDaily[MalariaCases],tblDaily[EntryDate],DATE(2026,11,20),tblDaily[WardCode],"BF")),"")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  <c r="I417" s="5" t="str">
        <f>IFERROR(IF(SUMIFS(tblDaily[MalariaCases],tblDaily[EntryDate],DATE(2026,11,21),tblDaily[WardCode],"BF")=0,"",SUMIFS(tblDaily[MalariaCases],tblDaily[EntryDate],DATE(2026,11,21),tblDaily[WardCode],"BF")),"")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  <c r="I418" s="5" t="str">
        <f>IFERROR(IF(SUMIFS(tblDaily[MalariaCases],tblDaily[EntryDate],DATE(2026,11,22),tblDaily[WardCode],"BF")=0,"",SUMIFS(tblDaily[MalariaCases],tblDaily[EntryDate],DATE(2026,11,22),tblDaily[WardCode],"BF")),"")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  <c r="I419" s="5" t="str">
        <f>IFERROR(IF(SUMIFS(tblDaily[MalariaCases],tblDaily[EntryDate],DATE(2026,11,23),tblDaily[WardCode],"BF")=0,"",SUMIFS(tblDaily[MalariaCases],tblDaily[EntryDate],DATE(2026,11,23),tblDaily[WardCode],"BF")),"")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  <c r="I420" s="5" t="str">
        <f>IFERROR(IF(SUMIFS(tblDaily[MalariaCases],tblDaily[EntryDate],DATE(2026,11,24),tblDaily[WardCode],"BF")=0,"",SUMIFS(tblDaily[MalariaCases],tblDaily[EntryDate],DATE(2026,11,24),tblDaily[WardCode],"BF")),"")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  <c r="I421" s="5" t="str">
        <f>IFERROR(IF(SUMIFS(tblDaily[MalariaCases],tblDaily[EntryDate],DATE(2026,11,25),tblDaily[WardCode],"BF")=0,"",SUMIFS(tblDaily[MalariaCases],tblDaily[EntryDate],DATE(2026,11,25),tblDaily[WardCode],"BF")),"")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  <c r="I422" s="5" t="str">
        <f>IFERROR(IF(SUMIFS(tblDaily[MalariaCases],tblDaily[EntryDate],DATE(2026,11,26),tblDaily[WardCode],"BF")=0,"",SUMIFS(tblDaily[MalariaCases],tblDaily[EntryDate],DATE(2026,11,26),tblDaily[WardCode],"BF")),"")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  <c r="I423" s="5" t="str">
        <f>IFERROR(IF(SUMIFS(tblDaily[MalariaCases],tblDaily[EntryDate],DATE(2026,11,27),tblDaily[WardCode],"BF")=0,"",SUMIFS(tblDaily[MalariaCases],tblDaily[EntryDate],DATE(2026,11,27),tblDaily[WardCode],"BF")),"")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  <c r="I424" s="5" t="str">
        <f>IFERROR(IF(SUMIFS(tblDaily[MalariaCases],tblDaily[EntryDate],DATE(2026,11,28),tblDaily[WardCode],"BF")=0,"",SUMIFS(tblDaily[MalariaCases],tblDaily[EntryDate],DATE(2026,11,28),tblDaily[WardCode],"BF")),"")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  <c r="I425" s="5" t="str">
        <f>IFERROR(IF(SUMIFS(tblDaily[MalariaCases],tblDaily[EntryDate],DATE(2026,11,29),tblDaily[WardCode],"BF")=0,"",SUMIFS(tblDaily[MalariaCases],tblDaily[EntryDate],DATE(2026,11,29),tblDaily[WardCode],"BF")),"")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  <c r="I426" s="5" t="str">
        <f>IFERROR(IF(SUMIFS(tblDaily[MalariaCases],tblDaily[EntryDate],DATE(2026,11,30),tblDaily[WardCode],"BF")=0,"",SUMIFS(tblDaily[MalariaCases],tblDaily[EntryDate],DATE(2026,11,30),tblDaily[WardCode],"BF")),"")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97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IFERROR(SUMIFS(tblDaily[Remaining],tblDaily[EntryDate],DATE(2026,11,30),tblDaily[WardCode],"BF"),0)</f>
        <v>0</v>
      </c>
    </row>
    <row r="434" spans="1:9" x14ac:dyDescent="0.25">
      <c r="A434" s="1" t="s">
        <v>87</v>
      </c>
      <c r="H434" s="7">
        <f>IFERROR(INDEX(tblWardConfig[BedComplement],MATCH("BF",tblWardConfig[Export Year-End],0)),0)</f>
        <v>20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  <c r="I436" s="5" t="str">
        <f>IFERROR(IF(SUMIFS(tblDaily[MalariaCases],tblDaily[EntryDate],DATE(2026,12,1),tblDaily[WardCode],"BF")=0,"",SUMIFS(tblDaily[MalariaCases],tblDaily[EntryDate],DATE(2026,12,1),tblDaily[WardCode],"BF")),"")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  <c r="I437" s="5" t="str">
        <f>IFERROR(IF(SUMIFS(tblDaily[MalariaCases],tblDaily[EntryDate],DATE(2026,12,2),tblDaily[WardCode],"BF")=0,"",SUMIFS(tblDaily[MalariaCases],tblDaily[EntryDate],DATE(2026,12,2),tblDaily[WardCode],"BF")),"")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  <c r="I438" s="5" t="str">
        <f>IFERROR(IF(SUMIFS(tblDaily[MalariaCases],tblDaily[EntryDate],DATE(2026,12,3),tblDaily[WardCode],"BF")=0,"",SUMIFS(tblDaily[MalariaCases],tblDaily[EntryDate],DATE(2026,12,3),tblDaily[WardCode],"BF")),"")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  <c r="I439" s="5" t="str">
        <f>IFERROR(IF(SUMIFS(tblDaily[MalariaCases],tblDaily[EntryDate],DATE(2026,12,4),tblDaily[WardCode],"BF")=0,"",SUMIFS(tblDaily[MalariaCases],tblDaily[EntryDate],DATE(2026,12,4),tblDaily[WardCode],"BF")),"")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  <c r="I440" s="5" t="str">
        <f>IFERROR(IF(SUMIFS(tblDaily[MalariaCases],tblDaily[EntryDate],DATE(2026,12,5),tblDaily[WardCode],"BF")=0,"",SUMIFS(tblDaily[MalariaCases],tblDaily[EntryDate],DATE(2026,12,5),tblDaily[WardCode],"BF")),"")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  <c r="I441" s="5" t="str">
        <f>IFERROR(IF(SUMIFS(tblDaily[MalariaCases],tblDaily[EntryDate],DATE(2026,12,6),tblDaily[WardCode],"BF")=0,"",SUMIFS(tblDaily[MalariaCases],tblDaily[EntryDate],DATE(2026,12,6),tblDaily[WardCode],"BF")),"")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  <c r="I442" s="5" t="str">
        <f>IFERROR(IF(SUMIFS(tblDaily[MalariaCases],tblDaily[EntryDate],DATE(2026,12,7),tblDaily[WardCode],"BF")=0,"",SUMIFS(tblDaily[MalariaCases],tblDaily[EntryDate],DATE(2026,12,7),tblDaily[WardCode],"BF")),"")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  <c r="I443" s="5" t="str">
        <f>IFERROR(IF(SUMIFS(tblDaily[MalariaCases],tblDaily[EntryDate],DATE(2026,12,8),tblDaily[WardCode],"BF")=0,"",SUMIFS(tblDaily[MalariaCases],tblDaily[EntryDate],DATE(2026,12,8),tblDaily[WardCode],"BF")),"")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  <c r="I444" s="5" t="str">
        <f>IFERROR(IF(SUMIFS(tblDaily[MalariaCases],tblDaily[EntryDate],DATE(2026,12,9),tblDaily[WardCode],"BF")=0,"",SUMIFS(tblDaily[MalariaCases],tblDaily[EntryDate],DATE(2026,12,9),tblDaily[WardCode],"BF")),"")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  <c r="I445" s="5" t="str">
        <f>IFERROR(IF(SUMIFS(tblDaily[MalariaCases],tblDaily[EntryDate],DATE(2026,12,10),tblDaily[WardCode],"BF")=0,"",SUMIFS(tblDaily[MalariaCases],tblDaily[EntryDate],DATE(2026,12,10),tblDaily[WardCode],"BF")),"")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  <c r="I446" s="5" t="str">
        <f>IFERROR(IF(SUMIFS(tblDaily[MalariaCases],tblDaily[EntryDate],DATE(2026,12,11),tblDaily[WardCode],"BF")=0,"",SUMIFS(tblDaily[MalariaCases],tblDaily[EntryDate],DATE(2026,12,11),tblDaily[WardCode],"BF")),"")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  <c r="I447" s="5" t="str">
        <f>IFERROR(IF(SUMIFS(tblDaily[MalariaCases],tblDaily[EntryDate],DATE(2026,12,12),tblDaily[WardCode],"BF")=0,"",SUMIFS(tblDaily[MalariaCases],tblDaily[EntryDate],DATE(2026,12,12),tblDaily[WardCode],"BF")),"")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  <c r="I448" s="5" t="str">
        <f>IFERROR(IF(SUMIFS(tblDaily[MalariaCases],tblDaily[EntryDate],DATE(2026,12,13),tblDaily[WardCode],"BF")=0,"",SUMIFS(tblDaily[MalariaCases],tblDaily[EntryDate],DATE(2026,12,13),tblDaily[WardCode],"BF")),"")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  <c r="I449" s="5" t="str">
        <f>IFERROR(IF(SUMIFS(tblDaily[MalariaCases],tblDaily[EntryDate],DATE(2026,12,14),tblDaily[WardCode],"BF")=0,"",SUMIFS(tblDaily[MalariaCases],tblDaily[EntryDate],DATE(2026,12,14),tblDaily[WardCode],"BF")),"")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  <c r="I450" s="5" t="str">
        <f>IFERROR(IF(SUMIFS(tblDaily[MalariaCases],tblDaily[EntryDate],DATE(2026,12,15),tblDaily[WardCode],"BF")=0,"",SUMIFS(tblDaily[MalariaCases],tblDaily[EntryDate],DATE(2026,12,15),tblDaily[WardCode],"BF")),"")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  <c r="I451" s="5" t="str">
        <f>IFERROR(IF(SUMIFS(tblDaily[MalariaCases],tblDaily[EntryDate],DATE(2026,12,16),tblDaily[WardCode],"BF")=0,"",SUMIFS(tblDaily[MalariaCases],tblDaily[EntryDate],DATE(2026,12,16),tblDaily[WardCode],"BF")),"")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  <c r="I452" s="5" t="str">
        <f>IFERROR(IF(SUMIFS(tblDaily[MalariaCases],tblDaily[EntryDate],DATE(2026,12,17),tblDaily[WardCode],"BF")=0,"",SUMIFS(tblDaily[MalariaCases],tblDaily[EntryDate],DATE(2026,12,17),tblDaily[WardCode],"BF")),"")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  <c r="I453" s="5" t="str">
        <f>IFERROR(IF(SUMIFS(tblDaily[MalariaCases],tblDaily[EntryDate],DATE(2026,12,18),tblDaily[WardCode],"BF")=0,"",SUMIFS(tblDaily[MalariaCases],tblDaily[EntryDate],DATE(2026,12,18),tblDaily[WardCode],"BF")),"")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  <c r="I454" s="5" t="str">
        <f>IFERROR(IF(SUMIFS(tblDaily[MalariaCases],tblDaily[EntryDate],DATE(2026,12,19),tblDaily[WardCode],"BF")=0,"",SUMIFS(tblDaily[MalariaCases],tblDaily[EntryDate],DATE(2026,12,19),tblDaily[WardCode],"BF")),"")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  <c r="I455" s="5" t="str">
        <f>IFERROR(IF(SUMIFS(tblDaily[MalariaCases],tblDaily[EntryDate],DATE(2026,12,20),tblDaily[WardCode],"BF")=0,"",SUMIFS(tblDaily[MalariaCases],tblDaily[EntryDate],DATE(2026,12,20),tblDaily[WardCode],"BF")),"")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  <c r="I456" s="5" t="str">
        <f>IFERROR(IF(SUMIFS(tblDaily[MalariaCases],tblDaily[EntryDate],DATE(2026,12,21),tblDaily[WardCode],"BF")=0,"",SUMIFS(tblDaily[MalariaCases],tblDaily[EntryDate],DATE(2026,12,21),tblDaily[WardCode],"BF")),"")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  <c r="I457" s="5" t="str">
        <f>IFERROR(IF(SUMIFS(tblDaily[MalariaCases],tblDaily[EntryDate],DATE(2026,12,22),tblDaily[WardCode],"BF")=0,"",SUMIFS(tblDaily[MalariaCases],tblDaily[EntryDate],DATE(2026,12,22),tblDaily[WardCode],"BF")),"")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  <c r="I458" s="5" t="str">
        <f>IFERROR(IF(SUMIFS(tblDaily[MalariaCases],tblDaily[EntryDate],DATE(2026,12,23),tblDaily[WardCode],"BF")=0,"",SUMIFS(tblDaily[MalariaCases],tblDaily[EntryDate],DATE(2026,12,23),tblDaily[WardCode],"BF")),"")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  <c r="I459" s="5" t="str">
        <f>IFERROR(IF(SUMIFS(tblDaily[MalariaCases],tblDaily[EntryDate],DATE(2026,12,24),tblDaily[WardCode],"BF")=0,"",SUMIFS(tblDaily[MalariaCases],tblDaily[EntryDate],DATE(2026,12,24),tblDaily[WardCode],"BF")),"")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  <c r="I460" s="5" t="str">
        <f>IFERROR(IF(SUMIFS(tblDaily[MalariaCases],tblDaily[EntryDate],DATE(2026,12,25),tblDaily[WardCode],"BF")=0,"",SUMIFS(tblDaily[MalariaCases],tblDaily[EntryDate],DATE(2026,12,25),tblDaily[WardCode],"BF")),"")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  <c r="I461" s="5" t="str">
        <f>IFERROR(IF(SUMIFS(tblDaily[MalariaCases],tblDaily[EntryDate],DATE(2026,12,26),tblDaily[WardCode],"BF")=0,"",SUMIFS(tblDaily[MalariaCases],tblDaily[EntryDate],DATE(2026,12,26),tblDaily[WardCode],"BF")),"")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  <c r="I462" s="5" t="str">
        <f>IFERROR(IF(SUMIFS(tblDaily[MalariaCases],tblDaily[EntryDate],DATE(2026,12,27),tblDaily[WardCode],"BF")=0,"",SUMIFS(tblDaily[MalariaCases],tblDaily[EntryDate],DATE(2026,12,27),tblDaily[WardCode],"BF")),"")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  <c r="I463" s="5" t="str">
        <f>IFERROR(IF(SUMIFS(tblDaily[MalariaCases],tblDaily[EntryDate],DATE(2026,12,28),tblDaily[WardCode],"BF")=0,"",SUMIFS(tblDaily[MalariaCases],tblDaily[EntryDate],DATE(2026,12,28),tblDaily[WardCode],"BF")),"")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  <c r="I464" s="5" t="str">
        <f>IFERROR(IF(SUMIFS(tblDaily[MalariaCases],tblDaily[EntryDate],DATE(2026,12,29),tblDaily[WardCode],"BF")=0,"",SUMIFS(tblDaily[MalariaCases],tblDaily[EntryDate],DATE(2026,12,29),tblDaily[WardCode],"BF")),"")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  <c r="I465" s="5" t="str">
        <f>IFERROR(IF(SUMIFS(tblDaily[MalariaCases],tblDaily[EntryDate],DATE(2026,12,30),tblDaily[WardCode],"BF")=0,"",SUMIFS(tblDaily[MalariaCases],tblDaily[EntryDate],DATE(2026,12,30),tblDaily[WardCode],"BF")),"")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  <c r="I466" s="5" t="str">
        <f>IFERROR(IF(SUMIFS(tblDaily[MalariaCases],tblDaily[EntryDate],DATE(2026,12,31),tblDaily[WardCode],"BF")=0,"",SUMIFS(tblDaily[MalariaCases],tblDaily[EntryDate],DATE(2026,12,31),tblDaily[WardCode],"BF")),"")</f>
        <v/>
      </c>
    </row>
    <row r="467" spans="1:9" x14ac:dyDescent="0.25">
      <c r="A467" s="9" t="s">
        <v>94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98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IFERROR(INDEX(tblWardConfig[PrevYearRemaining],MATCH("BG",tblWardConfig[Export Year-End],0)),0)</f>
        <v>0</v>
      </c>
    </row>
    <row r="5" spans="1:9" x14ac:dyDescent="0.25">
      <c r="A5" s="1" t="s">
        <v>87</v>
      </c>
      <c r="H5" s="7">
        <f>IFERROR(INDEX(tblWardConfig[BedComplement],MATCH("BG",tblWardConfig[Export Year-End],0)),0)</f>
        <v>14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IFERROR(IF(SUMIFS(tblDaily[Admissions],tblDaily[EntryDate],DATE(2026,1,1),tblDaily[WardCode],"BG")=0,"",SUMIFS(tblDaily[Admissions],tblDaily[EntryDate],DATE(2026,1,1),tblDaily[WardCode],"BG")),"")</f>
        <v/>
      </c>
      <c r="C7" s="5" t="str">
        <f>IFERROR(IF(SUMIFS(tblDaily[Discharges],tblDaily[EntryDate],DATE(2026,1,1),tblDaily[WardCode],"BG")=0,"",SUMIFS(tblDaily[Discharges],tblDaily[EntryDate],DATE(2026,1,1),tblDaily[WardCode],"BG")),"")</f>
        <v/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 t="str">
        <f>IFERROR(IF(SUMIFS(tblDaily[TransfersOut],tblDaily[EntryDate],DATE(2026,1,1),tblDaily[WardCode],"BG")=0,"",SUMIFS(tblDaily[TransfersOut],tblDaily[EntryDate],DATE(2026,1,1),tblDaily[WardCode],"BG")),"")</f>
        <v/>
      </c>
      <c r="H7" s="5" t="str">
        <f>IFERROR(IF(SUMIFS(tblDaily[Remaining],tblDaily[EntryDate],DATE(2026,1,1),tblDaily[WardCode],"BG")=0,"",SUMIFS(tblDaily[Remaining],tblDaily[EntryDate],DATE(2026,1,1),tblDaily[WardCode],"BG")),"")</f>
        <v/>
      </c>
      <c r="I7" s="5" t="str">
        <f>IFERROR(IF(SUMIFS(tblDaily[MalariaCases],tblDaily[EntryDate],DATE(2026,1,1),tblDaily[WardCode],"BG")=0,"",SUMIFS(tblDaily[MalariaCases],tblDaily[EntryDate],DATE(2026,1,1),tblDaily[WardCode],"BG")),"")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IFERROR(IF(SUMIFS(tblDaily[Admissions],tblDaily[EntryDate],DATE(2026,1,2),tblDaily[WardCode],"BG")=0,"",SUMIFS(tblDaily[Admissions],tblDaily[EntryDate],DATE(2026,1,2),tblDaily[WardCode],"BG")),"")</f>
        <v/>
      </c>
      <c r="C8" s="5" t="str">
        <f>IFERROR(IF(SUMIFS(tblDaily[Discharges],tblDaily[EntryDate],DATE(2026,1,2),tblDaily[WardCode],"BG")=0,"",SUMIFS(tblDaily[Discharges],tblDaily[EntryDate],DATE(2026,1,2),tblDaily[WardCode],"BG")),"")</f>
        <v/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 t="str">
        <f>IFERROR(IF(SUMIFS(tblDaily[TransfersIn],tblDaily[EntryDate],DATE(2026,1,2),tblDaily[WardCode],"BG")=0,"",SUMIFS(tblDaily[TransfersIn],tblDaily[EntryDate],DATE(2026,1,2),tblDaily[WardCode],"BG")),"")</f>
        <v/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 t="str">
        <f>IFERROR(IF(SUMIFS(tblDaily[Remaining],tblDaily[EntryDate],DATE(2026,1,2),tblDaily[WardCode],"BG")=0,"",SUMIFS(tblDaily[Remaining],tblDaily[EntryDate],DATE(2026,1,2),tblDaily[WardCode],"BG")),"")</f>
        <v/>
      </c>
      <c r="I8" s="5" t="str">
        <f>IFERROR(IF(SUMIFS(tblDaily[MalariaCases],tblDaily[EntryDate],DATE(2026,1,2),tblDaily[WardCode],"BG")=0,"",SUMIFS(tblDaily[MalariaCases],tblDaily[EntryDate],DATE(2026,1,2),tblDaily[WardCode],"BG")),"")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  <c r="I9" s="5" t="str">
        <f>IFERROR(IF(SUMIFS(tblDaily[MalariaCases],tblDaily[EntryDate],DATE(2026,1,3),tblDaily[WardCode],"BG")=0,"",SUMIFS(tblDaily[MalariaCases],tblDaily[EntryDate],DATE(2026,1,3),tblDaily[WardCode],"BG")),"")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IFERROR(IF(SUMIFS(tblDaily[Admissions],tblDaily[EntryDate],DATE(2026,1,4),tblDaily[WardCode],"BG")=0,"",SUMIFS(tblDaily[Admissions],tblDaily[EntryDate],DATE(2026,1,4),tblDaily[WardCode],"BG")),"")</f>
        <v/>
      </c>
      <c r="C10" s="5" t="str">
        <f>IFERROR(IF(SUMIFS(tblDaily[Discharges],tblDaily[EntryDate],DATE(2026,1,4),tblDaily[WardCode],"BG")=0,"",SUMIFS(tblDaily[Discharges],tblDaily[EntryDate],DATE(2026,1,4),tblDaily[WardCode],"BG")),"")</f>
        <v/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 t="str">
        <f>IFERROR(IF(SUMIFS(tblDaily[TransfersIn],tblDaily[EntryDate],DATE(2026,1,4),tblDaily[WardCode],"BG")=0,"",SUMIFS(tblDaily[TransfersIn],tblDaily[EntryDate],DATE(2026,1,4),tblDaily[WardCode],"BG")),"")</f>
        <v/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 t="str">
        <f>IFERROR(IF(SUMIFS(tblDaily[Remaining],tblDaily[EntryDate],DATE(2026,1,4),tblDaily[WardCode],"BG")=0,"",SUMIFS(tblDaily[Remaining],tblDaily[EntryDate],DATE(2026,1,4),tblDaily[WardCode],"BG")),"")</f>
        <v/>
      </c>
      <c r="I10" s="5" t="str">
        <f>IFERROR(IF(SUMIFS(tblDaily[MalariaCases],tblDaily[EntryDate],DATE(2026,1,4),tblDaily[WardCode],"BG")=0,"",SUMIFS(tblDaily[MalariaCases],tblDaily[EntryDate],DATE(2026,1,4),tblDaily[WardCode],"BG")),"")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IFERROR(IF(SUMIFS(tblDaily[Admissions],tblDaily[EntryDate],DATE(2026,1,5),tblDaily[WardCode],"BG")=0,"",SUMIFS(tblDaily[Admissions],tblDaily[EntryDate],DATE(2026,1,5),tblDaily[WardCode],"BG")),"")</f>
        <v/>
      </c>
      <c r="C11" s="5" t="str">
        <f>IFERROR(IF(SUMIFS(tblDaily[Discharges],tblDaily[EntryDate],DATE(2026,1,5),tblDaily[WardCode],"BG")=0,"",SUMIFS(tblDaily[Discharges],tblDaily[EntryDate],DATE(2026,1,5),tblDaily[WardCode],"BG")),"")</f>
        <v/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 t="str">
        <f>IFERROR(IF(SUMIFS(tblDaily[TransfersIn],tblDaily[EntryDate],DATE(2026,1,5),tblDaily[WardCode],"BG")=0,"",SUMIFS(tblDaily[TransfersIn],tblDaily[EntryDate],DATE(2026,1,5),tblDaily[WardCode],"BG")),"")</f>
        <v/>
      </c>
      <c r="G11" s="5" t="str">
        <f>IFERROR(IF(SUMIFS(tblDaily[TransfersOut],tblDaily[EntryDate],DATE(2026,1,5),tblDaily[WardCode],"BG")=0,"",SUMIFS(tblDaily[TransfersOut],tblDaily[EntryDate],DATE(2026,1,5),tblDaily[WardCode],"BG")),"")</f>
        <v/>
      </c>
      <c r="H11" s="5" t="str">
        <f>IFERROR(IF(SUMIFS(tblDaily[Remaining],tblDaily[EntryDate],DATE(2026,1,5),tblDaily[WardCode],"BG")=0,"",SUMIFS(tblDaily[Remaining],tblDaily[EntryDate],DATE(2026,1,5),tblDaily[WardCode],"BG")),"")</f>
        <v/>
      </c>
      <c r="I11" s="5" t="str">
        <f>IFERROR(IF(SUMIFS(tblDaily[MalariaCases],tblDaily[EntryDate],DATE(2026,1,5),tblDaily[WardCode],"BG")=0,"",SUMIFS(tblDaily[MalariaCases],tblDaily[EntryDate],DATE(2026,1,5),tblDaily[WardCode],"BG")),"")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IFERROR(IF(SUMIFS(tblDaily[Admissions],tblDaily[EntryDate],DATE(2026,1,6),tblDaily[WardCode],"BG")=0,"",SUMIFS(tblDaily[Admissions],tblDaily[EntryDate],DATE(2026,1,6),tblDaily[WardCode],"BG")),"")</f>
        <v/>
      </c>
      <c r="C12" s="5" t="str">
        <f>IFERROR(IF(SUMIFS(tblDaily[Discharges],tblDaily[EntryDate],DATE(2026,1,6),tblDaily[WardCode],"BG")=0,"",SUMIFS(tblDaily[Discharges],tblDaily[EntryDate],DATE(2026,1,6),tblDaily[WardCode],"BG")),"")</f>
        <v/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 t="str">
        <f>IFERROR(IF(SUMIFS(tblDaily[TransfersOut],tblDaily[EntryDate],DATE(2026,1,6),tblDaily[WardCode],"BG")=0,"",SUMIFS(tblDaily[TransfersOut],tblDaily[EntryDate],DATE(2026,1,6),tblDaily[WardCode],"BG")),"")</f>
        <v/>
      </c>
      <c r="H12" s="5" t="str">
        <f>IFERROR(IF(SUMIFS(tblDaily[Remaining],tblDaily[EntryDate],DATE(2026,1,6),tblDaily[WardCode],"BG")=0,"",SUMIFS(tblDaily[Remaining],tblDaily[EntryDate],DATE(2026,1,6),tblDaily[WardCode],"BG")),"")</f>
        <v/>
      </c>
      <c r="I12" s="5" t="str">
        <f>IFERROR(IF(SUMIFS(tblDaily[MalariaCases],tblDaily[EntryDate],DATE(2026,1,6),tblDaily[WardCode],"BG")=0,"",SUMIFS(tblDaily[MalariaCases],tblDaily[EntryDate],DATE(2026,1,6),tblDaily[WardCode],"BG")),"")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IFERROR(IF(SUMIFS(tblDaily[Admissions],tblDaily[EntryDate],DATE(2026,1,7),tblDaily[WardCode],"BG")=0,"",SUMIFS(tblDaily[Admissions],tblDaily[EntryDate],DATE(2026,1,7),tblDaily[WardCode],"BG")),"")</f>
        <v/>
      </c>
      <c r="C13" s="5" t="str">
        <f>IFERROR(IF(SUMIFS(tblDaily[Discharges],tblDaily[EntryDate],DATE(2026,1,7),tblDaily[WardCode],"BG")=0,"",SUMIFS(tblDaily[Discharges],tblDaily[EntryDate],DATE(2026,1,7),tblDaily[WardCode],"BG")),"")</f>
        <v/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 t="str">
        <f>IFERROR(IF(SUMIFS(tblDaily[TransfersIn],tblDaily[EntryDate],DATE(2026,1,7),tblDaily[WardCode],"BG")=0,"",SUMIFS(tblDaily[TransfersIn],tblDaily[EntryDate],DATE(2026,1,7),tblDaily[WardCode],"BG")),"")</f>
        <v/>
      </c>
      <c r="G13" s="5" t="str">
        <f>IFERROR(IF(SUMIFS(tblDaily[TransfersOut],tblDaily[EntryDate],DATE(2026,1,7),tblDaily[WardCode],"BG")=0,"",SUMIFS(tblDaily[TransfersOut],tblDaily[EntryDate],DATE(2026,1,7),tblDaily[WardCode],"BG")),"")</f>
        <v/>
      </c>
      <c r="H13" s="5" t="str">
        <f>IFERROR(IF(SUMIFS(tblDaily[Remaining],tblDaily[EntryDate],DATE(2026,1,7),tblDaily[WardCode],"BG")=0,"",SUMIFS(tblDaily[Remaining],tblDaily[EntryDate],DATE(2026,1,7),tblDaily[WardCode],"BG")),"")</f>
        <v/>
      </c>
      <c r="I13" s="5" t="str">
        <f>IFERROR(IF(SUMIFS(tblDaily[MalariaCases],tblDaily[EntryDate],DATE(2026,1,7),tblDaily[WardCode],"BG")=0,"",SUMIFS(tblDaily[MalariaCases],tblDaily[EntryDate],DATE(2026,1,7),tblDaily[WardCode],"BG")),"")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IFERROR(IF(SUMIFS(tblDaily[Admissions],tblDaily[EntryDate],DATE(2026,1,8),tblDaily[WardCode],"BG")=0,"",SUMIFS(tblDaily[Admissions],tblDaily[EntryDate],DATE(2026,1,8),tblDaily[WardCode],"BG")),"")</f>
        <v/>
      </c>
      <c r="C14" s="5" t="str">
        <f>IFERROR(IF(SUMIFS(tblDaily[Discharges],tblDaily[EntryDate],DATE(2026,1,8),tblDaily[WardCode],"BG")=0,"",SUMIFS(tblDaily[Discharges],tblDaily[EntryDate],DATE(2026,1,8),tblDaily[WardCode],"BG")),"")</f>
        <v/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 t="str">
        <f>IFERROR(IF(SUMIFS(tblDaily[TransfersOut],tblDaily[EntryDate],DATE(2026,1,8),tblDaily[WardCode],"BG")=0,"",SUMIFS(tblDaily[TransfersOut],tblDaily[EntryDate],DATE(2026,1,8),tblDaily[WardCode],"BG")),"")</f>
        <v/>
      </c>
      <c r="H14" s="5" t="str">
        <f>IFERROR(IF(SUMIFS(tblDaily[Remaining],tblDaily[EntryDate],DATE(2026,1,8),tblDaily[WardCode],"BG")=0,"",SUMIFS(tblDaily[Remaining],tblDaily[EntryDate],DATE(2026,1,8),tblDaily[WardCode],"BG")),"")</f>
        <v/>
      </c>
      <c r="I14" s="5" t="str">
        <f>IFERROR(IF(SUMIFS(tblDaily[MalariaCases],tblDaily[EntryDate],DATE(2026,1,8),tblDaily[WardCode],"BG")=0,"",SUMIFS(tblDaily[MalariaCases],tblDaily[EntryDate],DATE(2026,1,8),tblDaily[WardCode],"BG")),"")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IFERROR(IF(SUMIFS(tblDaily[Admissions],tblDaily[EntryDate],DATE(2026,1,9),tblDaily[WardCode],"BG")=0,"",SUMIFS(tblDaily[Admissions],tblDaily[EntryDate],DATE(2026,1,9),tblDaily[WardCode],"BG")),"")</f>
        <v/>
      </c>
      <c r="C15" s="5" t="str">
        <f>IFERROR(IF(SUMIFS(tblDaily[Discharges],tblDaily[EntryDate],DATE(2026,1,9),tblDaily[WardCode],"BG")=0,"",SUMIFS(tblDaily[Discharges],tblDaily[EntryDate],DATE(2026,1,9),tblDaily[WardCode],"BG")),"")</f>
        <v/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 t="str">
        <f>IFERROR(IF(SUMIFS(tblDaily[TransfersIn],tblDaily[EntryDate],DATE(2026,1,9),tblDaily[WardCode],"BG")=0,"",SUMIFS(tblDaily[TransfersIn],tblDaily[EntryDate],DATE(2026,1,9),tblDaily[WardCode],"BG")),"")</f>
        <v/>
      </c>
      <c r="G15" s="5" t="str">
        <f>IFERROR(IF(SUMIFS(tblDaily[TransfersOut],tblDaily[EntryDate],DATE(2026,1,9),tblDaily[WardCode],"BG")=0,"",SUMIFS(tblDaily[TransfersOut],tblDaily[EntryDate],DATE(2026,1,9),tblDaily[WardCode],"BG")),"")</f>
        <v/>
      </c>
      <c r="H15" s="5" t="str">
        <f>IFERROR(IF(SUMIFS(tblDaily[Remaining],tblDaily[EntryDate],DATE(2026,1,9),tblDaily[WardCode],"BG")=0,"",SUMIFS(tblDaily[Remaining],tblDaily[EntryDate],DATE(2026,1,9),tblDaily[WardCode],"BG")),"")</f>
        <v/>
      </c>
      <c r="I15" s="5" t="str">
        <f>IFERROR(IF(SUMIFS(tblDaily[MalariaCases],tblDaily[EntryDate],DATE(2026,1,9),tblDaily[WardCode],"BG")=0,"",SUMIFS(tblDaily[MalariaCases],tblDaily[EntryDate],DATE(2026,1,9),tblDaily[WardCode],"BG")),"")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IFERROR(IF(SUMIFS(tblDaily[Admissions],tblDaily[EntryDate],DATE(2026,1,10),tblDaily[WardCode],"BG")=0,"",SUMIFS(tblDaily[Admissions],tblDaily[EntryDate],DATE(2026,1,10),tblDaily[WardCode],"BG")),"")</f>
        <v/>
      </c>
      <c r="C16" s="5" t="str">
        <f>IFERROR(IF(SUMIFS(tblDaily[Discharges],tblDaily[EntryDate],DATE(2026,1,10),tblDaily[WardCode],"BG")=0,"",SUMIFS(tblDaily[Discharges],tblDaily[EntryDate],DATE(2026,1,10),tblDaily[WardCode],"BG")),"")</f>
        <v/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 t="str">
        <f>IFERROR(IF(SUMIFS(tblDaily[TransfersOut],tblDaily[EntryDate],DATE(2026,1,10),tblDaily[WardCode],"BG")=0,"",SUMIFS(tblDaily[TransfersOut],tblDaily[EntryDate],DATE(2026,1,10),tblDaily[WardCode],"BG")),"")</f>
        <v/>
      </c>
      <c r="H16" s="5" t="str">
        <f>IFERROR(IF(SUMIFS(tblDaily[Remaining],tblDaily[EntryDate],DATE(2026,1,10),tblDaily[WardCode],"BG")=0,"",SUMIFS(tblDaily[Remaining],tblDaily[EntryDate],DATE(2026,1,10),tblDaily[WardCode],"BG")),"")</f>
        <v/>
      </c>
      <c r="I16" s="5" t="str">
        <f>IFERROR(IF(SUMIFS(tblDaily[MalariaCases],tblDaily[EntryDate],DATE(2026,1,10),tblDaily[WardCode],"BG")=0,"",SUMIFS(tblDaily[MalariaCases],tblDaily[EntryDate],DATE(2026,1,10),tblDaily[WardCode],"BG")),"")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IFERROR(IF(SUMIFS(tblDaily[Admissions],tblDaily[EntryDate],DATE(2026,1,11),tblDaily[WardCode],"BG")=0,"",SUMIFS(tblDaily[Admissions],tblDaily[EntryDate],DATE(2026,1,11),tblDaily[WardCode],"BG")),"")</f>
        <v/>
      </c>
      <c r="C17" s="5" t="str">
        <f>IFERROR(IF(SUMIFS(tblDaily[Discharges],tblDaily[EntryDate],DATE(2026,1,11),tblDaily[WardCode],"BG")=0,"",SUMIFS(tblDaily[Discharges],tblDaily[EntryDate],DATE(2026,1,11),tblDaily[WardCode],"BG")),"")</f>
        <v/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 t="str">
        <f>IFERROR(IF(SUMIFS(tblDaily[TransfersIn],tblDaily[EntryDate],DATE(2026,1,11),tblDaily[WardCode],"BG")=0,"",SUMIFS(tblDaily[TransfersIn],tblDaily[EntryDate],DATE(2026,1,11),tblDaily[WardCode],"BG")),"")</f>
        <v/>
      </c>
      <c r="G17" s="5" t="str">
        <f>IFERROR(IF(SUMIFS(tblDaily[TransfersOut],tblDaily[EntryDate],DATE(2026,1,11),tblDaily[WardCode],"BG")=0,"",SUMIFS(tblDaily[TransfersOut],tblDaily[EntryDate],DATE(2026,1,11),tblDaily[WardCode],"BG")),"")</f>
        <v/>
      </c>
      <c r="H17" s="5" t="str">
        <f>IFERROR(IF(SUMIFS(tblDaily[Remaining],tblDaily[EntryDate],DATE(2026,1,11),tblDaily[WardCode],"BG")=0,"",SUMIFS(tblDaily[Remaining],tblDaily[EntryDate],DATE(2026,1,11),tblDaily[WardCode],"BG")),"")</f>
        <v/>
      </c>
      <c r="I17" s="5" t="str">
        <f>IFERROR(IF(SUMIFS(tblDaily[MalariaCases],tblDaily[EntryDate],DATE(2026,1,11),tblDaily[WardCode],"BG")=0,"",SUMIFS(tblDaily[MalariaCases],tblDaily[EntryDate],DATE(2026,1,11),tblDaily[WardCode],"BG")),"")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IFERROR(IF(SUMIFS(tblDaily[Admissions],tblDaily[EntryDate],DATE(2026,1,12),tblDaily[WardCode],"BG")=0,"",SUMIFS(tblDaily[Admissions],tblDaily[EntryDate],DATE(2026,1,12),tblDaily[WardCode],"BG")),"")</f>
        <v/>
      </c>
      <c r="C18" s="5" t="str">
        <f>IFERROR(IF(SUMIFS(tblDaily[Discharges],tblDaily[EntryDate],DATE(2026,1,12),tblDaily[WardCode],"BG")=0,"",SUMIFS(tblDaily[Discharges],tblDaily[EntryDate],DATE(2026,1,12),tblDaily[WardCode],"BG")),"")</f>
        <v/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 t="str">
        <f>IFERROR(IF(SUMIFS(tblDaily[TransfersIn],tblDaily[EntryDate],DATE(2026,1,12),tblDaily[WardCode],"BG")=0,"",SUMIFS(tblDaily[TransfersIn],tblDaily[EntryDate],DATE(2026,1,12),tblDaily[WardCode],"BG")),"")</f>
        <v/>
      </c>
      <c r="G18" s="5" t="str">
        <f>IFERROR(IF(SUMIFS(tblDaily[TransfersOut],tblDaily[EntryDate],DATE(2026,1,12),tblDaily[WardCode],"BG")=0,"",SUMIFS(tblDaily[TransfersOut],tblDaily[EntryDate],DATE(2026,1,12),tblDaily[WardCode],"BG")),"")</f>
        <v/>
      </c>
      <c r="H18" s="5" t="str">
        <f>IFERROR(IF(SUMIFS(tblDaily[Remaining],tblDaily[EntryDate],DATE(2026,1,12),tblDaily[WardCode],"BG")=0,"",SUMIFS(tblDaily[Remaining],tblDaily[EntryDate],DATE(2026,1,12),tblDaily[WardCode],"BG")),"")</f>
        <v/>
      </c>
      <c r="I18" s="5" t="str">
        <f>IFERROR(IF(SUMIFS(tblDaily[MalariaCases],tblDaily[EntryDate],DATE(2026,1,12),tblDaily[WardCode],"BG")=0,"",SUMIFS(tblDaily[MalariaCases],tblDaily[EntryDate],DATE(2026,1,12),tblDaily[WardCode],"BG")),"")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IFERROR(IF(SUMIFS(tblDaily[Admissions],tblDaily[EntryDate],DATE(2026,1,13),tblDaily[WardCode],"BG")=0,"",SUMIFS(tblDaily[Admissions],tblDaily[EntryDate],DATE(2026,1,13),tblDaily[WardCode],"BG")),"")</f>
        <v/>
      </c>
      <c r="C19" s="5" t="str">
        <f>IFERROR(IF(SUMIFS(tblDaily[Discharges],tblDaily[EntryDate],DATE(2026,1,13),tblDaily[WardCode],"BG")=0,"",SUMIFS(tblDaily[Discharges],tblDaily[EntryDate],DATE(2026,1,13),tblDaily[WardCode],"BG")),"")</f>
        <v/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 t="str">
        <f>IFERROR(IF(SUMIFS(tblDaily[TransfersIn],tblDaily[EntryDate],DATE(2026,1,13),tblDaily[WardCode],"BG")=0,"",SUMIFS(tblDaily[TransfersIn],tblDaily[EntryDate],DATE(2026,1,13),tblDaily[WardCode],"BG")),"")</f>
        <v/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 t="str">
        <f>IFERROR(IF(SUMIFS(tblDaily[Remaining],tblDaily[EntryDate],DATE(2026,1,13),tblDaily[WardCode],"BG")=0,"",SUMIFS(tblDaily[Remaining],tblDaily[EntryDate],DATE(2026,1,13),tblDaily[WardCode],"BG")),"")</f>
        <v/>
      </c>
      <c r="I19" s="5" t="str">
        <f>IFERROR(IF(SUMIFS(tblDaily[MalariaCases],tblDaily[EntryDate],DATE(2026,1,13),tblDaily[WardCode],"BG")=0,"",SUMIFS(tblDaily[MalariaCases],tblDaily[EntryDate],DATE(2026,1,13),tblDaily[WardCode],"BG")),"")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IFERROR(IF(SUMIFS(tblDaily[Admissions],tblDaily[EntryDate],DATE(2026,1,14),tblDaily[WardCode],"BG")=0,"",SUMIFS(tblDaily[Admissions],tblDaily[EntryDate],DATE(2026,1,14),tblDaily[WardCode],"BG")),"")</f>
        <v/>
      </c>
      <c r="C20" s="5" t="str">
        <f>IFERROR(IF(SUMIFS(tblDaily[Discharges],tblDaily[EntryDate],DATE(2026,1,14),tblDaily[WardCode],"BG")=0,"",SUMIFS(tblDaily[Discharges],tblDaily[EntryDate],DATE(2026,1,14),tblDaily[WardCode],"BG")),"")</f>
        <v/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 t="str">
        <f>IFERROR(IF(SUMIFS(tblDaily[TransfersIn],tblDaily[EntryDate],DATE(2026,1,14),tblDaily[WardCode],"BG")=0,"",SUMIFS(tblDaily[TransfersIn],tblDaily[EntryDate],DATE(2026,1,14),tblDaily[WardCode],"BG")),"")</f>
        <v/>
      </c>
      <c r="G20" s="5" t="str">
        <f>IFERROR(IF(SUMIFS(tblDaily[TransfersOut],tblDaily[EntryDate],DATE(2026,1,14),tblDaily[WardCode],"BG")=0,"",SUMIFS(tblDaily[TransfersOut],tblDaily[EntryDate],DATE(2026,1,14),tblDaily[WardCode],"BG")),"")</f>
        <v/>
      </c>
      <c r="H20" s="5" t="str">
        <f>IFERROR(IF(SUMIFS(tblDaily[Remaining],tblDaily[EntryDate],DATE(2026,1,14),tblDaily[WardCode],"BG")=0,"",SUMIFS(tblDaily[Remaining],tblDaily[EntryDate],DATE(2026,1,14),tblDaily[WardCode],"BG")),"")</f>
        <v/>
      </c>
      <c r="I20" s="5" t="str">
        <f>IFERROR(IF(SUMIFS(tblDaily[MalariaCases],tblDaily[EntryDate],DATE(2026,1,14),tblDaily[WardCode],"BG")=0,"",SUMIFS(tblDaily[MalariaCases],tblDaily[EntryDate],DATE(2026,1,14),tblDaily[WardCode],"BG")),"")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IFERROR(IF(SUMIFS(tblDaily[Admissions],tblDaily[EntryDate],DATE(2026,1,15),tblDaily[WardCode],"BG")=0,"",SUMIFS(tblDaily[Admissions],tblDaily[EntryDate],DATE(2026,1,15),tblDaily[WardCode],"BG")),"")</f>
        <v/>
      </c>
      <c r="C21" s="5" t="str">
        <f>IFERROR(IF(SUMIFS(tblDaily[Discharges],tblDaily[EntryDate],DATE(2026,1,15),tblDaily[WardCode],"BG")=0,"",SUMIFS(tblDaily[Discharges],tblDaily[EntryDate],DATE(2026,1,15),tblDaily[WardCode],"BG")),"")</f>
        <v/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 t="str">
        <f>IFERROR(IF(SUMIFS(tblDaily[TransfersOut],tblDaily[EntryDate],DATE(2026,1,15),tblDaily[WardCode],"BG")=0,"",SUMIFS(tblDaily[TransfersOut],tblDaily[EntryDate],DATE(2026,1,15),tblDaily[WardCode],"BG")),"")</f>
        <v/>
      </c>
      <c r="H21" s="5" t="str">
        <f>IFERROR(IF(SUMIFS(tblDaily[Remaining],tblDaily[EntryDate],DATE(2026,1,15),tblDaily[WardCode],"BG")=0,"",SUMIFS(tblDaily[Remaining],tblDaily[EntryDate],DATE(2026,1,15),tblDaily[WardCode],"BG")),"")</f>
        <v/>
      </c>
      <c r="I21" s="5" t="str">
        <f>IFERROR(IF(SUMIFS(tblDaily[MalariaCases],tblDaily[EntryDate],DATE(2026,1,15),tblDaily[WardCode],"BG")=0,"",SUMIFS(tblDaily[MalariaCases],tblDaily[EntryDate],DATE(2026,1,15),tblDaily[WardCode],"BG")),"")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IFERROR(IF(SUMIFS(tblDaily[Admissions],tblDaily[EntryDate],DATE(2026,1,16),tblDaily[WardCode],"BG")=0,"",SUMIFS(tblDaily[Admissions],tblDaily[EntryDate],DATE(2026,1,16),tblDaily[WardCode],"BG")),"")</f>
        <v/>
      </c>
      <c r="C22" s="5" t="str">
        <f>IFERROR(IF(SUMIFS(tblDaily[Discharges],tblDaily[EntryDate],DATE(2026,1,16),tblDaily[WardCode],"BG")=0,"",SUMIFS(tblDaily[Discharges],tblDaily[EntryDate],DATE(2026,1,16),tblDaily[WardCode],"BG")),"")</f>
        <v/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 t="str">
        <f>IFERROR(IF(SUMIFS(tblDaily[Remaining],tblDaily[EntryDate],DATE(2026,1,16),tblDaily[WardCode],"BG")=0,"",SUMIFS(tblDaily[Remaining],tblDaily[EntryDate],DATE(2026,1,16),tblDaily[WardCode],"BG")),"")</f>
        <v/>
      </c>
      <c r="I22" s="5" t="str">
        <f>IFERROR(IF(SUMIFS(tblDaily[MalariaCases],tblDaily[EntryDate],DATE(2026,1,16),tblDaily[WardCode],"BG")=0,"",SUMIFS(tblDaily[MalariaCases],tblDaily[EntryDate],DATE(2026,1,16),tblDaily[WardCode],"BG")),"")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IFERROR(IF(SUMIFS(tblDaily[Admissions],tblDaily[EntryDate],DATE(2026,1,17),tblDaily[WardCode],"BG")=0,"",SUMIFS(tblDaily[Admissions],tblDaily[EntryDate],DATE(2026,1,17),tblDaily[WardCode],"BG")),"")</f>
        <v/>
      </c>
      <c r="C23" s="5" t="str">
        <f>IFERROR(IF(SUMIFS(tblDaily[Discharges],tblDaily[EntryDate],DATE(2026,1,17),tblDaily[WardCode],"BG")=0,"",SUMIFS(tblDaily[Discharges],tblDaily[EntryDate],DATE(2026,1,17),tblDaily[WardCode],"BG")),"")</f>
        <v/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 t="str">
        <f>IFERROR(IF(SUMIFS(tblDaily[TransfersOut],tblDaily[EntryDate],DATE(2026,1,17),tblDaily[WardCode],"BG")=0,"",SUMIFS(tblDaily[TransfersOut],tblDaily[EntryDate],DATE(2026,1,17),tblDaily[WardCode],"BG")),"")</f>
        <v/>
      </c>
      <c r="H23" s="5" t="str">
        <f>IFERROR(IF(SUMIFS(tblDaily[Remaining],tblDaily[EntryDate],DATE(2026,1,17),tblDaily[WardCode],"BG")=0,"",SUMIFS(tblDaily[Remaining],tblDaily[EntryDate],DATE(2026,1,17),tblDaily[WardCode],"BG")),"")</f>
        <v/>
      </c>
      <c r="I23" s="5" t="str">
        <f>IFERROR(IF(SUMIFS(tblDaily[MalariaCases],tblDaily[EntryDate],DATE(2026,1,17),tblDaily[WardCode],"BG")=0,"",SUMIFS(tblDaily[MalariaCases],tblDaily[EntryDate],DATE(2026,1,17),tblDaily[WardCode],"BG")),"")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IFERROR(IF(SUMIFS(tblDaily[Admissions],tblDaily[EntryDate],DATE(2026,1,18),tblDaily[WardCode],"BG")=0,"",SUMIFS(tblDaily[Admissions],tblDaily[EntryDate],DATE(2026,1,18),tblDaily[WardCode],"BG")),"")</f>
        <v/>
      </c>
      <c r="C24" s="5" t="str">
        <f>IFERROR(IF(SUMIFS(tblDaily[Discharges],tblDaily[EntryDate],DATE(2026,1,18),tblDaily[WardCode],"BG")=0,"",SUMIFS(tblDaily[Discharges],tblDaily[EntryDate],DATE(2026,1,18),tblDaily[WardCode],"BG")),"")</f>
        <v/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 t="str">
        <f>IFERROR(IF(SUMIFS(tblDaily[TransfersIn],tblDaily[EntryDate],DATE(2026,1,18),tblDaily[WardCode],"BG")=0,"",SUMIFS(tblDaily[TransfersIn],tblDaily[EntryDate],DATE(2026,1,18),tblDaily[WardCode],"BG")),"")</f>
        <v/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 t="str">
        <f>IFERROR(IF(SUMIFS(tblDaily[Remaining],tblDaily[EntryDate],DATE(2026,1,18),tblDaily[WardCode],"BG")=0,"",SUMIFS(tblDaily[Remaining],tblDaily[EntryDate],DATE(2026,1,18),tblDaily[WardCode],"BG")),"")</f>
        <v/>
      </c>
      <c r="I24" s="5" t="str">
        <f>IFERROR(IF(SUMIFS(tblDaily[MalariaCases],tblDaily[EntryDate],DATE(2026,1,18),tblDaily[WardCode],"BG")=0,"",SUMIFS(tblDaily[MalariaCases],tblDaily[EntryDate],DATE(2026,1,18),tblDaily[WardCode],"BG")),"")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IFERROR(IF(SUMIFS(tblDaily[Admissions],tblDaily[EntryDate],DATE(2026,1,19),tblDaily[WardCode],"BG")=0,"",SUMIFS(tblDaily[Admissions],tblDaily[EntryDate],DATE(2026,1,19),tblDaily[WardCode],"BG")),"")</f>
        <v/>
      </c>
      <c r="C25" s="5" t="str">
        <f>IFERROR(IF(SUMIFS(tblDaily[Discharges],tblDaily[EntryDate],DATE(2026,1,19),tblDaily[WardCode],"BG")=0,"",SUMIFS(tblDaily[Discharges],tblDaily[EntryDate],DATE(2026,1,19),tblDaily[WardCode],"BG")),"")</f>
        <v/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 t="str">
        <f>IFERROR(IF(SUMIFS(tblDaily[Remaining],tblDaily[EntryDate],DATE(2026,1,19),tblDaily[WardCode],"BG")=0,"",SUMIFS(tblDaily[Remaining],tblDaily[EntryDate],DATE(2026,1,19),tblDaily[WardCode],"BG")),"")</f>
        <v/>
      </c>
      <c r="I25" s="5" t="str">
        <f>IFERROR(IF(SUMIFS(tblDaily[MalariaCases],tblDaily[EntryDate],DATE(2026,1,19),tblDaily[WardCode],"BG")=0,"",SUMIFS(tblDaily[MalariaCases],tblDaily[EntryDate],DATE(2026,1,19),tblDaily[WardCode],"BG")),"")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IFERROR(IF(SUMIFS(tblDaily[Admissions],tblDaily[EntryDate],DATE(2026,1,20),tblDaily[WardCode],"BG")=0,"",SUMIFS(tblDaily[Admissions],tblDaily[EntryDate],DATE(2026,1,20),tblDaily[WardCode],"BG")),"")</f>
        <v/>
      </c>
      <c r="C26" s="5" t="str">
        <f>IFERROR(IF(SUMIFS(tblDaily[Discharges],tblDaily[EntryDate],DATE(2026,1,20),tblDaily[WardCode],"BG")=0,"",SUMIFS(tblDaily[Discharges],tblDaily[EntryDate],DATE(2026,1,20),tblDaily[WardCode],"BG")),"")</f>
        <v/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 t="str">
        <f>IFERROR(IF(SUMIFS(tblDaily[TransfersIn],tblDaily[EntryDate],DATE(2026,1,20),tblDaily[WardCode],"BG")=0,"",SUMIFS(tblDaily[TransfersIn],tblDaily[EntryDate],DATE(2026,1,20),tblDaily[WardCode],"BG")),"")</f>
        <v/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 t="str">
        <f>IFERROR(IF(SUMIFS(tblDaily[Remaining],tblDaily[EntryDate],DATE(2026,1,20),tblDaily[WardCode],"BG")=0,"",SUMIFS(tblDaily[Remaining],tblDaily[EntryDate],DATE(2026,1,20),tblDaily[WardCode],"BG")),"")</f>
        <v/>
      </c>
      <c r="I26" s="5" t="str">
        <f>IFERROR(IF(SUMIFS(tblDaily[MalariaCases],tblDaily[EntryDate],DATE(2026,1,20),tblDaily[WardCode],"BG")=0,"",SUMIFS(tblDaily[MalariaCases],tblDaily[EntryDate],DATE(2026,1,20),tblDaily[WardCode],"BG")),"")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IFERROR(IF(SUMIFS(tblDaily[Admissions],tblDaily[EntryDate],DATE(2026,1,21),tblDaily[WardCode],"BG")=0,"",SUMIFS(tblDaily[Admissions],tblDaily[EntryDate],DATE(2026,1,21),tblDaily[WardCode],"BG")),"")</f>
        <v/>
      </c>
      <c r="C27" s="5" t="str">
        <f>IFERROR(IF(SUMIFS(tblDaily[Discharges],tblDaily[EntryDate],DATE(2026,1,21),tblDaily[WardCode],"BG")=0,"",SUMIFS(tblDaily[Discharges],tblDaily[EntryDate],DATE(2026,1,21),tblDaily[WardCode],"BG")),"")</f>
        <v/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 t="str">
        <f>IFERROR(IF(SUMIFS(tblDaily[TransfersIn],tblDaily[EntryDate],DATE(2026,1,21),tblDaily[WardCode],"BG")=0,"",SUMIFS(tblDaily[TransfersIn],tblDaily[EntryDate],DATE(2026,1,21),tblDaily[WardCode],"BG")),"")</f>
        <v/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 t="str">
        <f>IFERROR(IF(SUMIFS(tblDaily[Remaining],tblDaily[EntryDate],DATE(2026,1,21),tblDaily[WardCode],"BG")=0,"",SUMIFS(tblDaily[Remaining],tblDaily[EntryDate],DATE(2026,1,21),tblDaily[WardCode],"BG")),"")</f>
        <v/>
      </c>
      <c r="I27" s="5" t="str">
        <f>IFERROR(IF(SUMIFS(tblDaily[MalariaCases],tblDaily[EntryDate],DATE(2026,1,21),tblDaily[WardCode],"BG")=0,"",SUMIFS(tblDaily[MalariaCases],tblDaily[EntryDate],DATE(2026,1,21),tblDaily[WardCode],"BG")),"")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IFERROR(IF(SUMIFS(tblDaily[Admissions],tblDaily[EntryDate],DATE(2026,1,22),tblDaily[WardCode],"BG")=0,"",SUMIFS(tblDaily[Admissions],tblDaily[EntryDate],DATE(2026,1,22),tblDaily[WardCode],"BG")),"")</f>
        <v/>
      </c>
      <c r="C28" s="5" t="str">
        <f>IFERROR(IF(SUMIFS(tblDaily[Discharges],tblDaily[EntryDate],DATE(2026,1,22),tblDaily[WardCode],"BG")=0,"",SUMIFS(tblDaily[Discharges],tblDaily[EntryDate],DATE(2026,1,22),tblDaily[WardCode],"BG")),"")</f>
        <v/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 t="str">
        <f>IFERROR(IF(SUMIFS(tblDaily[TransfersOut],tblDaily[EntryDate],DATE(2026,1,22),tblDaily[WardCode],"BG")=0,"",SUMIFS(tblDaily[TransfersOut],tblDaily[EntryDate],DATE(2026,1,22),tblDaily[WardCode],"BG")),"")</f>
        <v/>
      </c>
      <c r="H28" s="5" t="str">
        <f>IFERROR(IF(SUMIFS(tblDaily[Remaining],tblDaily[EntryDate],DATE(2026,1,22),tblDaily[WardCode],"BG")=0,"",SUMIFS(tblDaily[Remaining],tblDaily[EntryDate],DATE(2026,1,22),tblDaily[WardCode],"BG")),"")</f>
        <v/>
      </c>
      <c r="I28" s="5" t="str">
        <f>IFERROR(IF(SUMIFS(tblDaily[MalariaCases],tblDaily[EntryDate],DATE(2026,1,22),tblDaily[WardCode],"BG")=0,"",SUMIFS(tblDaily[MalariaCases],tblDaily[EntryDate],DATE(2026,1,22),tblDaily[WardCode],"BG")),"")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IFERROR(IF(SUMIFS(tblDaily[Admissions],tblDaily[EntryDate],DATE(2026,1,23),tblDaily[WardCode],"BG")=0,"",SUMIFS(tblDaily[Admissions],tblDaily[EntryDate],DATE(2026,1,23),tblDaily[WardCode],"BG")),"")</f>
        <v/>
      </c>
      <c r="C29" s="5" t="str">
        <f>IFERROR(IF(SUMIFS(tblDaily[Discharges],tblDaily[EntryDate],DATE(2026,1,23),tblDaily[WardCode],"BG")=0,"",SUMIFS(tblDaily[Discharges],tblDaily[EntryDate],DATE(2026,1,23),tblDaily[WardCode],"BG")),"")</f>
        <v/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 t="str">
        <f>IFERROR(IF(SUMIFS(tblDaily[TransfersOut],tblDaily[EntryDate],DATE(2026,1,23),tblDaily[WardCode],"BG")=0,"",SUMIFS(tblDaily[TransfersOut],tblDaily[EntryDate],DATE(2026,1,23),tblDaily[WardCode],"BG")),"")</f>
        <v/>
      </c>
      <c r="H29" s="5" t="str">
        <f>IFERROR(IF(SUMIFS(tblDaily[Remaining],tblDaily[EntryDate],DATE(2026,1,23),tblDaily[WardCode],"BG")=0,"",SUMIFS(tblDaily[Remaining],tblDaily[EntryDate],DATE(2026,1,23),tblDaily[WardCode],"BG")),"")</f>
        <v/>
      </c>
      <c r="I29" s="5" t="str">
        <f>IFERROR(IF(SUMIFS(tblDaily[MalariaCases],tblDaily[EntryDate],DATE(2026,1,23),tblDaily[WardCode],"BG")=0,"",SUMIFS(tblDaily[MalariaCases],tblDaily[EntryDate],DATE(2026,1,23),tblDaily[WardCode],"BG")),"")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 t="str">
        <f>IFERROR(IF(SUMIFS(tblDaily[Discharges],tblDaily[EntryDate],DATE(2026,1,24),tblDaily[WardCode],"BG")=0,"",SUMIFS(tblDaily[Discharges],tblDaily[EntryDate],DATE(2026,1,24),tblDaily[WardCode],"BG")),"")</f>
        <v/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 t="str">
        <f>IFERROR(IF(SUMIFS(tblDaily[TransfersOut],tblDaily[EntryDate],DATE(2026,1,24),tblDaily[WardCode],"BG")=0,"",SUMIFS(tblDaily[TransfersOut],tblDaily[EntryDate],DATE(2026,1,24),tblDaily[WardCode],"BG")),"")</f>
        <v/>
      </c>
      <c r="H30" s="5" t="str">
        <f>IFERROR(IF(SUMIFS(tblDaily[Remaining],tblDaily[EntryDate],DATE(2026,1,24),tblDaily[WardCode],"BG")=0,"",SUMIFS(tblDaily[Remaining],tblDaily[EntryDate],DATE(2026,1,24),tblDaily[WardCode],"BG")),"")</f>
        <v/>
      </c>
      <c r="I30" s="5" t="str">
        <f>IFERROR(IF(SUMIFS(tblDaily[MalariaCases],tblDaily[EntryDate],DATE(2026,1,24),tblDaily[WardCode],"BG")=0,"",SUMIFS(tblDaily[MalariaCases],tblDaily[EntryDate],DATE(2026,1,24),tblDaily[WardCode],"BG")),"")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IFERROR(IF(SUMIFS(tblDaily[Admissions],tblDaily[EntryDate],DATE(2026,1,25),tblDaily[WardCode],"BG")=0,"",SUMIFS(tblDaily[Admissions],tblDaily[EntryDate],DATE(2026,1,25),tblDaily[WardCode],"BG")),"")</f>
        <v/>
      </c>
      <c r="C31" s="5" t="str">
        <f>IFERROR(IF(SUMIFS(tblDaily[Discharges],tblDaily[EntryDate],DATE(2026,1,25),tblDaily[WardCode],"BG")=0,"",SUMIFS(tblDaily[Discharges],tblDaily[EntryDate],DATE(2026,1,25),tblDaily[WardCode],"BG")),"")</f>
        <v/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 t="str">
        <f>IFERROR(IF(SUMIFS(tblDaily[TransfersIn],tblDaily[EntryDate],DATE(2026,1,25),tblDaily[WardCode],"BG")=0,"",SUMIFS(tblDaily[TransfersIn],tblDaily[EntryDate],DATE(2026,1,25),tblDaily[WardCode],"BG")),"")</f>
        <v/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 t="str">
        <f>IFERROR(IF(SUMIFS(tblDaily[Remaining],tblDaily[EntryDate],DATE(2026,1,25),tblDaily[WardCode],"BG")=0,"",SUMIFS(tblDaily[Remaining],tblDaily[EntryDate],DATE(2026,1,25),tblDaily[WardCode],"BG")),"")</f>
        <v/>
      </c>
      <c r="I31" s="5" t="str">
        <f>IFERROR(IF(SUMIFS(tblDaily[MalariaCases],tblDaily[EntryDate],DATE(2026,1,25),tblDaily[WardCode],"BG")=0,"",SUMIFS(tblDaily[MalariaCases],tblDaily[EntryDate],DATE(2026,1,25),tblDaily[WardCode],"BG")),"")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IFERROR(IF(SUMIFS(tblDaily[Admissions],tblDaily[EntryDate],DATE(2026,1,26),tblDaily[WardCode],"BG")=0,"",SUMIFS(tblDaily[Admissions],tblDaily[EntryDate],DATE(2026,1,26),tblDaily[WardCode],"BG")),"")</f>
        <v/>
      </c>
      <c r="C32" s="5" t="str">
        <f>IFERROR(IF(SUMIFS(tblDaily[Discharges],tblDaily[EntryDate],DATE(2026,1,26),tblDaily[WardCode],"BG")=0,"",SUMIFS(tblDaily[Discharges],tblDaily[EntryDate],DATE(2026,1,26),tblDaily[WardCode],"BG")),"")</f>
        <v/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 t="str">
        <f>IFERROR(IF(SUMIFS(tblDaily[Remaining],tblDaily[EntryDate],DATE(2026,1,26),tblDaily[WardCode],"BG")=0,"",SUMIFS(tblDaily[Remaining],tblDaily[EntryDate],DATE(2026,1,26),tblDaily[WardCode],"BG")),"")</f>
        <v/>
      </c>
      <c r="I32" s="5" t="str">
        <f>IFERROR(IF(SUMIFS(tblDaily[MalariaCases],tblDaily[EntryDate],DATE(2026,1,26),tblDaily[WardCode],"BG")=0,"",SUMIFS(tblDaily[MalariaCases],tblDaily[EntryDate],DATE(2026,1,26),tblDaily[WardCode],"BG")),"")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IFERROR(IF(SUMIFS(tblDaily[Admissions],tblDaily[EntryDate],DATE(2026,1,27),tblDaily[WardCode],"BG")=0,"",SUMIFS(tblDaily[Admissions],tblDaily[EntryDate],DATE(2026,1,27),tblDaily[WardCode],"BG")),"")</f>
        <v/>
      </c>
      <c r="C33" s="5" t="str">
        <f>IFERROR(IF(SUMIFS(tblDaily[Discharges],tblDaily[EntryDate],DATE(2026,1,27),tblDaily[WardCode],"BG")=0,"",SUMIFS(tblDaily[Discharges],tblDaily[EntryDate],DATE(2026,1,27),tblDaily[WardCode],"BG")),"")</f>
        <v/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 t="str">
        <f>IFERROR(IF(SUMIFS(tblDaily[TransfersIn],tblDaily[EntryDate],DATE(2026,1,27),tblDaily[WardCode],"BG")=0,"",SUMIFS(tblDaily[TransfersIn],tblDaily[EntryDate],DATE(2026,1,27),tblDaily[WardCode],"BG")),"")</f>
        <v/>
      </c>
      <c r="G33" s="5" t="str">
        <f>IFERROR(IF(SUMIFS(tblDaily[TransfersOut],tblDaily[EntryDate],DATE(2026,1,27),tblDaily[WardCode],"BG")=0,"",SUMIFS(tblDaily[TransfersOut],tblDaily[EntryDate],DATE(2026,1,27),tblDaily[WardCode],"BG")),"")</f>
        <v/>
      </c>
      <c r="H33" s="5" t="str">
        <f>IFERROR(IF(SUMIFS(tblDaily[Remaining],tblDaily[EntryDate],DATE(2026,1,27),tblDaily[WardCode],"BG")=0,"",SUMIFS(tblDaily[Remaining],tblDaily[EntryDate],DATE(2026,1,27),tblDaily[WardCode],"BG")),"")</f>
        <v/>
      </c>
      <c r="I33" s="5" t="str">
        <f>IFERROR(IF(SUMIFS(tblDaily[MalariaCases],tblDaily[EntryDate],DATE(2026,1,27),tblDaily[WardCode],"BG")=0,"",SUMIFS(tblDaily[MalariaCases],tblDaily[EntryDate],DATE(2026,1,27),tblDaily[WardCode],"BG")),"")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IFERROR(IF(SUMIFS(tblDaily[Admissions],tblDaily[EntryDate],DATE(2026,1,28),tblDaily[WardCode],"BG")=0,"",SUMIFS(tblDaily[Admissions],tblDaily[EntryDate],DATE(2026,1,28),tblDaily[WardCode],"BG")),"")</f>
        <v/>
      </c>
      <c r="C34" s="5" t="str">
        <f>IFERROR(IF(SUMIFS(tblDaily[Discharges],tblDaily[EntryDate],DATE(2026,1,28),tblDaily[WardCode],"BG")=0,"",SUMIFS(tblDaily[Discharges],tblDaily[EntryDate],DATE(2026,1,28),tblDaily[WardCode],"BG")),"")</f>
        <v/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 t="str">
        <f>IFERROR(IF(SUMIFS(tblDaily[TransfersOut],tblDaily[EntryDate],DATE(2026,1,28),tblDaily[WardCode],"BG")=0,"",SUMIFS(tblDaily[TransfersOut],tblDaily[EntryDate],DATE(2026,1,28),tblDaily[WardCode],"BG")),"")</f>
        <v/>
      </c>
      <c r="H34" s="5" t="str">
        <f>IFERROR(IF(SUMIFS(tblDaily[Remaining],tblDaily[EntryDate],DATE(2026,1,28),tblDaily[WardCode],"BG")=0,"",SUMIFS(tblDaily[Remaining],tblDaily[EntryDate],DATE(2026,1,28),tblDaily[WardCode],"BG")),"")</f>
        <v/>
      </c>
      <c r="I34" s="5" t="str">
        <f>IFERROR(IF(SUMIFS(tblDaily[MalariaCases],tblDaily[EntryDate],DATE(2026,1,28),tblDaily[WardCode],"BG")=0,"",SUMIFS(tblDaily[MalariaCases],tblDaily[EntryDate],DATE(2026,1,28),tblDaily[WardCode],"BG")),"")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IFERROR(IF(SUMIFS(tblDaily[Admissions],tblDaily[EntryDate],DATE(2026,1,29),tblDaily[WardCode],"BG")=0,"",SUMIFS(tblDaily[Admissions],tblDaily[EntryDate],DATE(2026,1,29),tblDaily[WardCode],"BG")),"")</f>
        <v/>
      </c>
      <c r="C35" s="5" t="str">
        <f>IFERROR(IF(SUMIFS(tblDaily[Discharges],tblDaily[EntryDate],DATE(2026,1,29),tblDaily[WardCode],"BG")=0,"",SUMIFS(tblDaily[Discharges],tblDaily[EntryDate],DATE(2026,1,29),tblDaily[WardCode],"BG")),"")</f>
        <v/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 t="str">
        <f>IFERROR(IF(SUMIFS(tblDaily[TransfersIn],tblDaily[EntryDate],DATE(2026,1,29),tblDaily[WardCode],"BG")=0,"",SUMIFS(tblDaily[TransfersIn],tblDaily[EntryDate],DATE(2026,1,29),tblDaily[WardCode],"BG")),"")</f>
        <v/>
      </c>
      <c r="G35" s="5" t="str">
        <f>IFERROR(IF(SUMIFS(tblDaily[TransfersOut],tblDaily[EntryDate],DATE(2026,1,29),tblDaily[WardCode],"BG")=0,"",SUMIFS(tblDaily[TransfersOut],tblDaily[EntryDate],DATE(2026,1,29),tblDaily[WardCode],"BG")),"")</f>
        <v/>
      </c>
      <c r="H35" s="5" t="str">
        <f>IFERROR(IF(SUMIFS(tblDaily[Remaining],tblDaily[EntryDate],DATE(2026,1,29),tblDaily[WardCode],"BG")=0,"",SUMIFS(tblDaily[Remaining],tblDaily[EntryDate],DATE(2026,1,29),tblDaily[WardCode],"BG")),"")</f>
        <v/>
      </c>
      <c r="I35" s="5" t="str">
        <f>IFERROR(IF(SUMIFS(tblDaily[MalariaCases],tblDaily[EntryDate],DATE(2026,1,29),tblDaily[WardCode],"BG")=0,"",SUMIFS(tblDaily[MalariaCases],tblDaily[EntryDate],DATE(2026,1,29),tblDaily[WardCode],"BG")),"")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IFERROR(IF(SUMIFS(tblDaily[Admissions],tblDaily[EntryDate],DATE(2026,1,30),tblDaily[WardCode],"BG")=0,"",SUMIFS(tblDaily[Admissions],tblDaily[EntryDate],DATE(2026,1,30),tblDaily[WardCode],"BG")),"")</f>
        <v/>
      </c>
      <c r="C36" s="5" t="str">
        <f>IFERROR(IF(SUMIFS(tblDaily[Discharges],tblDaily[EntryDate],DATE(2026,1,30),tblDaily[WardCode],"BG")=0,"",SUMIFS(tblDaily[Discharges],tblDaily[EntryDate],DATE(2026,1,30),tblDaily[WardCode],"BG")),"")</f>
        <v/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 t="str">
        <f>IFERROR(IF(SUMIFS(tblDaily[TransfersIn],tblDaily[EntryDate],DATE(2026,1,30),tblDaily[WardCode],"BG")=0,"",SUMIFS(tblDaily[TransfersIn],tblDaily[EntryDate],DATE(2026,1,30),tblDaily[WardCode],"BG")),"")</f>
        <v/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 t="str">
        <f>IFERROR(IF(SUMIFS(tblDaily[Remaining],tblDaily[EntryDate],DATE(2026,1,30),tblDaily[WardCode],"BG")=0,"",SUMIFS(tblDaily[Remaining],tblDaily[EntryDate],DATE(2026,1,30),tblDaily[WardCode],"BG")),"")</f>
        <v/>
      </c>
      <c r="I36" s="5" t="str">
        <f>IFERROR(IF(SUMIFS(tblDaily[MalariaCases],tblDaily[EntryDate],DATE(2026,1,30),tblDaily[WardCode],"BG")=0,"",SUMIFS(tblDaily[MalariaCases],tblDaily[EntryDate],DATE(2026,1,30),tblDaily[WardCode],"BG")),"")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IFERROR(IF(SUMIFS(tblDaily[Admissions],tblDaily[EntryDate],DATE(2026,1,31),tblDaily[WardCode],"BG")=0,"",SUMIFS(tblDaily[Admissions],tblDaily[EntryDate],DATE(2026,1,31),tblDaily[WardCode],"BG")),"")</f>
        <v/>
      </c>
      <c r="C37" s="5" t="str">
        <f>IFERROR(IF(SUMIFS(tblDaily[Discharges],tblDaily[EntryDate],DATE(2026,1,31),tblDaily[WardCode],"BG")=0,"",SUMIFS(tblDaily[Discharges],tblDaily[EntryDate],DATE(2026,1,31),tblDaily[WardCode],"BG")),"")</f>
        <v/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 t="str">
        <f>IFERROR(IF(SUMIFS(tblDaily[TransfersIn],tblDaily[EntryDate],DATE(2026,1,31),tblDaily[WardCode],"BG")=0,"",SUMIFS(tblDaily[TransfersIn],tblDaily[EntryDate],DATE(2026,1,31),tblDaily[WardCode],"BG")),"")</f>
        <v/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 t="str">
        <f>IFERROR(IF(SUMIFS(tblDaily[Remaining],tblDaily[EntryDate],DATE(2026,1,31),tblDaily[WardCode],"BG")=0,"",SUMIFS(tblDaily[Remaining],tblDaily[EntryDate],DATE(2026,1,31),tblDaily[WardCode],"BG")),"")</f>
        <v/>
      </c>
      <c r="I37" s="5" t="str">
        <f>IFERROR(IF(SUMIFS(tblDaily[MalariaCases],tblDaily[EntryDate],DATE(2026,1,31),tblDaily[WardCode],"BG")=0,"",SUMIFS(tblDaily[MalariaCases],tblDaily[EntryDate],DATE(2026,1,31),tblDaily[WardCode],"BG")),"")</f>
        <v/>
      </c>
    </row>
    <row r="38" spans="1:9" x14ac:dyDescent="0.25">
      <c r="A38" s="9" t="s">
        <v>94</v>
      </c>
      <c r="B38" s="9">
        <f>SUMIFS(tblDaily[Admissions],tblDaily[Month],1,tblDaily[WardCode],"BG")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98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IFERROR(SUMIFS(tblDaily[Remaining],tblDaily[EntryDate],DATE(2026,1,31),tblDaily[WardCode],"BG"),0)</f>
        <v>0</v>
      </c>
    </row>
    <row r="44" spans="1:9" x14ac:dyDescent="0.25">
      <c r="A44" s="1" t="s">
        <v>87</v>
      </c>
      <c r="H44" s="7">
        <f>IFERROR(INDEX(tblWardConfig[BedComplement],MATCH("BG",tblWardConfig[Export Year-End],0)),0)</f>
        <v>14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 t="str">
        <f>IFERROR(IF(SUMIFS(tblDaily[Remaining],tblDaily[EntryDate],DATE(2026,2,1),tblDaily[WardCode],"BG")=0,"",SUMIFS(tblDaily[Remaining],tblDaily[EntryDate],DATE(2026,2,1),tblDaily[WardCode],"BG")),"")</f>
        <v/>
      </c>
      <c r="I46" s="5" t="str">
        <f>IFERROR(IF(SUMIFS(tblDaily[MalariaCases],tblDaily[EntryDate],DATE(2026,2,1),tblDaily[WardCode],"BG")=0,"",SUMIFS(tblDaily[MalariaCases],tblDaily[EntryDate],DATE(2026,2,1),tblDaily[WardCode],"BG")),"")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  <c r="I47" s="5" t="str">
        <f>IFERROR(IF(SUMIFS(tblDaily[MalariaCases],tblDaily[EntryDate],DATE(2026,2,2),tblDaily[WardCode],"BG")=0,"",SUMIFS(tblDaily[MalariaCases],tblDaily[EntryDate],DATE(2026,2,2),tblDaily[WardCode],"BG")),"")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  <c r="I48" s="5" t="str">
        <f>IFERROR(IF(SUMIFS(tblDaily[MalariaCases],tblDaily[EntryDate],DATE(2026,2,3),tblDaily[WardCode],"BG")=0,"",SUMIFS(tblDaily[MalariaCases],tblDaily[EntryDate],DATE(2026,2,3),tblDaily[WardCode],"BG")),"")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  <c r="I49" s="5" t="str">
        <f>IFERROR(IF(SUMIFS(tblDaily[MalariaCases],tblDaily[EntryDate],DATE(2026,2,4),tblDaily[WardCode],"BG")=0,"",SUMIFS(tblDaily[MalariaCases],tblDaily[EntryDate],DATE(2026,2,4),tblDaily[WardCode],"BG")),"")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  <c r="I50" s="5" t="str">
        <f>IFERROR(IF(SUMIFS(tblDaily[MalariaCases],tblDaily[EntryDate],DATE(2026,2,5),tblDaily[WardCode],"BG")=0,"",SUMIFS(tblDaily[MalariaCases],tblDaily[EntryDate],DATE(2026,2,5),tblDaily[WardCode],"BG")),"")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  <c r="I51" s="5" t="str">
        <f>IFERROR(IF(SUMIFS(tblDaily[MalariaCases],tblDaily[EntryDate],DATE(2026,2,6),tblDaily[WardCode],"BG")=0,"",SUMIFS(tblDaily[MalariaCases],tblDaily[EntryDate],DATE(2026,2,6),tblDaily[WardCode],"BG")),"")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  <c r="I52" s="5" t="str">
        <f>IFERROR(IF(SUMIFS(tblDaily[MalariaCases],tblDaily[EntryDate],DATE(2026,2,7),tblDaily[WardCode],"BG")=0,"",SUMIFS(tblDaily[MalariaCases],tblDaily[EntryDate],DATE(2026,2,7),tblDaily[WardCode],"BG")),"")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  <c r="I53" s="5" t="str">
        <f>IFERROR(IF(SUMIFS(tblDaily[MalariaCases],tblDaily[EntryDate],DATE(2026,2,8),tblDaily[WardCode],"BG")=0,"",SUMIFS(tblDaily[MalariaCases],tblDaily[EntryDate],DATE(2026,2,8),tblDaily[WardCode],"BG")),"")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  <c r="I54" s="5" t="str">
        <f>IFERROR(IF(SUMIFS(tblDaily[MalariaCases],tblDaily[EntryDate],DATE(2026,2,9),tblDaily[WardCode],"BG")=0,"",SUMIFS(tblDaily[MalariaCases],tblDaily[EntryDate],DATE(2026,2,9),tblDaily[WardCode],"BG")),"")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  <c r="I55" s="5" t="str">
        <f>IFERROR(IF(SUMIFS(tblDaily[MalariaCases],tblDaily[EntryDate],DATE(2026,2,10),tblDaily[WardCode],"BG")=0,"",SUMIFS(tblDaily[MalariaCases],tblDaily[EntryDate],DATE(2026,2,10),tblDaily[WardCode],"BG")),"")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  <c r="I56" s="5" t="str">
        <f>IFERROR(IF(SUMIFS(tblDaily[MalariaCases],tblDaily[EntryDate],DATE(2026,2,11),tblDaily[WardCode],"BG")=0,"",SUMIFS(tblDaily[MalariaCases],tblDaily[EntryDate],DATE(2026,2,11),tblDaily[WardCode],"BG")),"")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  <c r="I57" s="5" t="str">
        <f>IFERROR(IF(SUMIFS(tblDaily[MalariaCases],tblDaily[EntryDate],DATE(2026,2,12),tblDaily[WardCode],"BG")=0,"",SUMIFS(tblDaily[MalariaCases],tblDaily[EntryDate],DATE(2026,2,12),tblDaily[WardCode],"BG")),"")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  <c r="I58" s="5" t="str">
        <f>IFERROR(IF(SUMIFS(tblDaily[MalariaCases],tblDaily[EntryDate],DATE(2026,2,13),tblDaily[WardCode],"BG")=0,"",SUMIFS(tblDaily[MalariaCases],tblDaily[EntryDate],DATE(2026,2,13),tblDaily[WardCode],"BG")),"")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  <c r="I59" s="5" t="str">
        <f>IFERROR(IF(SUMIFS(tblDaily[MalariaCases],tblDaily[EntryDate],DATE(2026,2,14),tblDaily[WardCode],"BG")=0,"",SUMIFS(tblDaily[MalariaCases],tblDaily[EntryDate],DATE(2026,2,14),tblDaily[WardCode],"BG")),"")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  <c r="I60" s="5" t="str">
        <f>IFERROR(IF(SUMIFS(tblDaily[MalariaCases],tblDaily[EntryDate],DATE(2026,2,15),tblDaily[WardCode],"BG")=0,"",SUMIFS(tblDaily[MalariaCases],tblDaily[EntryDate],DATE(2026,2,15),tblDaily[WardCode],"BG")),"")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  <c r="I61" s="5" t="str">
        <f>IFERROR(IF(SUMIFS(tblDaily[MalariaCases],tblDaily[EntryDate],DATE(2026,2,16),tblDaily[WardCode],"BG")=0,"",SUMIFS(tblDaily[MalariaCases],tblDaily[EntryDate],DATE(2026,2,16),tblDaily[WardCode],"BG")),"")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  <c r="I62" s="5" t="str">
        <f>IFERROR(IF(SUMIFS(tblDaily[MalariaCases],tblDaily[EntryDate],DATE(2026,2,17),tblDaily[WardCode],"BG")=0,"",SUMIFS(tblDaily[MalariaCases],tblDaily[EntryDate],DATE(2026,2,17),tblDaily[WardCode],"BG")),"")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  <c r="I63" s="5" t="str">
        <f>IFERROR(IF(SUMIFS(tblDaily[MalariaCases],tblDaily[EntryDate],DATE(2026,2,18),tblDaily[WardCode],"BG")=0,"",SUMIFS(tblDaily[MalariaCases],tblDaily[EntryDate],DATE(2026,2,18),tblDaily[WardCode],"BG")),"")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  <c r="I64" s="5" t="str">
        <f>IFERROR(IF(SUMIFS(tblDaily[MalariaCases],tblDaily[EntryDate],DATE(2026,2,19),tblDaily[WardCode],"BG")=0,"",SUMIFS(tblDaily[MalariaCases],tblDaily[EntryDate],DATE(2026,2,19),tblDaily[WardCode],"BG")),"")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  <c r="I65" s="5" t="str">
        <f>IFERROR(IF(SUMIFS(tblDaily[MalariaCases],tblDaily[EntryDate],DATE(2026,2,20),tblDaily[WardCode],"BG")=0,"",SUMIFS(tblDaily[MalariaCases],tblDaily[EntryDate],DATE(2026,2,20),tblDaily[WardCode],"BG")),"")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  <c r="I66" s="5" t="str">
        <f>IFERROR(IF(SUMIFS(tblDaily[MalariaCases],tblDaily[EntryDate],DATE(2026,2,21),tblDaily[WardCode],"BG")=0,"",SUMIFS(tblDaily[MalariaCases],tblDaily[EntryDate],DATE(2026,2,21),tblDaily[WardCode],"BG")),"")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  <c r="I67" s="5" t="str">
        <f>IFERROR(IF(SUMIFS(tblDaily[MalariaCases],tblDaily[EntryDate],DATE(2026,2,22),tblDaily[WardCode],"BG")=0,"",SUMIFS(tblDaily[MalariaCases],tblDaily[EntryDate],DATE(2026,2,22),tblDaily[WardCode],"BG")),"")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  <c r="I68" s="5" t="str">
        <f>IFERROR(IF(SUMIFS(tblDaily[MalariaCases],tblDaily[EntryDate],DATE(2026,2,23),tblDaily[WardCode],"BG")=0,"",SUMIFS(tblDaily[MalariaCases],tblDaily[EntryDate],DATE(2026,2,23),tblDaily[WardCode],"BG")),"")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  <c r="I69" s="5" t="str">
        <f>IFERROR(IF(SUMIFS(tblDaily[MalariaCases],tblDaily[EntryDate],DATE(2026,2,24),tblDaily[WardCode],"BG")=0,"",SUMIFS(tblDaily[MalariaCases],tblDaily[EntryDate],DATE(2026,2,24),tblDaily[WardCode],"BG")),"")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  <c r="I70" s="5" t="str">
        <f>IFERROR(IF(SUMIFS(tblDaily[MalariaCases],tblDaily[EntryDate],DATE(2026,2,25),tblDaily[WardCode],"BG")=0,"",SUMIFS(tblDaily[MalariaCases],tblDaily[EntryDate],DATE(2026,2,25),tblDaily[WardCode],"BG")),"")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  <c r="I71" s="5" t="str">
        <f>IFERROR(IF(SUMIFS(tblDaily[MalariaCases],tblDaily[EntryDate],DATE(2026,2,26),tblDaily[WardCode],"BG")=0,"",SUMIFS(tblDaily[MalariaCases],tblDaily[EntryDate],DATE(2026,2,26),tblDaily[WardCode],"BG")),"")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  <c r="I72" s="5" t="str">
        <f>IFERROR(IF(SUMIFS(tblDaily[MalariaCases],tblDaily[EntryDate],DATE(2026,2,27),tblDaily[WardCode],"BG")=0,"",SUMIFS(tblDaily[MalariaCases],tblDaily[EntryDate],DATE(2026,2,27),tblDaily[WardCode],"BG")),"")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  <c r="I73" s="5" t="str">
        <f>IFERROR(IF(SUMIFS(tblDaily[MalariaCases],tblDaily[EntryDate],DATE(2026,2,28),tblDaily[WardCode],"BG")=0,"",SUMIFS(tblDaily[MalariaCases],tblDaily[EntryDate],DATE(2026,2,28),tblDaily[WardCode],"BG")),"")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98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IFERROR(SUMIFS(tblDaily[Remaining],tblDaily[EntryDate],DATE(2026,2,28),tblDaily[WardCode],"BG"),0)</f>
        <v>0</v>
      </c>
    </row>
    <row r="83" spans="1:9" x14ac:dyDescent="0.25">
      <c r="A83" s="1" t="s">
        <v>87</v>
      </c>
      <c r="H83" s="7">
        <f>IFERROR(INDEX(tblWardConfig[BedComplement],MATCH("BG",tblWardConfig[Export Year-End],0)),0)</f>
        <v>14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  <c r="I85" s="5" t="str">
        <f>IFERROR(IF(SUMIFS(tblDaily[MalariaCases],tblDaily[EntryDate],DATE(2026,3,1),tblDaily[WardCode],"BG")=0,"",SUMIFS(tblDaily[MalariaCases],tblDaily[EntryDate],DATE(2026,3,1),tblDaily[WardCode],"BG")),"")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  <c r="I86" s="5" t="str">
        <f>IFERROR(IF(SUMIFS(tblDaily[MalariaCases],tblDaily[EntryDate],DATE(2026,3,2),tblDaily[WardCode],"BG")=0,"",SUMIFS(tblDaily[MalariaCases],tblDaily[EntryDate],DATE(2026,3,2),tblDaily[WardCode],"BG")),"")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  <c r="I87" s="5" t="str">
        <f>IFERROR(IF(SUMIFS(tblDaily[MalariaCases],tblDaily[EntryDate],DATE(2026,3,3),tblDaily[WardCode],"BG")=0,"",SUMIFS(tblDaily[MalariaCases],tblDaily[EntryDate],DATE(2026,3,3),tblDaily[WardCode],"BG")),"")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  <c r="I88" s="5" t="str">
        <f>IFERROR(IF(SUMIFS(tblDaily[MalariaCases],tblDaily[EntryDate],DATE(2026,3,4),tblDaily[WardCode],"BG")=0,"",SUMIFS(tblDaily[MalariaCases],tblDaily[EntryDate],DATE(2026,3,4),tblDaily[WardCode],"BG")),"")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  <c r="I89" s="5" t="str">
        <f>IFERROR(IF(SUMIFS(tblDaily[MalariaCases],tblDaily[EntryDate],DATE(2026,3,5),tblDaily[WardCode],"BG")=0,"",SUMIFS(tblDaily[MalariaCases],tblDaily[EntryDate],DATE(2026,3,5),tblDaily[WardCode],"BG")),"")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  <c r="I90" s="5" t="str">
        <f>IFERROR(IF(SUMIFS(tblDaily[MalariaCases],tblDaily[EntryDate],DATE(2026,3,6),tblDaily[WardCode],"BG")=0,"",SUMIFS(tblDaily[MalariaCases],tblDaily[EntryDate],DATE(2026,3,6),tblDaily[WardCode],"BG")),"")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  <c r="I91" s="5" t="str">
        <f>IFERROR(IF(SUMIFS(tblDaily[MalariaCases],tblDaily[EntryDate],DATE(2026,3,7),tblDaily[WardCode],"BG")=0,"",SUMIFS(tblDaily[MalariaCases],tblDaily[EntryDate],DATE(2026,3,7),tblDaily[WardCode],"BG")),"")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  <c r="I92" s="5" t="str">
        <f>IFERROR(IF(SUMIFS(tblDaily[MalariaCases],tblDaily[EntryDate],DATE(2026,3,8),tblDaily[WardCode],"BG")=0,"",SUMIFS(tblDaily[MalariaCases],tblDaily[EntryDate],DATE(2026,3,8),tblDaily[WardCode],"BG")),"")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  <c r="I93" s="5" t="str">
        <f>IFERROR(IF(SUMIFS(tblDaily[MalariaCases],tblDaily[EntryDate],DATE(2026,3,9),tblDaily[WardCode],"BG")=0,"",SUMIFS(tblDaily[MalariaCases],tblDaily[EntryDate],DATE(2026,3,9),tblDaily[WardCode],"BG")),"")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  <c r="I94" s="5" t="str">
        <f>IFERROR(IF(SUMIFS(tblDaily[MalariaCases],tblDaily[EntryDate],DATE(2026,3,10),tblDaily[WardCode],"BG")=0,"",SUMIFS(tblDaily[MalariaCases],tblDaily[EntryDate],DATE(2026,3,10),tblDaily[WardCode],"BG")),"")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  <c r="I95" s="5" t="str">
        <f>IFERROR(IF(SUMIFS(tblDaily[MalariaCases],tblDaily[EntryDate],DATE(2026,3,11),tblDaily[WardCode],"BG")=0,"",SUMIFS(tblDaily[MalariaCases],tblDaily[EntryDate],DATE(2026,3,11),tblDaily[WardCode],"BG")),"")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  <c r="I96" s="5" t="str">
        <f>IFERROR(IF(SUMIFS(tblDaily[MalariaCases],tblDaily[EntryDate],DATE(2026,3,12),tblDaily[WardCode],"BG")=0,"",SUMIFS(tblDaily[MalariaCases],tblDaily[EntryDate],DATE(2026,3,12),tblDaily[WardCode],"BG")),"")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  <c r="I97" s="5" t="str">
        <f>IFERROR(IF(SUMIFS(tblDaily[MalariaCases],tblDaily[EntryDate],DATE(2026,3,13),tblDaily[WardCode],"BG")=0,"",SUMIFS(tblDaily[MalariaCases],tblDaily[EntryDate],DATE(2026,3,13),tblDaily[WardCode],"BG")),"")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  <c r="I98" s="5" t="str">
        <f>IFERROR(IF(SUMIFS(tblDaily[MalariaCases],tblDaily[EntryDate],DATE(2026,3,14),tblDaily[WardCode],"BG")=0,"",SUMIFS(tblDaily[MalariaCases],tblDaily[EntryDate],DATE(2026,3,14),tblDaily[WardCode],"BG")),"")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  <c r="I99" s="5" t="str">
        <f>IFERROR(IF(SUMIFS(tblDaily[MalariaCases],tblDaily[EntryDate],DATE(2026,3,15),tblDaily[WardCode],"BG")=0,"",SUMIFS(tblDaily[MalariaCases],tblDaily[EntryDate],DATE(2026,3,15),tblDaily[WardCode],"BG")),"")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  <c r="I100" s="5" t="str">
        <f>IFERROR(IF(SUMIFS(tblDaily[MalariaCases],tblDaily[EntryDate],DATE(2026,3,16),tblDaily[WardCode],"BG")=0,"",SUMIFS(tblDaily[MalariaCases],tblDaily[EntryDate],DATE(2026,3,16),tblDaily[WardCode],"BG")),"")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  <c r="I101" s="5" t="str">
        <f>IFERROR(IF(SUMIFS(tblDaily[MalariaCases],tblDaily[EntryDate],DATE(2026,3,17),tblDaily[WardCode],"BG")=0,"",SUMIFS(tblDaily[MalariaCases],tblDaily[EntryDate],DATE(2026,3,17),tblDaily[WardCode],"BG")),"")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  <c r="I102" s="5" t="str">
        <f>IFERROR(IF(SUMIFS(tblDaily[MalariaCases],tblDaily[EntryDate],DATE(2026,3,18),tblDaily[WardCode],"BG")=0,"",SUMIFS(tblDaily[MalariaCases],tblDaily[EntryDate],DATE(2026,3,18),tblDaily[WardCode],"BG")),"")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  <c r="I103" s="5" t="str">
        <f>IFERROR(IF(SUMIFS(tblDaily[MalariaCases],tblDaily[EntryDate],DATE(2026,3,19),tblDaily[WardCode],"BG")=0,"",SUMIFS(tblDaily[MalariaCases],tblDaily[EntryDate],DATE(2026,3,19),tblDaily[WardCode],"BG")),"")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  <c r="I104" s="5" t="str">
        <f>IFERROR(IF(SUMIFS(tblDaily[MalariaCases],tblDaily[EntryDate],DATE(2026,3,20),tblDaily[WardCode],"BG")=0,"",SUMIFS(tblDaily[MalariaCases],tblDaily[EntryDate],DATE(2026,3,20),tblDaily[WardCode],"BG")),"")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  <c r="I105" s="5" t="str">
        <f>IFERROR(IF(SUMIFS(tblDaily[MalariaCases],tblDaily[EntryDate],DATE(2026,3,21),tblDaily[WardCode],"BG")=0,"",SUMIFS(tblDaily[MalariaCases],tblDaily[EntryDate],DATE(2026,3,21),tblDaily[WardCode],"BG")),"")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  <c r="I106" s="5" t="str">
        <f>IFERROR(IF(SUMIFS(tblDaily[MalariaCases],tblDaily[EntryDate],DATE(2026,3,22),tblDaily[WardCode],"BG")=0,"",SUMIFS(tblDaily[MalariaCases],tblDaily[EntryDate],DATE(2026,3,22),tblDaily[WardCode],"BG")),"")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  <c r="I107" s="5" t="str">
        <f>IFERROR(IF(SUMIFS(tblDaily[MalariaCases],tblDaily[EntryDate],DATE(2026,3,23),tblDaily[WardCode],"BG")=0,"",SUMIFS(tblDaily[MalariaCases],tblDaily[EntryDate],DATE(2026,3,23),tblDaily[WardCode],"BG")),"")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  <c r="I108" s="5" t="str">
        <f>IFERROR(IF(SUMIFS(tblDaily[MalariaCases],tblDaily[EntryDate],DATE(2026,3,24),tblDaily[WardCode],"BG")=0,"",SUMIFS(tblDaily[MalariaCases],tblDaily[EntryDate],DATE(2026,3,24),tblDaily[WardCode],"BG")),"")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  <c r="I109" s="5" t="str">
        <f>IFERROR(IF(SUMIFS(tblDaily[MalariaCases],tblDaily[EntryDate],DATE(2026,3,25),tblDaily[WardCode],"BG")=0,"",SUMIFS(tblDaily[MalariaCases],tblDaily[EntryDate],DATE(2026,3,25),tblDaily[WardCode],"BG")),"")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  <c r="I110" s="5" t="str">
        <f>IFERROR(IF(SUMIFS(tblDaily[MalariaCases],tblDaily[EntryDate],DATE(2026,3,26),tblDaily[WardCode],"BG")=0,"",SUMIFS(tblDaily[MalariaCases],tblDaily[EntryDate],DATE(2026,3,26),tblDaily[WardCode],"BG")),"")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  <c r="I111" s="5" t="str">
        <f>IFERROR(IF(SUMIFS(tblDaily[MalariaCases],tblDaily[EntryDate],DATE(2026,3,27),tblDaily[WardCode],"BG")=0,"",SUMIFS(tblDaily[MalariaCases],tblDaily[EntryDate],DATE(2026,3,27),tblDaily[WardCode],"BG")),"")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  <c r="I112" s="5" t="str">
        <f>IFERROR(IF(SUMIFS(tblDaily[MalariaCases],tblDaily[EntryDate],DATE(2026,3,28),tblDaily[WardCode],"BG")=0,"",SUMIFS(tblDaily[MalariaCases],tblDaily[EntryDate],DATE(2026,3,28),tblDaily[WardCode],"BG")),"")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  <c r="I113" s="5" t="str">
        <f>IFERROR(IF(SUMIFS(tblDaily[MalariaCases],tblDaily[EntryDate],DATE(2026,3,29),tblDaily[WardCode],"BG")=0,"",SUMIFS(tblDaily[MalariaCases],tblDaily[EntryDate],DATE(2026,3,29),tblDaily[WardCode],"BG")),"")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  <c r="I114" s="5" t="str">
        <f>IFERROR(IF(SUMIFS(tblDaily[MalariaCases],tblDaily[EntryDate],DATE(2026,3,30),tblDaily[WardCode],"BG")=0,"",SUMIFS(tblDaily[MalariaCases],tblDaily[EntryDate],DATE(2026,3,30),tblDaily[WardCode],"BG")),"")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  <c r="I115" s="5" t="str">
        <f>IFERROR(IF(SUMIFS(tblDaily[MalariaCases],tblDaily[EntryDate],DATE(2026,3,31),tblDaily[WardCode],"BG")=0,"",SUMIFS(tblDaily[MalariaCases],tblDaily[EntryDate],DATE(2026,3,31),tblDaily[WardCode],"BG")),"")</f>
        <v/>
      </c>
    </row>
    <row r="116" spans="1:9" x14ac:dyDescent="0.25">
      <c r="A116" s="9" t="s">
        <v>94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98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IFERROR(SUMIFS(tblDaily[Remaining],tblDaily[EntryDate],DATE(2026,3,31),tblDaily[WardCode],"BG"),0)</f>
        <v>0</v>
      </c>
    </row>
    <row r="122" spans="1:9" x14ac:dyDescent="0.25">
      <c r="A122" s="1" t="s">
        <v>87</v>
      </c>
      <c r="H122" s="7">
        <f>IFERROR(INDEX(tblWardConfig[BedComplement],MATCH("BG",tblWardConfig[Export Year-End],0)),0)</f>
        <v>14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  <c r="I124" s="5" t="str">
        <f>IFERROR(IF(SUMIFS(tblDaily[MalariaCases],tblDaily[EntryDate],DATE(2026,4,1),tblDaily[WardCode],"BG")=0,"",SUMIFS(tblDaily[MalariaCases],tblDaily[EntryDate],DATE(2026,4,1),tblDaily[WardCode],"BG")),"")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  <c r="I125" s="5" t="str">
        <f>IFERROR(IF(SUMIFS(tblDaily[MalariaCases],tblDaily[EntryDate],DATE(2026,4,2),tblDaily[WardCode],"BG")=0,"",SUMIFS(tblDaily[MalariaCases],tblDaily[EntryDate],DATE(2026,4,2),tblDaily[WardCode],"BG")),"")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  <c r="I126" s="5" t="str">
        <f>IFERROR(IF(SUMIFS(tblDaily[MalariaCases],tblDaily[EntryDate],DATE(2026,4,3),tblDaily[WardCode],"BG")=0,"",SUMIFS(tblDaily[MalariaCases],tblDaily[EntryDate],DATE(2026,4,3),tblDaily[WardCode],"BG")),"")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  <c r="I127" s="5" t="str">
        <f>IFERROR(IF(SUMIFS(tblDaily[MalariaCases],tblDaily[EntryDate],DATE(2026,4,4),tblDaily[WardCode],"BG")=0,"",SUMIFS(tblDaily[MalariaCases],tblDaily[EntryDate],DATE(2026,4,4),tblDaily[WardCode],"BG")),"")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  <c r="I128" s="5" t="str">
        <f>IFERROR(IF(SUMIFS(tblDaily[MalariaCases],tblDaily[EntryDate],DATE(2026,4,5),tblDaily[WardCode],"BG")=0,"",SUMIFS(tblDaily[MalariaCases],tblDaily[EntryDate],DATE(2026,4,5),tblDaily[WardCode],"BG")),"")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  <c r="I129" s="5" t="str">
        <f>IFERROR(IF(SUMIFS(tblDaily[MalariaCases],tblDaily[EntryDate],DATE(2026,4,6),tblDaily[WardCode],"BG")=0,"",SUMIFS(tblDaily[MalariaCases],tblDaily[EntryDate],DATE(2026,4,6),tblDaily[WardCode],"BG")),"")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  <c r="I130" s="5" t="str">
        <f>IFERROR(IF(SUMIFS(tblDaily[MalariaCases],tblDaily[EntryDate],DATE(2026,4,7),tblDaily[WardCode],"BG")=0,"",SUMIFS(tblDaily[MalariaCases],tblDaily[EntryDate],DATE(2026,4,7),tblDaily[WardCode],"BG")),"")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  <c r="I131" s="5" t="str">
        <f>IFERROR(IF(SUMIFS(tblDaily[MalariaCases],tblDaily[EntryDate],DATE(2026,4,8),tblDaily[WardCode],"BG")=0,"",SUMIFS(tblDaily[MalariaCases],tblDaily[EntryDate],DATE(2026,4,8),tblDaily[WardCode],"BG")),"")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  <c r="I132" s="5" t="str">
        <f>IFERROR(IF(SUMIFS(tblDaily[MalariaCases],tblDaily[EntryDate],DATE(2026,4,9),tblDaily[WardCode],"BG")=0,"",SUMIFS(tblDaily[MalariaCases],tblDaily[EntryDate],DATE(2026,4,9),tblDaily[WardCode],"BG")),"")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  <c r="I133" s="5" t="str">
        <f>IFERROR(IF(SUMIFS(tblDaily[MalariaCases],tblDaily[EntryDate],DATE(2026,4,10),tblDaily[WardCode],"BG")=0,"",SUMIFS(tblDaily[MalariaCases],tblDaily[EntryDate],DATE(2026,4,10),tblDaily[WardCode],"BG")),"")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  <c r="I134" s="5" t="str">
        <f>IFERROR(IF(SUMIFS(tblDaily[MalariaCases],tblDaily[EntryDate],DATE(2026,4,11),tblDaily[WardCode],"BG")=0,"",SUMIFS(tblDaily[MalariaCases],tblDaily[EntryDate],DATE(2026,4,11),tblDaily[WardCode],"BG")),"")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  <c r="I135" s="5" t="str">
        <f>IFERROR(IF(SUMIFS(tblDaily[MalariaCases],tblDaily[EntryDate],DATE(2026,4,12),tblDaily[WardCode],"BG")=0,"",SUMIFS(tblDaily[MalariaCases],tblDaily[EntryDate],DATE(2026,4,12),tblDaily[WardCode],"BG")),"")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  <c r="I136" s="5" t="str">
        <f>IFERROR(IF(SUMIFS(tblDaily[MalariaCases],tblDaily[EntryDate],DATE(2026,4,13),tblDaily[WardCode],"BG")=0,"",SUMIFS(tblDaily[MalariaCases],tblDaily[EntryDate],DATE(2026,4,13),tblDaily[WardCode],"BG")),"")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  <c r="I137" s="5" t="str">
        <f>IFERROR(IF(SUMIFS(tblDaily[MalariaCases],tblDaily[EntryDate],DATE(2026,4,14),tblDaily[WardCode],"BG")=0,"",SUMIFS(tblDaily[MalariaCases],tblDaily[EntryDate],DATE(2026,4,14),tblDaily[WardCode],"BG")),"")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  <c r="I138" s="5" t="str">
        <f>IFERROR(IF(SUMIFS(tblDaily[MalariaCases],tblDaily[EntryDate],DATE(2026,4,15),tblDaily[WardCode],"BG")=0,"",SUMIFS(tblDaily[MalariaCases],tblDaily[EntryDate],DATE(2026,4,15),tblDaily[WardCode],"BG")),"")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  <c r="I139" s="5" t="str">
        <f>IFERROR(IF(SUMIFS(tblDaily[MalariaCases],tblDaily[EntryDate],DATE(2026,4,16),tblDaily[WardCode],"BG")=0,"",SUMIFS(tblDaily[MalariaCases],tblDaily[EntryDate],DATE(2026,4,16),tblDaily[WardCode],"BG")),"")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  <c r="I140" s="5" t="str">
        <f>IFERROR(IF(SUMIFS(tblDaily[MalariaCases],tblDaily[EntryDate],DATE(2026,4,17),tblDaily[WardCode],"BG")=0,"",SUMIFS(tblDaily[MalariaCases],tblDaily[EntryDate],DATE(2026,4,17),tblDaily[WardCode],"BG")),"")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  <c r="I141" s="5" t="str">
        <f>IFERROR(IF(SUMIFS(tblDaily[MalariaCases],tblDaily[EntryDate],DATE(2026,4,18),tblDaily[WardCode],"BG")=0,"",SUMIFS(tblDaily[MalariaCases],tblDaily[EntryDate],DATE(2026,4,18),tblDaily[WardCode],"BG")),"")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  <c r="I142" s="5" t="str">
        <f>IFERROR(IF(SUMIFS(tblDaily[MalariaCases],tblDaily[EntryDate],DATE(2026,4,19),tblDaily[WardCode],"BG")=0,"",SUMIFS(tblDaily[MalariaCases],tblDaily[EntryDate],DATE(2026,4,19),tblDaily[WardCode],"BG")),"")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  <c r="I143" s="5" t="str">
        <f>IFERROR(IF(SUMIFS(tblDaily[MalariaCases],tblDaily[EntryDate],DATE(2026,4,20),tblDaily[WardCode],"BG")=0,"",SUMIFS(tblDaily[MalariaCases],tblDaily[EntryDate],DATE(2026,4,20),tblDaily[WardCode],"BG")),"")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  <c r="I144" s="5" t="str">
        <f>IFERROR(IF(SUMIFS(tblDaily[MalariaCases],tblDaily[EntryDate],DATE(2026,4,21),tblDaily[WardCode],"BG")=0,"",SUMIFS(tblDaily[MalariaCases],tblDaily[EntryDate],DATE(2026,4,21),tblDaily[WardCode],"BG")),"")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  <c r="I145" s="5" t="str">
        <f>IFERROR(IF(SUMIFS(tblDaily[MalariaCases],tblDaily[EntryDate],DATE(2026,4,22),tblDaily[WardCode],"BG")=0,"",SUMIFS(tblDaily[MalariaCases],tblDaily[EntryDate],DATE(2026,4,22),tblDaily[WardCode],"BG")),"")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  <c r="I146" s="5" t="str">
        <f>IFERROR(IF(SUMIFS(tblDaily[MalariaCases],tblDaily[EntryDate],DATE(2026,4,23),tblDaily[WardCode],"BG")=0,"",SUMIFS(tblDaily[MalariaCases],tblDaily[EntryDate],DATE(2026,4,23),tblDaily[WardCode],"BG")),"")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  <c r="I147" s="5" t="str">
        <f>IFERROR(IF(SUMIFS(tblDaily[MalariaCases],tblDaily[EntryDate],DATE(2026,4,24),tblDaily[WardCode],"BG")=0,"",SUMIFS(tblDaily[MalariaCases],tblDaily[EntryDate],DATE(2026,4,24),tblDaily[WardCode],"BG")),"")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  <c r="I148" s="5" t="str">
        <f>IFERROR(IF(SUMIFS(tblDaily[MalariaCases],tblDaily[EntryDate],DATE(2026,4,25),tblDaily[WardCode],"BG")=0,"",SUMIFS(tblDaily[MalariaCases],tblDaily[EntryDate],DATE(2026,4,25),tblDaily[WardCode],"BG")),"")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  <c r="I149" s="5" t="str">
        <f>IFERROR(IF(SUMIFS(tblDaily[MalariaCases],tblDaily[EntryDate],DATE(2026,4,26),tblDaily[WardCode],"BG")=0,"",SUMIFS(tblDaily[MalariaCases],tblDaily[EntryDate],DATE(2026,4,26),tblDaily[WardCode],"BG")),"")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  <c r="I150" s="5" t="str">
        <f>IFERROR(IF(SUMIFS(tblDaily[MalariaCases],tblDaily[EntryDate],DATE(2026,4,27),tblDaily[WardCode],"BG")=0,"",SUMIFS(tblDaily[MalariaCases],tblDaily[EntryDate],DATE(2026,4,27),tblDaily[WardCode],"BG")),"")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  <c r="I151" s="5" t="str">
        <f>IFERROR(IF(SUMIFS(tblDaily[MalariaCases],tblDaily[EntryDate],DATE(2026,4,28),tblDaily[WardCode],"BG")=0,"",SUMIFS(tblDaily[MalariaCases],tblDaily[EntryDate],DATE(2026,4,28),tblDaily[WardCode],"BG")),"")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  <c r="I152" s="5" t="str">
        <f>IFERROR(IF(SUMIFS(tblDaily[MalariaCases],tblDaily[EntryDate],DATE(2026,4,29),tblDaily[WardCode],"BG")=0,"",SUMIFS(tblDaily[MalariaCases],tblDaily[EntryDate],DATE(2026,4,29),tblDaily[WardCode],"BG")),"")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  <c r="I153" s="5" t="str">
        <f>IFERROR(IF(SUMIFS(tblDaily[MalariaCases],tblDaily[EntryDate],DATE(2026,4,30),tblDaily[WardCode],"BG")=0,"",SUMIFS(tblDaily[MalariaCases],tblDaily[EntryDate],DATE(2026,4,30),tblDaily[WardCode],"BG")),"")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98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IFERROR(SUMIFS(tblDaily[Remaining],tblDaily[EntryDate],DATE(2026,4,30),tblDaily[WardCode],"BG"),0)</f>
        <v>0</v>
      </c>
    </row>
    <row r="161" spans="1:9" x14ac:dyDescent="0.25">
      <c r="A161" s="1" t="s">
        <v>87</v>
      </c>
      <c r="H161" s="7">
        <f>IFERROR(INDEX(tblWardConfig[BedComplement],MATCH("BG",tblWardConfig[Export Year-End],0)),0)</f>
        <v>14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  <c r="I163" s="5" t="str">
        <f>IFERROR(IF(SUMIFS(tblDaily[MalariaCases],tblDaily[EntryDate],DATE(2026,5,1),tblDaily[WardCode],"BG")=0,"",SUMIFS(tblDaily[MalariaCases],tblDaily[EntryDate],DATE(2026,5,1),tblDaily[WardCode],"BG")),"")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  <c r="I164" s="5" t="str">
        <f>IFERROR(IF(SUMIFS(tblDaily[MalariaCases],tblDaily[EntryDate],DATE(2026,5,2),tblDaily[WardCode],"BG")=0,"",SUMIFS(tblDaily[MalariaCases],tblDaily[EntryDate],DATE(2026,5,2),tblDaily[WardCode],"BG")),"")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  <c r="I165" s="5" t="str">
        <f>IFERROR(IF(SUMIFS(tblDaily[MalariaCases],tblDaily[EntryDate],DATE(2026,5,3),tblDaily[WardCode],"BG")=0,"",SUMIFS(tblDaily[MalariaCases],tblDaily[EntryDate],DATE(2026,5,3),tblDaily[WardCode],"BG")),"")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  <c r="I166" s="5" t="str">
        <f>IFERROR(IF(SUMIFS(tblDaily[MalariaCases],tblDaily[EntryDate],DATE(2026,5,4),tblDaily[WardCode],"BG")=0,"",SUMIFS(tblDaily[MalariaCases],tblDaily[EntryDate],DATE(2026,5,4),tblDaily[WardCode],"BG")),"")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  <c r="I167" s="5" t="str">
        <f>IFERROR(IF(SUMIFS(tblDaily[MalariaCases],tblDaily[EntryDate],DATE(2026,5,5),tblDaily[WardCode],"BG")=0,"",SUMIFS(tblDaily[MalariaCases],tblDaily[EntryDate],DATE(2026,5,5),tblDaily[WardCode],"BG")),"")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  <c r="I168" s="5" t="str">
        <f>IFERROR(IF(SUMIFS(tblDaily[MalariaCases],tblDaily[EntryDate],DATE(2026,5,6),tblDaily[WardCode],"BG")=0,"",SUMIFS(tblDaily[MalariaCases],tblDaily[EntryDate],DATE(2026,5,6),tblDaily[WardCode],"BG")),"")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  <c r="I169" s="5" t="str">
        <f>IFERROR(IF(SUMIFS(tblDaily[MalariaCases],tblDaily[EntryDate],DATE(2026,5,7),tblDaily[WardCode],"BG")=0,"",SUMIFS(tblDaily[MalariaCases],tblDaily[EntryDate],DATE(2026,5,7),tblDaily[WardCode],"BG")),"")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  <c r="I170" s="5" t="str">
        <f>IFERROR(IF(SUMIFS(tblDaily[MalariaCases],tblDaily[EntryDate],DATE(2026,5,8),tblDaily[WardCode],"BG")=0,"",SUMIFS(tblDaily[MalariaCases],tblDaily[EntryDate],DATE(2026,5,8),tblDaily[WardCode],"BG")),"")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  <c r="I171" s="5" t="str">
        <f>IFERROR(IF(SUMIFS(tblDaily[MalariaCases],tblDaily[EntryDate],DATE(2026,5,9),tblDaily[WardCode],"BG")=0,"",SUMIFS(tblDaily[MalariaCases],tblDaily[EntryDate],DATE(2026,5,9),tblDaily[WardCode],"BG")),"")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  <c r="I172" s="5" t="str">
        <f>IFERROR(IF(SUMIFS(tblDaily[MalariaCases],tblDaily[EntryDate],DATE(2026,5,10),tblDaily[WardCode],"BG")=0,"",SUMIFS(tblDaily[MalariaCases],tblDaily[EntryDate],DATE(2026,5,10),tblDaily[WardCode],"BG")),"")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  <c r="I173" s="5" t="str">
        <f>IFERROR(IF(SUMIFS(tblDaily[MalariaCases],tblDaily[EntryDate],DATE(2026,5,11),tblDaily[WardCode],"BG")=0,"",SUMIFS(tblDaily[MalariaCases],tblDaily[EntryDate],DATE(2026,5,11),tblDaily[WardCode],"BG")),"")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  <c r="I174" s="5" t="str">
        <f>IFERROR(IF(SUMIFS(tblDaily[MalariaCases],tblDaily[EntryDate],DATE(2026,5,12),tblDaily[WardCode],"BG")=0,"",SUMIFS(tblDaily[MalariaCases],tblDaily[EntryDate],DATE(2026,5,12),tblDaily[WardCode],"BG")),"")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  <c r="I175" s="5" t="str">
        <f>IFERROR(IF(SUMIFS(tblDaily[MalariaCases],tblDaily[EntryDate],DATE(2026,5,13),tblDaily[WardCode],"BG")=0,"",SUMIFS(tblDaily[MalariaCases],tblDaily[EntryDate],DATE(2026,5,13),tblDaily[WardCode],"BG")),"")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  <c r="I176" s="5" t="str">
        <f>IFERROR(IF(SUMIFS(tblDaily[MalariaCases],tblDaily[EntryDate],DATE(2026,5,14),tblDaily[WardCode],"BG")=0,"",SUMIFS(tblDaily[MalariaCases],tblDaily[EntryDate],DATE(2026,5,14),tblDaily[WardCode],"BG")),"")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  <c r="I177" s="5" t="str">
        <f>IFERROR(IF(SUMIFS(tblDaily[MalariaCases],tblDaily[EntryDate],DATE(2026,5,15),tblDaily[WardCode],"BG")=0,"",SUMIFS(tblDaily[MalariaCases],tblDaily[EntryDate],DATE(2026,5,15),tblDaily[WardCode],"BG")),"")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  <c r="I178" s="5" t="str">
        <f>IFERROR(IF(SUMIFS(tblDaily[MalariaCases],tblDaily[EntryDate],DATE(2026,5,16),tblDaily[WardCode],"BG")=0,"",SUMIFS(tblDaily[MalariaCases],tblDaily[EntryDate],DATE(2026,5,16),tblDaily[WardCode],"BG")),"")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  <c r="I179" s="5" t="str">
        <f>IFERROR(IF(SUMIFS(tblDaily[MalariaCases],tblDaily[EntryDate],DATE(2026,5,17),tblDaily[WardCode],"BG")=0,"",SUMIFS(tblDaily[MalariaCases],tblDaily[EntryDate],DATE(2026,5,17),tblDaily[WardCode],"BG")),"")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  <c r="I180" s="5" t="str">
        <f>IFERROR(IF(SUMIFS(tblDaily[MalariaCases],tblDaily[EntryDate],DATE(2026,5,18),tblDaily[WardCode],"BG")=0,"",SUMIFS(tblDaily[MalariaCases],tblDaily[EntryDate],DATE(2026,5,18),tblDaily[WardCode],"BG")),"")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  <c r="I181" s="5" t="str">
        <f>IFERROR(IF(SUMIFS(tblDaily[MalariaCases],tblDaily[EntryDate],DATE(2026,5,19),tblDaily[WardCode],"BG")=0,"",SUMIFS(tblDaily[MalariaCases],tblDaily[EntryDate],DATE(2026,5,19),tblDaily[WardCode],"BG")),"")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  <c r="I182" s="5" t="str">
        <f>IFERROR(IF(SUMIFS(tblDaily[MalariaCases],tblDaily[EntryDate],DATE(2026,5,20),tblDaily[WardCode],"BG")=0,"",SUMIFS(tblDaily[MalariaCases],tblDaily[EntryDate],DATE(2026,5,20),tblDaily[WardCode],"BG")),"")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  <c r="I183" s="5" t="str">
        <f>IFERROR(IF(SUMIFS(tblDaily[MalariaCases],tblDaily[EntryDate],DATE(2026,5,21),tblDaily[WardCode],"BG")=0,"",SUMIFS(tblDaily[MalariaCases],tblDaily[EntryDate],DATE(2026,5,21),tblDaily[WardCode],"BG")),"")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  <c r="I184" s="5" t="str">
        <f>IFERROR(IF(SUMIFS(tblDaily[MalariaCases],tblDaily[EntryDate],DATE(2026,5,22),tblDaily[WardCode],"BG")=0,"",SUMIFS(tblDaily[MalariaCases],tblDaily[EntryDate],DATE(2026,5,22),tblDaily[WardCode],"BG")),"")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  <c r="I185" s="5" t="str">
        <f>IFERROR(IF(SUMIFS(tblDaily[MalariaCases],tblDaily[EntryDate],DATE(2026,5,23),tblDaily[WardCode],"BG")=0,"",SUMIFS(tblDaily[MalariaCases],tblDaily[EntryDate],DATE(2026,5,23),tblDaily[WardCode],"BG")),"")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  <c r="I186" s="5" t="str">
        <f>IFERROR(IF(SUMIFS(tblDaily[MalariaCases],tblDaily[EntryDate],DATE(2026,5,24),tblDaily[WardCode],"BG")=0,"",SUMIFS(tblDaily[MalariaCases],tblDaily[EntryDate],DATE(2026,5,24),tblDaily[WardCode],"BG")),"")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  <c r="I187" s="5" t="str">
        <f>IFERROR(IF(SUMIFS(tblDaily[MalariaCases],tblDaily[EntryDate],DATE(2026,5,25),tblDaily[WardCode],"BG")=0,"",SUMIFS(tblDaily[MalariaCases],tblDaily[EntryDate],DATE(2026,5,25),tblDaily[WardCode],"BG")),"")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  <c r="I188" s="5" t="str">
        <f>IFERROR(IF(SUMIFS(tblDaily[MalariaCases],tblDaily[EntryDate],DATE(2026,5,26),tblDaily[WardCode],"BG")=0,"",SUMIFS(tblDaily[MalariaCases],tblDaily[EntryDate],DATE(2026,5,26),tblDaily[WardCode],"BG")),"")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  <c r="I189" s="5" t="str">
        <f>IFERROR(IF(SUMIFS(tblDaily[MalariaCases],tblDaily[EntryDate],DATE(2026,5,27),tblDaily[WardCode],"BG")=0,"",SUMIFS(tblDaily[MalariaCases],tblDaily[EntryDate],DATE(2026,5,27),tblDaily[WardCode],"BG")),"")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  <c r="I190" s="5" t="str">
        <f>IFERROR(IF(SUMIFS(tblDaily[MalariaCases],tblDaily[EntryDate],DATE(2026,5,28),tblDaily[WardCode],"BG")=0,"",SUMIFS(tblDaily[MalariaCases],tblDaily[EntryDate],DATE(2026,5,28),tblDaily[WardCode],"BG")),"")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  <c r="I191" s="5" t="str">
        <f>IFERROR(IF(SUMIFS(tblDaily[MalariaCases],tblDaily[EntryDate],DATE(2026,5,29),tblDaily[WardCode],"BG")=0,"",SUMIFS(tblDaily[MalariaCases],tblDaily[EntryDate],DATE(2026,5,29),tblDaily[WardCode],"BG")),"")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  <c r="I192" s="5" t="str">
        <f>IFERROR(IF(SUMIFS(tblDaily[MalariaCases],tblDaily[EntryDate],DATE(2026,5,30),tblDaily[WardCode],"BG")=0,"",SUMIFS(tblDaily[MalariaCases],tblDaily[EntryDate],DATE(2026,5,30),tblDaily[WardCode],"BG")),"")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  <c r="I193" s="5" t="str">
        <f>IFERROR(IF(SUMIFS(tblDaily[MalariaCases],tblDaily[EntryDate],DATE(2026,5,31),tblDaily[WardCode],"BG")=0,"",SUMIFS(tblDaily[MalariaCases],tblDaily[EntryDate],DATE(2026,5,31),tblDaily[WardCode],"BG")),"")</f>
        <v/>
      </c>
    </row>
    <row r="194" spans="1:9" x14ac:dyDescent="0.25">
      <c r="A194" s="9" t="s">
        <v>94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98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IFERROR(SUMIFS(tblDaily[Remaining],tblDaily[EntryDate],DATE(2026,5,31),tblDaily[WardCode],"BG"),0)</f>
        <v>0</v>
      </c>
    </row>
    <row r="200" spans="1:9" x14ac:dyDescent="0.25">
      <c r="A200" s="1" t="s">
        <v>87</v>
      </c>
      <c r="H200" s="7">
        <f>IFERROR(INDEX(tblWardConfig[BedComplement],MATCH("BG",tblWardConfig[Export Year-End],0)),0)</f>
        <v>14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  <c r="I202" s="5" t="str">
        <f>IFERROR(IF(SUMIFS(tblDaily[MalariaCases],tblDaily[EntryDate],DATE(2026,6,1),tblDaily[WardCode],"BG")=0,"",SUMIFS(tblDaily[MalariaCases],tblDaily[EntryDate],DATE(2026,6,1),tblDaily[WardCode],"BG")),"")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  <c r="I203" s="5" t="str">
        <f>IFERROR(IF(SUMIFS(tblDaily[MalariaCases],tblDaily[EntryDate],DATE(2026,6,2),tblDaily[WardCode],"BG")=0,"",SUMIFS(tblDaily[MalariaCases],tblDaily[EntryDate],DATE(2026,6,2),tblDaily[WardCode],"BG")),"")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  <c r="I204" s="5" t="str">
        <f>IFERROR(IF(SUMIFS(tblDaily[MalariaCases],tblDaily[EntryDate],DATE(2026,6,3),tblDaily[WardCode],"BG")=0,"",SUMIFS(tblDaily[MalariaCases],tblDaily[EntryDate],DATE(2026,6,3),tblDaily[WardCode],"BG")),"")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  <c r="I205" s="5" t="str">
        <f>IFERROR(IF(SUMIFS(tblDaily[MalariaCases],tblDaily[EntryDate],DATE(2026,6,4),tblDaily[WardCode],"BG")=0,"",SUMIFS(tblDaily[MalariaCases],tblDaily[EntryDate],DATE(2026,6,4),tblDaily[WardCode],"BG")),"")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  <c r="I206" s="5" t="str">
        <f>IFERROR(IF(SUMIFS(tblDaily[MalariaCases],tblDaily[EntryDate],DATE(2026,6,5),tblDaily[WardCode],"BG")=0,"",SUMIFS(tblDaily[MalariaCases],tblDaily[EntryDate],DATE(2026,6,5),tblDaily[WardCode],"BG")),"")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  <c r="I207" s="5" t="str">
        <f>IFERROR(IF(SUMIFS(tblDaily[MalariaCases],tblDaily[EntryDate],DATE(2026,6,6),tblDaily[WardCode],"BG")=0,"",SUMIFS(tblDaily[MalariaCases],tblDaily[EntryDate],DATE(2026,6,6),tblDaily[WardCode],"BG")),"")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  <c r="I208" s="5" t="str">
        <f>IFERROR(IF(SUMIFS(tblDaily[MalariaCases],tblDaily[EntryDate],DATE(2026,6,7),tblDaily[WardCode],"BG")=0,"",SUMIFS(tblDaily[MalariaCases],tblDaily[EntryDate],DATE(2026,6,7),tblDaily[WardCode],"BG")),"")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  <c r="I209" s="5" t="str">
        <f>IFERROR(IF(SUMIFS(tblDaily[MalariaCases],tblDaily[EntryDate],DATE(2026,6,8),tblDaily[WardCode],"BG")=0,"",SUMIFS(tblDaily[MalariaCases],tblDaily[EntryDate],DATE(2026,6,8),tblDaily[WardCode],"BG")),"")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  <c r="I210" s="5" t="str">
        <f>IFERROR(IF(SUMIFS(tblDaily[MalariaCases],tblDaily[EntryDate],DATE(2026,6,9),tblDaily[WardCode],"BG")=0,"",SUMIFS(tblDaily[MalariaCases],tblDaily[EntryDate],DATE(2026,6,9),tblDaily[WardCode],"BG")),"")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  <c r="I211" s="5" t="str">
        <f>IFERROR(IF(SUMIFS(tblDaily[MalariaCases],tblDaily[EntryDate],DATE(2026,6,10),tblDaily[WardCode],"BG")=0,"",SUMIFS(tblDaily[MalariaCases],tblDaily[EntryDate],DATE(2026,6,10),tblDaily[WardCode],"BG")),"")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  <c r="I212" s="5" t="str">
        <f>IFERROR(IF(SUMIFS(tblDaily[MalariaCases],tblDaily[EntryDate],DATE(2026,6,11),tblDaily[WardCode],"BG")=0,"",SUMIFS(tblDaily[MalariaCases],tblDaily[EntryDate],DATE(2026,6,11),tblDaily[WardCode],"BG")),"")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  <c r="I213" s="5" t="str">
        <f>IFERROR(IF(SUMIFS(tblDaily[MalariaCases],tblDaily[EntryDate],DATE(2026,6,12),tblDaily[WardCode],"BG")=0,"",SUMIFS(tblDaily[MalariaCases],tblDaily[EntryDate],DATE(2026,6,12),tblDaily[WardCode],"BG")),"")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  <c r="I214" s="5" t="str">
        <f>IFERROR(IF(SUMIFS(tblDaily[MalariaCases],tblDaily[EntryDate],DATE(2026,6,13),tblDaily[WardCode],"BG")=0,"",SUMIFS(tblDaily[MalariaCases],tblDaily[EntryDate],DATE(2026,6,13),tblDaily[WardCode],"BG")),"")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  <c r="I215" s="5" t="str">
        <f>IFERROR(IF(SUMIFS(tblDaily[MalariaCases],tblDaily[EntryDate],DATE(2026,6,14),tblDaily[WardCode],"BG")=0,"",SUMIFS(tblDaily[MalariaCases],tblDaily[EntryDate],DATE(2026,6,14),tblDaily[WardCode],"BG")),"")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  <c r="I216" s="5" t="str">
        <f>IFERROR(IF(SUMIFS(tblDaily[MalariaCases],tblDaily[EntryDate],DATE(2026,6,15),tblDaily[WardCode],"BG")=0,"",SUMIFS(tblDaily[MalariaCases],tblDaily[EntryDate],DATE(2026,6,15),tblDaily[WardCode],"BG")),"")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  <c r="I217" s="5" t="str">
        <f>IFERROR(IF(SUMIFS(tblDaily[MalariaCases],tblDaily[EntryDate],DATE(2026,6,16),tblDaily[WardCode],"BG")=0,"",SUMIFS(tblDaily[MalariaCases],tblDaily[EntryDate],DATE(2026,6,16),tblDaily[WardCode],"BG")),"")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  <c r="I218" s="5" t="str">
        <f>IFERROR(IF(SUMIFS(tblDaily[MalariaCases],tblDaily[EntryDate],DATE(2026,6,17),tblDaily[WardCode],"BG")=0,"",SUMIFS(tblDaily[MalariaCases],tblDaily[EntryDate],DATE(2026,6,17),tblDaily[WardCode],"BG")),"")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  <c r="I219" s="5" t="str">
        <f>IFERROR(IF(SUMIFS(tblDaily[MalariaCases],tblDaily[EntryDate],DATE(2026,6,18),tblDaily[WardCode],"BG")=0,"",SUMIFS(tblDaily[MalariaCases],tblDaily[EntryDate],DATE(2026,6,18),tblDaily[WardCode],"BG")),"")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  <c r="I220" s="5" t="str">
        <f>IFERROR(IF(SUMIFS(tblDaily[MalariaCases],tblDaily[EntryDate],DATE(2026,6,19),tblDaily[WardCode],"BG")=0,"",SUMIFS(tblDaily[MalariaCases],tblDaily[EntryDate],DATE(2026,6,19),tblDaily[WardCode],"BG")),"")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  <c r="I221" s="5" t="str">
        <f>IFERROR(IF(SUMIFS(tblDaily[MalariaCases],tblDaily[EntryDate],DATE(2026,6,20),tblDaily[WardCode],"BG")=0,"",SUMIFS(tblDaily[MalariaCases],tblDaily[EntryDate],DATE(2026,6,20),tblDaily[WardCode],"BG")),"")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  <c r="I222" s="5" t="str">
        <f>IFERROR(IF(SUMIFS(tblDaily[MalariaCases],tblDaily[EntryDate],DATE(2026,6,21),tblDaily[WardCode],"BG")=0,"",SUMIFS(tblDaily[MalariaCases],tblDaily[EntryDate],DATE(2026,6,21),tblDaily[WardCode],"BG")),"")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  <c r="I223" s="5" t="str">
        <f>IFERROR(IF(SUMIFS(tblDaily[MalariaCases],tblDaily[EntryDate],DATE(2026,6,22),tblDaily[WardCode],"BG")=0,"",SUMIFS(tblDaily[MalariaCases],tblDaily[EntryDate],DATE(2026,6,22),tblDaily[WardCode],"BG")),"")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  <c r="I224" s="5" t="str">
        <f>IFERROR(IF(SUMIFS(tblDaily[MalariaCases],tblDaily[EntryDate],DATE(2026,6,23),tblDaily[WardCode],"BG")=0,"",SUMIFS(tblDaily[MalariaCases],tblDaily[EntryDate],DATE(2026,6,23),tblDaily[WardCode],"BG")),"")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  <c r="I225" s="5" t="str">
        <f>IFERROR(IF(SUMIFS(tblDaily[MalariaCases],tblDaily[EntryDate],DATE(2026,6,24),tblDaily[WardCode],"BG")=0,"",SUMIFS(tblDaily[MalariaCases],tblDaily[EntryDate],DATE(2026,6,24),tblDaily[WardCode],"BG")),"")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  <c r="I226" s="5" t="str">
        <f>IFERROR(IF(SUMIFS(tblDaily[MalariaCases],tblDaily[EntryDate],DATE(2026,6,25),tblDaily[WardCode],"BG")=0,"",SUMIFS(tblDaily[MalariaCases],tblDaily[EntryDate],DATE(2026,6,25),tblDaily[WardCode],"BG")),"")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  <c r="I227" s="5" t="str">
        <f>IFERROR(IF(SUMIFS(tblDaily[MalariaCases],tblDaily[EntryDate],DATE(2026,6,26),tblDaily[WardCode],"BG")=0,"",SUMIFS(tblDaily[MalariaCases],tblDaily[EntryDate],DATE(2026,6,26),tblDaily[WardCode],"BG")),"")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  <c r="I228" s="5" t="str">
        <f>IFERROR(IF(SUMIFS(tblDaily[MalariaCases],tblDaily[EntryDate],DATE(2026,6,27),tblDaily[WardCode],"BG")=0,"",SUMIFS(tblDaily[MalariaCases],tblDaily[EntryDate],DATE(2026,6,27),tblDaily[WardCode],"BG")),"")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  <c r="I229" s="5" t="str">
        <f>IFERROR(IF(SUMIFS(tblDaily[MalariaCases],tblDaily[EntryDate],DATE(2026,6,28),tblDaily[WardCode],"BG")=0,"",SUMIFS(tblDaily[MalariaCases],tblDaily[EntryDate],DATE(2026,6,28),tblDaily[WardCode],"BG")),"")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  <c r="I230" s="5" t="str">
        <f>IFERROR(IF(SUMIFS(tblDaily[MalariaCases],tblDaily[EntryDate],DATE(2026,6,29),tblDaily[WardCode],"BG")=0,"",SUMIFS(tblDaily[MalariaCases],tblDaily[EntryDate],DATE(2026,6,29),tblDaily[WardCode],"BG")),"")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  <c r="I231" s="5" t="str">
        <f>IFERROR(IF(SUMIFS(tblDaily[MalariaCases],tblDaily[EntryDate],DATE(2026,6,30),tblDaily[WardCode],"BG")=0,"",SUMIFS(tblDaily[MalariaCases],tblDaily[EntryDate],DATE(2026,6,30),tblDaily[WardCode],"BG")),"")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98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IFERROR(SUMIFS(tblDaily[Remaining],tblDaily[EntryDate],DATE(2026,6,30),tblDaily[WardCode],"BG"),0)</f>
        <v>0</v>
      </c>
    </row>
    <row r="239" spans="1:9" x14ac:dyDescent="0.25">
      <c r="A239" s="1" t="s">
        <v>87</v>
      </c>
      <c r="H239" s="7">
        <f>IFERROR(INDEX(tblWardConfig[BedComplement],MATCH("BG",tblWardConfig[Export Year-End],0)),0)</f>
        <v>14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  <c r="I241" s="5" t="str">
        <f>IFERROR(IF(SUMIFS(tblDaily[MalariaCases],tblDaily[EntryDate],DATE(2026,7,1),tblDaily[WardCode],"BG")=0,"",SUMIFS(tblDaily[MalariaCases],tblDaily[EntryDate],DATE(2026,7,1),tblDaily[WardCode],"BG")),"")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  <c r="I242" s="5" t="str">
        <f>IFERROR(IF(SUMIFS(tblDaily[MalariaCases],tblDaily[EntryDate],DATE(2026,7,2),tblDaily[WardCode],"BG")=0,"",SUMIFS(tblDaily[MalariaCases],tblDaily[EntryDate],DATE(2026,7,2),tblDaily[WardCode],"BG")),"")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  <c r="I243" s="5" t="str">
        <f>IFERROR(IF(SUMIFS(tblDaily[MalariaCases],tblDaily[EntryDate],DATE(2026,7,3),tblDaily[WardCode],"BG")=0,"",SUMIFS(tblDaily[MalariaCases],tblDaily[EntryDate],DATE(2026,7,3),tblDaily[WardCode],"BG")),"")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  <c r="I244" s="5" t="str">
        <f>IFERROR(IF(SUMIFS(tblDaily[MalariaCases],tblDaily[EntryDate],DATE(2026,7,4),tblDaily[WardCode],"BG")=0,"",SUMIFS(tblDaily[MalariaCases],tblDaily[EntryDate],DATE(2026,7,4),tblDaily[WardCode],"BG")),"")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  <c r="I245" s="5" t="str">
        <f>IFERROR(IF(SUMIFS(tblDaily[MalariaCases],tblDaily[EntryDate],DATE(2026,7,5),tblDaily[WardCode],"BG")=0,"",SUMIFS(tblDaily[MalariaCases],tblDaily[EntryDate],DATE(2026,7,5),tblDaily[WardCode],"BG")),"")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  <c r="I246" s="5" t="str">
        <f>IFERROR(IF(SUMIFS(tblDaily[MalariaCases],tblDaily[EntryDate],DATE(2026,7,6),tblDaily[WardCode],"BG")=0,"",SUMIFS(tblDaily[MalariaCases],tblDaily[EntryDate],DATE(2026,7,6),tblDaily[WardCode],"BG")),"")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  <c r="I247" s="5" t="str">
        <f>IFERROR(IF(SUMIFS(tblDaily[MalariaCases],tblDaily[EntryDate],DATE(2026,7,7),tblDaily[WardCode],"BG")=0,"",SUMIFS(tblDaily[MalariaCases],tblDaily[EntryDate],DATE(2026,7,7),tblDaily[WardCode],"BG")),"")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  <c r="I248" s="5" t="str">
        <f>IFERROR(IF(SUMIFS(tblDaily[MalariaCases],tblDaily[EntryDate],DATE(2026,7,8),tblDaily[WardCode],"BG")=0,"",SUMIFS(tblDaily[MalariaCases],tblDaily[EntryDate],DATE(2026,7,8),tblDaily[WardCode],"BG")),"")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  <c r="I249" s="5" t="str">
        <f>IFERROR(IF(SUMIFS(tblDaily[MalariaCases],tblDaily[EntryDate],DATE(2026,7,9),tblDaily[WardCode],"BG")=0,"",SUMIFS(tblDaily[MalariaCases],tblDaily[EntryDate],DATE(2026,7,9),tblDaily[WardCode],"BG")),"")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  <c r="I250" s="5" t="str">
        <f>IFERROR(IF(SUMIFS(tblDaily[MalariaCases],tblDaily[EntryDate],DATE(2026,7,10),tblDaily[WardCode],"BG")=0,"",SUMIFS(tblDaily[MalariaCases],tblDaily[EntryDate],DATE(2026,7,10),tblDaily[WardCode],"BG")),"")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  <c r="I251" s="5" t="str">
        <f>IFERROR(IF(SUMIFS(tblDaily[MalariaCases],tblDaily[EntryDate],DATE(2026,7,11),tblDaily[WardCode],"BG")=0,"",SUMIFS(tblDaily[MalariaCases],tblDaily[EntryDate],DATE(2026,7,11),tblDaily[WardCode],"BG")),"")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  <c r="I252" s="5" t="str">
        <f>IFERROR(IF(SUMIFS(tblDaily[MalariaCases],tblDaily[EntryDate],DATE(2026,7,12),tblDaily[WardCode],"BG")=0,"",SUMIFS(tblDaily[MalariaCases],tblDaily[EntryDate],DATE(2026,7,12),tblDaily[WardCode],"BG")),"")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  <c r="I253" s="5" t="str">
        <f>IFERROR(IF(SUMIFS(tblDaily[MalariaCases],tblDaily[EntryDate],DATE(2026,7,13),tblDaily[WardCode],"BG")=0,"",SUMIFS(tblDaily[MalariaCases],tblDaily[EntryDate],DATE(2026,7,13),tblDaily[WardCode],"BG")),"")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  <c r="I254" s="5" t="str">
        <f>IFERROR(IF(SUMIFS(tblDaily[MalariaCases],tblDaily[EntryDate],DATE(2026,7,14),tblDaily[WardCode],"BG")=0,"",SUMIFS(tblDaily[MalariaCases],tblDaily[EntryDate],DATE(2026,7,14),tblDaily[WardCode],"BG")),"")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  <c r="I255" s="5" t="str">
        <f>IFERROR(IF(SUMIFS(tblDaily[MalariaCases],tblDaily[EntryDate],DATE(2026,7,15),tblDaily[WardCode],"BG")=0,"",SUMIFS(tblDaily[MalariaCases],tblDaily[EntryDate],DATE(2026,7,15),tblDaily[WardCode],"BG")),"")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  <c r="I256" s="5" t="str">
        <f>IFERROR(IF(SUMIFS(tblDaily[MalariaCases],tblDaily[EntryDate],DATE(2026,7,16),tblDaily[WardCode],"BG")=0,"",SUMIFS(tblDaily[MalariaCases],tblDaily[EntryDate],DATE(2026,7,16),tblDaily[WardCode],"BG")),"")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  <c r="I257" s="5" t="str">
        <f>IFERROR(IF(SUMIFS(tblDaily[MalariaCases],tblDaily[EntryDate],DATE(2026,7,17),tblDaily[WardCode],"BG")=0,"",SUMIFS(tblDaily[MalariaCases],tblDaily[EntryDate],DATE(2026,7,17),tblDaily[WardCode],"BG")),"")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  <c r="I258" s="5" t="str">
        <f>IFERROR(IF(SUMIFS(tblDaily[MalariaCases],tblDaily[EntryDate],DATE(2026,7,18),tblDaily[WardCode],"BG")=0,"",SUMIFS(tblDaily[MalariaCases],tblDaily[EntryDate],DATE(2026,7,18),tblDaily[WardCode],"BG")),"")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  <c r="I259" s="5" t="str">
        <f>IFERROR(IF(SUMIFS(tblDaily[MalariaCases],tblDaily[EntryDate],DATE(2026,7,19),tblDaily[WardCode],"BG")=0,"",SUMIFS(tblDaily[MalariaCases],tblDaily[EntryDate],DATE(2026,7,19),tblDaily[WardCode],"BG")),"")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  <c r="I260" s="5" t="str">
        <f>IFERROR(IF(SUMIFS(tblDaily[MalariaCases],tblDaily[EntryDate],DATE(2026,7,20),tblDaily[WardCode],"BG")=0,"",SUMIFS(tblDaily[MalariaCases],tblDaily[EntryDate],DATE(2026,7,20),tblDaily[WardCode],"BG")),"")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  <c r="I261" s="5" t="str">
        <f>IFERROR(IF(SUMIFS(tblDaily[MalariaCases],tblDaily[EntryDate],DATE(2026,7,21),tblDaily[WardCode],"BG")=0,"",SUMIFS(tblDaily[MalariaCases],tblDaily[EntryDate],DATE(2026,7,21),tblDaily[WardCode],"BG")),"")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  <c r="I262" s="5" t="str">
        <f>IFERROR(IF(SUMIFS(tblDaily[MalariaCases],tblDaily[EntryDate],DATE(2026,7,22),tblDaily[WardCode],"BG")=0,"",SUMIFS(tblDaily[MalariaCases],tblDaily[EntryDate],DATE(2026,7,22),tblDaily[WardCode],"BG")),"")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  <c r="I263" s="5" t="str">
        <f>IFERROR(IF(SUMIFS(tblDaily[MalariaCases],tblDaily[EntryDate],DATE(2026,7,23),tblDaily[WardCode],"BG")=0,"",SUMIFS(tblDaily[MalariaCases],tblDaily[EntryDate],DATE(2026,7,23),tblDaily[WardCode],"BG")),"")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  <c r="I264" s="5" t="str">
        <f>IFERROR(IF(SUMIFS(tblDaily[MalariaCases],tblDaily[EntryDate],DATE(2026,7,24),tblDaily[WardCode],"BG")=0,"",SUMIFS(tblDaily[MalariaCases],tblDaily[EntryDate],DATE(2026,7,24),tblDaily[WardCode],"BG")),"")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  <c r="I265" s="5" t="str">
        <f>IFERROR(IF(SUMIFS(tblDaily[MalariaCases],tblDaily[EntryDate],DATE(2026,7,25),tblDaily[WardCode],"BG")=0,"",SUMIFS(tblDaily[MalariaCases],tblDaily[EntryDate],DATE(2026,7,25),tblDaily[WardCode],"BG")),"")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  <c r="I266" s="5" t="str">
        <f>IFERROR(IF(SUMIFS(tblDaily[MalariaCases],tblDaily[EntryDate],DATE(2026,7,26),tblDaily[WardCode],"BG")=0,"",SUMIFS(tblDaily[MalariaCases],tblDaily[EntryDate],DATE(2026,7,26),tblDaily[WardCode],"BG")),"")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  <c r="I267" s="5" t="str">
        <f>IFERROR(IF(SUMIFS(tblDaily[MalariaCases],tblDaily[EntryDate],DATE(2026,7,27),tblDaily[WardCode],"BG")=0,"",SUMIFS(tblDaily[MalariaCases],tblDaily[EntryDate],DATE(2026,7,27),tblDaily[WardCode],"BG")),"")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  <c r="I268" s="5" t="str">
        <f>IFERROR(IF(SUMIFS(tblDaily[MalariaCases],tblDaily[EntryDate],DATE(2026,7,28),tblDaily[WardCode],"BG")=0,"",SUMIFS(tblDaily[MalariaCases],tblDaily[EntryDate],DATE(2026,7,28),tblDaily[WardCode],"BG")),"")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  <c r="I269" s="5" t="str">
        <f>IFERROR(IF(SUMIFS(tblDaily[MalariaCases],tblDaily[EntryDate],DATE(2026,7,29),tblDaily[WardCode],"BG")=0,"",SUMIFS(tblDaily[MalariaCases],tblDaily[EntryDate],DATE(2026,7,29),tblDaily[WardCode],"BG")),"")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  <c r="I270" s="5" t="str">
        <f>IFERROR(IF(SUMIFS(tblDaily[MalariaCases],tblDaily[EntryDate],DATE(2026,7,30),tblDaily[WardCode],"BG")=0,"",SUMIFS(tblDaily[MalariaCases],tblDaily[EntryDate],DATE(2026,7,30),tblDaily[WardCode],"BG")),"")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  <c r="I271" s="5" t="str">
        <f>IFERROR(IF(SUMIFS(tblDaily[MalariaCases],tblDaily[EntryDate],DATE(2026,7,31),tblDaily[WardCode],"BG")=0,"",SUMIFS(tblDaily[MalariaCases],tblDaily[EntryDate],DATE(2026,7,31),tblDaily[WardCode],"BG")),"")</f>
        <v/>
      </c>
    </row>
    <row r="272" spans="1:9" x14ac:dyDescent="0.25">
      <c r="A272" s="9" t="s">
        <v>94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98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IFERROR(SUMIFS(tblDaily[Remaining],tblDaily[EntryDate],DATE(2026,7,31),tblDaily[WardCode],"BG"),0)</f>
        <v>0</v>
      </c>
    </row>
    <row r="278" spans="1:9" x14ac:dyDescent="0.25">
      <c r="A278" s="1" t="s">
        <v>87</v>
      </c>
      <c r="H278" s="7">
        <f>IFERROR(INDEX(tblWardConfig[BedComplement],MATCH("BG",tblWardConfig[Export Year-End],0)),0)</f>
        <v>14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  <c r="I280" s="5" t="str">
        <f>IFERROR(IF(SUMIFS(tblDaily[MalariaCases],tblDaily[EntryDate],DATE(2026,8,1),tblDaily[WardCode],"BG")=0,"",SUMIFS(tblDaily[MalariaCases],tblDaily[EntryDate],DATE(2026,8,1),tblDaily[WardCode],"BG")),"")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  <c r="I281" s="5" t="str">
        <f>IFERROR(IF(SUMIFS(tblDaily[MalariaCases],tblDaily[EntryDate],DATE(2026,8,2),tblDaily[WardCode],"BG")=0,"",SUMIFS(tblDaily[MalariaCases],tblDaily[EntryDate],DATE(2026,8,2),tblDaily[WardCode],"BG")),"")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  <c r="I282" s="5" t="str">
        <f>IFERROR(IF(SUMIFS(tblDaily[MalariaCases],tblDaily[EntryDate],DATE(2026,8,3),tblDaily[WardCode],"BG")=0,"",SUMIFS(tblDaily[MalariaCases],tblDaily[EntryDate],DATE(2026,8,3),tblDaily[WardCode],"BG")),"")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  <c r="I283" s="5" t="str">
        <f>IFERROR(IF(SUMIFS(tblDaily[MalariaCases],tblDaily[EntryDate],DATE(2026,8,4),tblDaily[WardCode],"BG")=0,"",SUMIFS(tblDaily[MalariaCases],tblDaily[EntryDate],DATE(2026,8,4),tblDaily[WardCode],"BG")),"")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  <c r="I284" s="5" t="str">
        <f>IFERROR(IF(SUMIFS(tblDaily[MalariaCases],tblDaily[EntryDate],DATE(2026,8,5),tblDaily[WardCode],"BG")=0,"",SUMIFS(tblDaily[MalariaCases],tblDaily[EntryDate],DATE(2026,8,5),tblDaily[WardCode],"BG")),"")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  <c r="I285" s="5" t="str">
        <f>IFERROR(IF(SUMIFS(tblDaily[MalariaCases],tblDaily[EntryDate],DATE(2026,8,6),tblDaily[WardCode],"BG")=0,"",SUMIFS(tblDaily[MalariaCases],tblDaily[EntryDate],DATE(2026,8,6),tblDaily[WardCode],"BG")),"")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  <c r="I286" s="5" t="str">
        <f>IFERROR(IF(SUMIFS(tblDaily[MalariaCases],tblDaily[EntryDate],DATE(2026,8,7),tblDaily[WardCode],"BG")=0,"",SUMIFS(tblDaily[MalariaCases],tblDaily[EntryDate],DATE(2026,8,7),tblDaily[WardCode],"BG")),"")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  <c r="I287" s="5" t="str">
        <f>IFERROR(IF(SUMIFS(tblDaily[MalariaCases],tblDaily[EntryDate],DATE(2026,8,8),tblDaily[WardCode],"BG")=0,"",SUMIFS(tblDaily[MalariaCases],tblDaily[EntryDate],DATE(2026,8,8),tblDaily[WardCode],"BG")),"")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  <c r="I288" s="5" t="str">
        <f>IFERROR(IF(SUMIFS(tblDaily[MalariaCases],tblDaily[EntryDate],DATE(2026,8,9),tblDaily[WardCode],"BG")=0,"",SUMIFS(tblDaily[MalariaCases],tblDaily[EntryDate],DATE(2026,8,9),tblDaily[WardCode],"BG")),"")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  <c r="I289" s="5" t="str">
        <f>IFERROR(IF(SUMIFS(tblDaily[MalariaCases],tblDaily[EntryDate],DATE(2026,8,10),tblDaily[WardCode],"BG")=0,"",SUMIFS(tblDaily[MalariaCases],tblDaily[EntryDate],DATE(2026,8,10),tblDaily[WardCode],"BG")),"")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  <c r="I290" s="5" t="str">
        <f>IFERROR(IF(SUMIFS(tblDaily[MalariaCases],tblDaily[EntryDate],DATE(2026,8,11),tblDaily[WardCode],"BG")=0,"",SUMIFS(tblDaily[MalariaCases],tblDaily[EntryDate],DATE(2026,8,11),tblDaily[WardCode],"BG")),"")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  <c r="I291" s="5" t="str">
        <f>IFERROR(IF(SUMIFS(tblDaily[MalariaCases],tblDaily[EntryDate],DATE(2026,8,12),tblDaily[WardCode],"BG")=0,"",SUMIFS(tblDaily[MalariaCases],tblDaily[EntryDate],DATE(2026,8,12),tblDaily[WardCode],"BG")),"")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  <c r="I292" s="5" t="str">
        <f>IFERROR(IF(SUMIFS(tblDaily[MalariaCases],tblDaily[EntryDate],DATE(2026,8,13),tblDaily[WardCode],"BG")=0,"",SUMIFS(tblDaily[MalariaCases],tblDaily[EntryDate],DATE(2026,8,13),tblDaily[WardCode],"BG")),"")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  <c r="I293" s="5" t="str">
        <f>IFERROR(IF(SUMIFS(tblDaily[MalariaCases],tblDaily[EntryDate],DATE(2026,8,14),tblDaily[WardCode],"BG")=0,"",SUMIFS(tblDaily[MalariaCases],tblDaily[EntryDate],DATE(2026,8,14),tblDaily[WardCode],"BG")),"")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  <c r="I294" s="5" t="str">
        <f>IFERROR(IF(SUMIFS(tblDaily[MalariaCases],tblDaily[EntryDate],DATE(2026,8,15),tblDaily[WardCode],"BG")=0,"",SUMIFS(tblDaily[MalariaCases],tblDaily[EntryDate],DATE(2026,8,15),tblDaily[WardCode],"BG")),"")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  <c r="I295" s="5" t="str">
        <f>IFERROR(IF(SUMIFS(tblDaily[MalariaCases],tblDaily[EntryDate],DATE(2026,8,16),tblDaily[WardCode],"BG")=0,"",SUMIFS(tblDaily[MalariaCases],tblDaily[EntryDate],DATE(2026,8,16),tblDaily[WardCode],"BG")),"")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  <c r="I296" s="5" t="str">
        <f>IFERROR(IF(SUMIFS(tblDaily[MalariaCases],tblDaily[EntryDate],DATE(2026,8,17),tblDaily[WardCode],"BG")=0,"",SUMIFS(tblDaily[MalariaCases],tblDaily[EntryDate],DATE(2026,8,17),tblDaily[WardCode],"BG")),"")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  <c r="I297" s="5" t="str">
        <f>IFERROR(IF(SUMIFS(tblDaily[MalariaCases],tblDaily[EntryDate],DATE(2026,8,18),tblDaily[WardCode],"BG")=0,"",SUMIFS(tblDaily[MalariaCases],tblDaily[EntryDate],DATE(2026,8,18),tblDaily[WardCode],"BG")),"")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  <c r="I298" s="5" t="str">
        <f>IFERROR(IF(SUMIFS(tblDaily[MalariaCases],tblDaily[EntryDate],DATE(2026,8,19),tblDaily[WardCode],"BG")=0,"",SUMIFS(tblDaily[MalariaCases],tblDaily[EntryDate],DATE(2026,8,19),tblDaily[WardCode],"BG")),"")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  <c r="I299" s="5" t="str">
        <f>IFERROR(IF(SUMIFS(tblDaily[MalariaCases],tblDaily[EntryDate],DATE(2026,8,20),tblDaily[WardCode],"BG")=0,"",SUMIFS(tblDaily[MalariaCases],tblDaily[EntryDate],DATE(2026,8,20),tblDaily[WardCode],"BG")),"")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  <c r="I300" s="5" t="str">
        <f>IFERROR(IF(SUMIFS(tblDaily[MalariaCases],tblDaily[EntryDate],DATE(2026,8,21),tblDaily[WardCode],"BG")=0,"",SUMIFS(tblDaily[MalariaCases],tblDaily[EntryDate],DATE(2026,8,21),tblDaily[WardCode],"BG")),"")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  <c r="I301" s="5" t="str">
        <f>IFERROR(IF(SUMIFS(tblDaily[MalariaCases],tblDaily[EntryDate],DATE(2026,8,22),tblDaily[WardCode],"BG")=0,"",SUMIFS(tblDaily[MalariaCases],tblDaily[EntryDate],DATE(2026,8,22),tblDaily[WardCode],"BG")),"")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  <c r="I302" s="5" t="str">
        <f>IFERROR(IF(SUMIFS(tblDaily[MalariaCases],tblDaily[EntryDate],DATE(2026,8,23),tblDaily[WardCode],"BG")=0,"",SUMIFS(tblDaily[MalariaCases],tblDaily[EntryDate],DATE(2026,8,23),tblDaily[WardCode],"BG")),"")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  <c r="I303" s="5" t="str">
        <f>IFERROR(IF(SUMIFS(tblDaily[MalariaCases],tblDaily[EntryDate],DATE(2026,8,24),tblDaily[WardCode],"BG")=0,"",SUMIFS(tblDaily[MalariaCases],tblDaily[EntryDate],DATE(2026,8,24),tblDaily[WardCode],"BG")),"")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  <c r="I304" s="5" t="str">
        <f>IFERROR(IF(SUMIFS(tblDaily[MalariaCases],tblDaily[EntryDate],DATE(2026,8,25),tblDaily[WardCode],"BG")=0,"",SUMIFS(tblDaily[MalariaCases],tblDaily[EntryDate],DATE(2026,8,25),tblDaily[WardCode],"BG")),"")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  <c r="I305" s="5" t="str">
        <f>IFERROR(IF(SUMIFS(tblDaily[MalariaCases],tblDaily[EntryDate],DATE(2026,8,26),tblDaily[WardCode],"BG")=0,"",SUMIFS(tblDaily[MalariaCases],tblDaily[EntryDate],DATE(2026,8,26),tblDaily[WardCode],"BG")),"")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  <c r="I306" s="5" t="str">
        <f>IFERROR(IF(SUMIFS(tblDaily[MalariaCases],tblDaily[EntryDate],DATE(2026,8,27),tblDaily[WardCode],"BG")=0,"",SUMIFS(tblDaily[MalariaCases],tblDaily[EntryDate],DATE(2026,8,27),tblDaily[WardCode],"BG")),"")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  <c r="I307" s="5" t="str">
        <f>IFERROR(IF(SUMIFS(tblDaily[MalariaCases],tblDaily[EntryDate],DATE(2026,8,28),tblDaily[WardCode],"BG")=0,"",SUMIFS(tblDaily[MalariaCases],tblDaily[EntryDate],DATE(2026,8,28),tblDaily[WardCode],"BG")),"")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  <c r="I308" s="5" t="str">
        <f>IFERROR(IF(SUMIFS(tblDaily[MalariaCases],tblDaily[EntryDate],DATE(2026,8,29),tblDaily[WardCode],"BG")=0,"",SUMIFS(tblDaily[MalariaCases],tblDaily[EntryDate],DATE(2026,8,29),tblDaily[WardCode],"BG")),"")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  <c r="I309" s="5" t="str">
        <f>IFERROR(IF(SUMIFS(tblDaily[MalariaCases],tblDaily[EntryDate],DATE(2026,8,30),tblDaily[WardCode],"BG")=0,"",SUMIFS(tblDaily[MalariaCases],tblDaily[EntryDate],DATE(2026,8,30),tblDaily[WardCode],"BG")),"")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  <c r="I310" s="5" t="str">
        <f>IFERROR(IF(SUMIFS(tblDaily[MalariaCases],tblDaily[EntryDate],DATE(2026,8,31),tblDaily[WardCode],"BG")=0,"",SUMIFS(tblDaily[MalariaCases],tblDaily[EntryDate],DATE(2026,8,31),tblDaily[WardCode],"BG")),"")</f>
        <v/>
      </c>
    </row>
    <row r="311" spans="1:9" x14ac:dyDescent="0.25">
      <c r="A311" s="9" t="s">
        <v>94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98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IFERROR(SUMIFS(tblDaily[Remaining],tblDaily[EntryDate],DATE(2026,8,31),tblDaily[WardCode],"BG"),0)</f>
        <v>0</v>
      </c>
    </row>
    <row r="317" spans="1:9" x14ac:dyDescent="0.25">
      <c r="A317" s="1" t="s">
        <v>87</v>
      </c>
      <c r="H317" s="7">
        <f>IFERROR(INDEX(tblWardConfig[BedComplement],MATCH("BG",tblWardConfig[Export Year-End],0)),0)</f>
        <v>14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  <c r="I319" s="5" t="str">
        <f>IFERROR(IF(SUMIFS(tblDaily[MalariaCases],tblDaily[EntryDate],DATE(2026,9,1),tblDaily[WardCode],"BG")=0,"",SUMIFS(tblDaily[MalariaCases],tblDaily[EntryDate],DATE(2026,9,1),tblDaily[WardCode],"BG")),"")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  <c r="I320" s="5" t="str">
        <f>IFERROR(IF(SUMIFS(tblDaily[MalariaCases],tblDaily[EntryDate],DATE(2026,9,2),tblDaily[WardCode],"BG")=0,"",SUMIFS(tblDaily[MalariaCases],tblDaily[EntryDate],DATE(2026,9,2),tblDaily[WardCode],"BG")),"")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  <c r="I321" s="5" t="str">
        <f>IFERROR(IF(SUMIFS(tblDaily[MalariaCases],tblDaily[EntryDate],DATE(2026,9,3),tblDaily[WardCode],"BG")=0,"",SUMIFS(tblDaily[MalariaCases],tblDaily[EntryDate],DATE(2026,9,3),tblDaily[WardCode],"BG")),"")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  <c r="I322" s="5" t="str">
        <f>IFERROR(IF(SUMIFS(tblDaily[MalariaCases],tblDaily[EntryDate],DATE(2026,9,4),tblDaily[WardCode],"BG")=0,"",SUMIFS(tblDaily[MalariaCases],tblDaily[EntryDate],DATE(2026,9,4),tblDaily[WardCode],"BG")),"")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  <c r="I323" s="5" t="str">
        <f>IFERROR(IF(SUMIFS(tblDaily[MalariaCases],tblDaily[EntryDate],DATE(2026,9,5),tblDaily[WardCode],"BG")=0,"",SUMIFS(tblDaily[MalariaCases],tblDaily[EntryDate],DATE(2026,9,5),tblDaily[WardCode],"BG")),"")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  <c r="I324" s="5" t="str">
        <f>IFERROR(IF(SUMIFS(tblDaily[MalariaCases],tblDaily[EntryDate],DATE(2026,9,6),tblDaily[WardCode],"BG")=0,"",SUMIFS(tblDaily[MalariaCases],tblDaily[EntryDate],DATE(2026,9,6),tblDaily[WardCode],"BG")),"")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  <c r="I325" s="5" t="str">
        <f>IFERROR(IF(SUMIFS(tblDaily[MalariaCases],tblDaily[EntryDate],DATE(2026,9,7),tblDaily[WardCode],"BG")=0,"",SUMIFS(tblDaily[MalariaCases],tblDaily[EntryDate],DATE(2026,9,7),tblDaily[WardCode],"BG")),"")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  <c r="I326" s="5" t="str">
        <f>IFERROR(IF(SUMIFS(tblDaily[MalariaCases],tblDaily[EntryDate],DATE(2026,9,8),tblDaily[WardCode],"BG")=0,"",SUMIFS(tblDaily[MalariaCases],tblDaily[EntryDate],DATE(2026,9,8),tblDaily[WardCode],"BG")),"")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  <c r="I327" s="5" t="str">
        <f>IFERROR(IF(SUMIFS(tblDaily[MalariaCases],tblDaily[EntryDate],DATE(2026,9,9),tblDaily[WardCode],"BG")=0,"",SUMIFS(tblDaily[MalariaCases],tblDaily[EntryDate],DATE(2026,9,9),tblDaily[WardCode],"BG")),"")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  <c r="I328" s="5" t="str">
        <f>IFERROR(IF(SUMIFS(tblDaily[MalariaCases],tblDaily[EntryDate],DATE(2026,9,10),tblDaily[WardCode],"BG")=0,"",SUMIFS(tblDaily[MalariaCases],tblDaily[EntryDate],DATE(2026,9,10),tblDaily[WardCode],"BG")),"")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  <c r="I329" s="5" t="str">
        <f>IFERROR(IF(SUMIFS(tblDaily[MalariaCases],tblDaily[EntryDate],DATE(2026,9,11),tblDaily[WardCode],"BG")=0,"",SUMIFS(tblDaily[MalariaCases],tblDaily[EntryDate],DATE(2026,9,11),tblDaily[WardCode],"BG")),"")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  <c r="I330" s="5" t="str">
        <f>IFERROR(IF(SUMIFS(tblDaily[MalariaCases],tblDaily[EntryDate],DATE(2026,9,12),tblDaily[WardCode],"BG")=0,"",SUMIFS(tblDaily[MalariaCases],tblDaily[EntryDate],DATE(2026,9,12),tblDaily[WardCode],"BG")),"")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  <c r="I331" s="5" t="str">
        <f>IFERROR(IF(SUMIFS(tblDaily[MalariaCases],tblDaily[EntryDate],DATE(2026,9,13),tblDaily[WardCode],"BG")=0,"",SUMIFS(tblDaily[MalariaCases],tblDaily[EntryDate],DATE(2026,9,13),tblDaily[WardCode],"BG")),"")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  <c r="I332" s="5" t="str">
        <f>IFERROR(IF(SUMIFS(tblDaily[MalariaCases],tblDaily[EntryDate],DATE(2026,9,14),tblDaily[WardCode],"BG")=0,"",SUMIFS(tblDaily[MalariaCases],tblDaily[EntryDate],DATE(2026,9,14),tblDaily[WardCode],"BG")),"")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  <c r="I333" s="5" t="str">
        <f>IFERROR(IF(SUMIFS(tblDaily[MalariaCases],tblDaily[EntryDate],DATE(2026,9,15),tblDaily[WardCode],"BG")=0,"",SUMIFS(tblDaily[MalariaCases],tblDaily[EntryDate],DATE(2026,9,15),tblDaily[WardCode],"BG")),"")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  <c r="I334" s="5" t="str">
        <f>IFERROR(IF(SUMIFS(tblDaily[MalariaCases],tblDaily[EntryDate],DATE(2026,9,16),tblDaily[WardCode],"BG")=0,"",SUMIFS(tblDaily[MalariaCases],tblDaily[EntryDate],DATE(2026,9,16),tblDaily[WardCode],"BG")),"")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  <c r="I335" s="5" t="str">
        <f>IFERROR(IF(SUMIFS(tblDaily[MalariaCases],tblDaily[EntryDate],DATE(2026,9,17),tblDaily[WardCode],"BG")=0,"",SUMIFS(tblDaily[MalariaCases],tblDaily[EntryDate],DATE(2026,9,17),tblDaily[WardCode],"BG")),"")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  <c r="I336" s="5" t="str">
        <f>IFERROR(IF(SUMIFS(tblDaily[MalariaCases],tblDaily[EntryDate],DATE(2026,9,18),tblDaily[WardCode],"BG")=0,"",SUMIFS(tblDaily[MalariaCases],tblDaily[EntryDate],DATE(2026,9,18),tblDaily[WardCode],"BG")),"")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  <c r="I337" s="5" t="str">
        <f>IFERROR(IF(SUMIFS(tblDaily[MalariaCases],tblDaily[EntryDate],DATE(2026,9,19),tblDaily[WardCode],"BG")=0,"",SUMIFS(tblDaily[MalariaCases],tblDaily[EntryDate],DATE(2026,9,19),tblDaily[WardCode],"BG")),"")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  <c r="I338" s="5" t="str">
        <f>IFERROR(IF(SUMIFS(tblDaily[MalariaCases],tblDaily[EntryDate],DATE(2026,9,20),tblDaily[WardCode],"BG")=0,"",SUMIFS(tblDaily[MalariaCases],tblDaily[EntryDate],DATE(2026,9,20),tblDaily[WardCode],"BG")),"")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  <c r="I339" s="5" t="str">
        <f>IFERROR(IF(SUMIFS(tblDaily[MalariaCases],tblDaily[EntryDate],DATE(2026,9,21),tblDaily[WardCode],"BG")=0,"",SUMIFS(tblDaily[MalariaCases],tblDaily[EntryDate],DATE(2026,9,21),tblDaily[WardCode],"BG")),"")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  <c r="I340" s="5" t="str">
        <f>IFERROR(IF(SUMIFS(tblDaily[MalariaCases],tblDaily[EntryDate],DATE(2026,9,22),tblDaily[WardCode],"BG")=0,"",SUMIFS(tblDaily[MalariaCases],tblDaily[EntryDate],DATE(2026,9,22),tblDaily[WardCode],"BG")),"")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  <c r="I341" s="5" t="str">
        <f>IFERROR(IF(SUMIFS(tblDaily[MalariaCases],tblDaily[EntryDate],DATE(2026,9,23),tblDaily[WardCode],"BG")=0,"",SUMIFS(tblDaily[MalariaCases],tblDaily[EntryDate],DATE(2026,9,23),tblDaily[WardCode],"BG")),"")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  <c r="I342" s="5" t="str">
        <f>IFERROR(IF(SUMIFS(tblDaily[MalariaCases],tblDaily[EntryDate],DATE(2026,9,24),tblDaily[WardCode],"BG")=0,"",SUMIFS(tblDaily[MalariaCases],tblDaily[EntryDate],DATE(2026,9,24),tblDaily[WardCode],"BG")),"")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  <c r="I343" s="5" t="str">
        <f>IFERROR(IF(SUMIFS(tblDaily[MalariaCases],tblDaily[EntryDate],DATE(2026,9,25),tblDaily[WardCode],"BG")=0,"",SUMIFS(tblDaily[MalariaCases],tblDaily[EntryDate],DATE(2026,9,25),tblDaily[WardCode],"BG")),"")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  <c r="I344" s="5" t="str">
        <f>IFERROR(IF(SUMIFS(tblDaily[MalariaCases],tblDaily[EntryDate],DATE(2026,9,26),tblDaily[WardCode],"BG")=0,"",SUMIFS(tblDaily[MalariaCases],tblDaily[EntryDate],DATE(2026,9,26),tblDaily[WardCode],"BG")),"")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  <c r="I345" s="5" t="str">
        <f>IFERROR(IF(SUMIFS(tblDaily[MalariaCases],tblDaily[EntryDate],DATE(2026,9,27),tblDaily[WardCode],"BG")=0,"",SUMIFS(tblDaily[MalariaCases],tblDaily[EntryDate],DATE(2026,9,27),tblDaily[WardCode],"BG")),"")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  <c r="I346" s="5" t="str">
        <f>IFERROR(IF(SUMIFS(tblDaily[MalariaCases],tblDaily[EntryDate],DATE(2026,9,28),tblDaily[WardCode],"BG")=0,"",SUMIFS(tblDaily[MalariaCases],tblDaily[EntryDate],DATE(2026,9,28),tblDaily[WardCode],"BG")),"")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  <c r="I347" s="5" t="str">
        <f>IFERROR(IF(SUMIFS(tblDaily[MalariaCases],tblDaily[EntryDate],DATE(2026,9,29),tblDaily[WardCode],"BG")=0,"",SUMIFS(tblDaily[MalariaCases],tblDaily[EntryDate],DATE(2026,9,29),tblDaily[WardCode],"BG")),"")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  <c r="I348" s="5" t="str">
        <f>IFERROR(IF(SUMIFS(tblDaily[MalariaCases],tblDaily[EntryDate],DATE(2026,9,30),tblDaily[WardCode],"BG")=0,"",SUMIFS(tblDaily[MalariaCases],tblDaily[EntryDate],DATE(2026,9,30),tblDaily[WardCode],"BG")),"")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98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IFERROR(SUMIFS(tblDaily[Remaining],tblDaily[EntryDate],DATE(2026,9,30),tblDaily[WardCode],"BG"),0)</f>
        <v>0</v>
      </c>
    </row>
    <row r="356" spans="1:9" x14ac:dyDescent="0.25">
      <c r="A356" s="1" t="s">
        <v>87</v>
      </c>
      <c r="H356" s="7">
        <f>IFERROR(INDEX(tblWardConfig[BedComplement],MATCH("BG",tblWardConfig[Export Year-End],0)),0)</f>
        <v>14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  <c r="I358" s="5" t="str">
        <f>IFERROR(IF(SUMIFS(tblDaily[MalariaCases],tblDaily[EntryDate],DATE(2026,10,1),tblDaily[WardCode],"BG")=0,"",SUMIFS(tblDaily[MalariaCases],tblDaily[EntryDate],DATE(2026,10,1),tblDaily[WardCode],"BG")),"")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  <c r="I359" s="5" t="str">
        <f>IFERROR(IF(SUMIFS(tblDaily[MalariaCases],tblDaily[EntryDate],DATE(2026,10,2),tblDaily[WardCode],"BG")=0,"",SUMIFS(tblDaily[MalariaCases],tblDaily[EntryDate],DATE(2026,10,2),tblDaily[WardCode],"BG")),"")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  <c r="I360" s="5" t="str">
        <f>IFERROR(IF(SUMIFS(tblDaily[MalariaCases],tblDaily[EntryDate],DATE(2026,10,3),tblDaily[WardCode],"BG")=0,"",SUMIFS(tblDaily[MalariaCases],tblDaily[EntryDate],DATE(2026,10,3),tblDaily[WardCode],"BG")),"")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  <c r="I361" s="5" t="str">
        <f>IFERROR(IF(SUMIFS(tblDaily[MalariaCases],tblDaily[EntryDate],DATE(2026,10,4),tblDaily[WardCode],"BG")=0,"",SUMIFS(tblDaily[MalariaCases],tblDaily[EntryDate],DATE(2026,10,4),tblDaily[WardCode],"BG")),"")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  <c r="I362" s="5" t="str">
        <f>IFERROR(IF(SUMIFS(tblDaily[MalariaCases],tblDaily[EntryDate],DATE(2026,10,5),tblDaily[WardCode],"BG")=0,"",SUMIFS(tblDaily[MalariaCases],tblDaily[EntryDate],DATE(2026,10,5),tblDaily[WardCode],"BG")),"")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  <c r="I363" s="5" t="str">
        <f>IFERROR(IF(SUMIFS(tblDaily[MalariaCases],tblDaily[EntryDate],DATE(2026,10,6),tblDaily[WardCode],"BG")=0,"",SUMIFS(tblDaily[MalariaCases],tblDaily[EntryDate],DATE(2026,10,6),tblDaily[WardCode],"BG")),"")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  <c r="I364" s="5" t="str">
        <f>IFERROR(IF(SUMIFS(tblDaily[MalariaCases],tblDaily[EntryDate],DATE(2026,10,7),tblDaily[WardCode],"BG")=0,"",SUMIFS(tblDaily[MalariaCases],tblDaily[EntryDate],DATE(2026,10,7),tblDaily[WardCode],"BG")),"")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  <c r="I365" s="5" t="str">
        <f>IFERROR(IF(SUMIFS(tblDaily[MalariaCases],tblDaily[EntryDate],DATE(2026,10,8),tblDaily[WardCode],"BG")=0,"",SUMIFS(tblDaily[MalariaCases],tblDaily[EntryDate],DATE(2026,10,8),tblDaily[WardCode],"BG")),"")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  <c r="I366" s="5" t="str">
        <f>IFERROR(IF(SUMIFS(tblDaily[MalariaCases],tblDaily[EntryDate],DATE(2026,10,9),tblDaily[WardCode],"BG")=0,"",SUMIFS(tblDaily[MalariaCases],tblDaily[EntryDate],DATE(2026,10,9),tblDaily[WardCode],"BG")),"")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  <c r="I367" s="5" t="str">
        <f>IFERROR(IF(SUMIFS(tblDaily[MalariaCases],tblDaily[EntryDate],DATE(2026,10,10),tblDaily[WardCode],"BG")=0,"",SUMIFS(tblDaily[MalariaCases],tblDaily[EntryDate],DATE(2026,10,10),tblDaily[WardCode],"BG")),"")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  <c r="I368" s="5" t="str">
        <f>IFERROR(IF(SUMIFS(tblDaily[MalariaCases],tblDaily[EntryDate],DATE(2026,10,11),tblDaily[WardCode],"BG")=0,"",SUMIFS(tblDaily[MalariaCases],tblDaily[EntryDate],DATE(2026,10,11),tblDaily[WardCode],"BG")),"")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  <c r="I369" s="5" t="str">
        <f>IFERROR(IF(SUMIFS(tblDaily[MalariaCases],tblDaily[EntryDate],DATE(2026,10,12),tblDaily[WardCode],"BG")=0,"",SUMIFS(tblDaily[MalariaCases],tblDaily[EntryDate],DATE(2026,10,12),tblDaily[WardCode],"BG")),"")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  <c r="I370" s="5" t="str">
        <f>IFERROR(IF(SUMIFS(tblDaily[MalariaCases],tblDaily[EntryDate],DATE(2026,10,13),tblDaily[WardCode],"BG")=0,"",SUMIFS(tblDaily[MalariaCases],tblDaily[EntryDate],DATE(2026,10,13),tblDaily[WardCode],"BG")),"")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  <c r="I371" s="5" t="str">
        <f>IFERROR(IF(SUMIFS(tblDaily[MalariaCases],tblDaily[EntryDate],DATE(2026,10,14),tblDaily[WardCode],"BG")=0,"",SUMIFS(tblDaily[MalariaCases],tblDaily[EntryDate],DATE(2026,10,14),tblDaily[WardCode],"BG")),"")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  <c r="I372" s="5" t="str">
        <f>IFERROR(IF(SUMIFS(tblDaily[MalariaCases],tblDaily[EntryDate],DATE(2026,10,15),tblDaily[WardCode],"BG")=0,"",SUMIFS(tblDaily[MalariaCases],tblDaily[EntryDate],DATE(2026,10,15),tblDaily[WardCode],"BG")),"")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  <c r="I373" s="5" t="str">
        <f>IFERROR(IF(SUMIFS(tblDaily[MalariaCases],tblDaily[EntryDate],DATE(2026,10,16),tblDaily[WardCode],"BG")=0,"",SUMIFS(tblDaily[MalariaCases],tblDaily[EntryDate],DATE(2026,10,16),tblDaily[WardCode],"BG")),"")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  <c r="I374" s="5" t="str">
        <f>IFERROR(IF(SUMIFS(tblDaily[MalariaCases],tblDaily[EntryDate],DATE(2026,10,17),tblDaily[WardCode],"BG")=0,"",SUMIFS(tblDaily[MalariaCases],tblDaily[EntryDate],DATE(2026,10,17),tblDaily[WardCode],"BG")),"")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  <c r="I375" s="5" t="str">
        <f>IFERROR(IF(SUMIFS(tblDaily[MalariaCases],tblDaily[EntryDate],DATE(2026,10,18),tblDaily[WardCode],"BG")=0,"",SUMIFS(tblDaily[MalariaCases],tblDaily[EntryDate],DATE(2026,10,18),tblDaily[WardCode],"BG")),"")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  <c r="I376" s="5" t="str">
        <f>IFERROR(IF(SUMIFS(tblDaily[MalariaCases],tblDaily[EntryDate],DATE(2026,10,19),tblDaily[WardCode],"BG")=0,"",SUMIFS(tblDaily[MalariaCases],tblDaily[EntryDate],DATE(2026,10,19),tblDaily[WardCode],"BG")),"")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  <c r="I377" s="5" t="str">
        <f>IFERROR(IF(SUMIFS(tblDaily[MalariaCases],tblDaily[EntryDate],DATE(2026,10,20),tblDaily[WardCode],"BG")=0,"",SUMIFS(tblDaily[MalariaCases],tblDaily[EntryDate],DATE(2026,10,20),tblDaily[WardCode],"BG")),"")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  <c r="I378" s="5" t="str">
        <f>IFERROR(IF(SUMIFS(tblDaily[MalariaCases],tblDaily[EntryDate],DATE(2026,10,21),tblDaily[WardCode],"BG")=0,"",SUMIFS(tblDaily[MalariaCases],tblDaily[EntryDate],DATE(2026,10,21),tblDaily[WardCode],"BG")),"")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  <c r="I379" s="5" t="str">
        <f>IFERROR(IF(SUMIFS(tblDaily[MalariaCases],tblDaily[EntryDate],DATE(2026,10,22),tblDaily[WardCode],"BG")=0,"",SUMIFS(tblDaily[MalariaCases],tblDaily[EntryDate],DATE(2026,10,22),tblDaily[WardCode],"BG")),"")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  <c r="I380" s="5" t="str">
        <f>IFERROR(IF(SUMIFS(tblDaily[MalariaCases],tblDaily[EntryDate],DATE(2026,10,23),tblDaily[WardCode],"BG")=0,"",SUMIFS(tblDaily[MalariaCases],tblDaily[EntryDate],DATE(2026,10,23),tblDaily[WardCode],"BG")),"")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  <c r="I381" s="5" t="str">
        <f>IFERROR(IF(SUMIFS(tblDaily[MalariaCases],tblDaily[EntryDate],DATE(2026,10,24),tblDaily[WardCode],"BG")=0,"",SUMIFS(tblDaily[MalariaCases],tblDaily[EntryDate],DATE(2026,10,24),tblDaily[WardCode],"BG")),"")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  <c r="I382" s="5" t="str">
        <f>IFERROR(IF(SUMIFS(tblDaily[MalariaCases],tblDaily[EntryDate],DATE(2026,10,25),tblDaily[WardCode],"BG")=0,"",SUMIFS(tblDaily[MalariaCases],tblDaily[EntryDate],DATE(2026,10,25),tblDaily[WardCode],"BG")),"")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  <c r="I383" s="5" t="str">
        <f>IFERROR(IF(SUMIFS(tblDaily[MalariaCases],tblDaily[EntryDate],DATE(2026,10,26),tblDaily[WardCode],"BG")=0,"",SUMIFS(tblDaily[MalariaCases],tblDaily[EntryDate],DATE(2026,10,26),tblDaily[WardCode],"BG")),"")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  <c r="I384" s="5" t="str">
        <f>IFERROR(IF(SUMIFS(tblDaily[MalariaCases],tblDaily[EntryDate],DATE(2026,10,27),tblDaily[WardCode],"BG")=0,"",SUMIFS(tblDaily[MalariaCases],tblDaily[EntryDate],DATE(2026,10,27),tblDaily[WardCode],"BG")),"")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  <c r="I385" s="5" t="str">
        <f>IFERROR(IF(SUMIFS(tblDaily[MalariaCases],tblDaily[EntryDate],DATE(2026,10,28),tblDaily[WardCode],"BG")=0,"",SUMIFS(tblDaily[MalariaCases],tblDaily[EntryDate],DATE(2026,10,28),tblDaily[WardCode],"BG")),"")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  <c r="I386" s="5" t="str">
        <f>IFERROR(IF(SUMIFS(tblDaily[MalariaCases],tblDaily[EntryDate],DATE(2026,10,29),tblDaily[WardCode],"BG")=0,"",SUMIFS(tblDaily[MalariaCases],tblDaily[EntryDate],DATE(2026,10,29),tblDaily[WardCode],"BG")),"")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  <c r="I387" s="5" t="str">
        <f>IFERROR(IF(SUMIFS(tblDaily[MalariaCases],tblDaily[EntryDate],DATE(2026,10,30),tblDaily[WardCode],"BG")=0,"",SUMIFS(tblDaily[MalariaCases],tblDaily[EntryDate],DATE(2026,10,30),tblDaily[WardCode],"BG")),"")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  <c r="I388" s="5" t="str">
        <f>IFERROR(IF(SUMIFS(tblDaily[MalariaCases],tblDaily[EntryDate],DATE(2026,10,31),tblDaily[WardCode],"BG")=0,"",SUMIFS(tblDaily[MalariaCases],tblDaily[EntryDate],DATE(2026,10,31),tblDaily[WardCode],"BG")),"")</f>
        <v/>
      </c>
    </row>
    <row r="389" spans="1:9" x14ac:dyDescent="0.25">
      <c r="A389" s="9" t="s">
        <v>94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98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IFERROR(SUMIFS(tblDaily[Remaining],tblDaily[EntryDate],DATE(2026,10,31),tblDaily[WardCode],"BG"),0)</f>
        <v>0</v>
      </c>
    </row>
    <row r="395" spans="1:9" x14ac:dyDescent="0.25">
      <c r="A395" s="1" t="s">
        <v>87</v>
      </c>
      <c r="H395" s="7">
        <f>IFERROR(INDEX(tblWardConfig[BedComplement],MATCH("BG",tblWardConfig[Export Year-End],0)),0)</f>
        <v>14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  <c r="I397" s="5" t="str">
        <f>IFERROR(IF(SUMIFS(tblDaily[MalariaCases],tblDaily[EntryDate],DATE(2026,11,1),tblDaily[WardCode],"BG")=0,"",SUMIFS(tblDaily[MalariaCases],tblDaily[EntryDate],DATE(2026,11,1),tblDaily[WardCode],"BG")),"")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  <c r="I398" s="5" t="str">
        <f>IFERROR(IF(SUMIFS(tblDaily[MalariaCases],tblDaily[EntryDate],DATE(2026,11,2),tblDaily[WardCode],"BG")=0,"",SUMIFS(tblDaily[MalariaCases],tblDaily[EntryDate],DATE(2026,11,2),tblDaily[WardCode],"BG")),"")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  <c r="I399" s="5" t="str">
        <f>IFERROR(IF(SUMIFS(tblDaily[MalariaCases],tblDaily[EntryDate],DATE(2026,11,3),tblDaily[WardCode],"BG")=0,"",SUMIFS(tblDaily[MalariaCases],tblDaily[EntryDate],DATE(2026,11,3),tblDaily[WardCode],"BG")),"")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  <c r="I400" s="5" t="str">
        <f>IFERROR(IF(SUMIFS(tblDaily[MalariaCases],tblDaily[EntryDate],DATE(2026,11,4),tblDaily[WardCode],"BG")=0,"",SUMIFS(tblDaily[MalariaCases],tblDaily[EntryDate],DATE(2026,11,4),tblDaily[WardCode],"BG")),"")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  <c r="I401" s="5" t="str">
        <f>IFERROR(IF(SUMIFS(tblDaily[MalariaCases],tblDaily[EntryDate],DATE(2026,11,5),tblDaily[WardCode],"BG")=0,"",SUMIFS(tblDaily[MalariaCases],tblDaily[EntryDate],DATE(2026,11,5),tblDaily[WardCode],"BG")),"")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  <c r="I402" s="5" t="str">
        <f>IFERROR(IF(SUMIFS(tblDaily[MalariaCases],tblDaily[EntryDate],DATE(2026,11,6),tblDaily[WardCode],"BG")=0,"",SUMIFS(tblDaily[MalariaCases],tblDaily[EntryDate],DATE(2026,11,6),tblDaily[WardCode],"BG")),"")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  <c r="I403" s="5" t="str">
        <f>IFERROR(IF(SUMIFS(tblDaily[MalariaCases],tblDaily[EntryDate],DATE(2026,11,7),tblDaily[WardCode],"BG")=0,"",SUMIFS(tblDaily[MalariaCases],tblDaily[EntryDate],DATE(2026,11,7),tblDaily[WardCode],"BG")),"")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  <c r="I404" s="5" t="str">
        <f>IFERROR(IF(SUMIFS(tblDaily[MalariaCases],tblDaily[EntryDate],DATE(2026,11,8),tblDaily[WardCode],"BG")=0,"",SUMIFS(tblDaily[MalariaCases],tblDaily[EntryDate],DATE(2026,11,8),tblDaily[WardCode],"BG")),"")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  <c r="I405" s="5" t="str">
        <f>IFERROR(IF(SUMIFS(tblDaily[MalariaCases],tblDaily[EntryDate],DATE(2026,11,9),tblDaily[WardCode],"BG")=0,"",SUMIFS(tblDaily[MalariaCases],tblDaily[EntryDate],DATE(2026,11,9),tblDaily[WardCode],"BG")),"")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  <c r="I406" s="5" t="str">
        <f>IFERROR(IF(SUMIFS(tblDaily[MalariaCases],tblDaily[EntryDate],DATE(2026,11,10),tblDaily[WardCode],"BG")=0,"",SUMIFS(tblDaily[MalariaCases],tblDaily[EntryDate],DATE(2026,11,10),tblDaily[WardCode],"BG")),"")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  <c r="I407" s="5" t="str">
        <f>IFERROR(IF(SUMIFS(tblDaily[MalariaCases],tblDaily[EntryDate],DATE(2026,11,11),tblDaily[WardCode],"BG")=0,"",SUMIFS(tblDaily[MalariaCases],tblDaily[EntryDate],DATE(2026,11,11),tblDaily[WardCode],"BG")),"")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  <c r="I408" s="5" t="str">
        <f>IFERROR(IF(SUMIFS(tblDaily[MalariaCases],tblDaily[EntryDate],DATE(2026,11,12),tblDaily[WardCode],"BG")=0,"",SUMIFS(tblDaily[MalariaCases],tblDaily[EntryDate],DATE(2026,11,12),tblDaily[WardCode],"BG")),"")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  <c r="I409" s="5" t="str">
        <f>IFERROR(IF(SUMIFS(tblDaily[MalariaCases],tblDaily[EntryDate],DATE(2026,11,13),tblDaily[WardCode],"BG")=0,"",SUMIFS(tblDaily[MalariaCases],tblDaily[EntryDate],DATE(2026,11,13),tblDaily[WardCode],"BG")),"")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  <c r="I410" s="5" t="str">
        <f>IFERROR(IF(SUMIFS(tblDaily[MalariaCases],tblDaily[EntryDate],DATE(2026,11,14),tblDaily[WardCode],"BG")=0,"",SUMIFS(tblDaily[MalariaCases],tblDaily[EntryDate],DATE(2026,11,14),tblDaily[WardCode],"BG")),"")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  <c r="I411" s="5" t="str">
        <f>IFERROR(IF(SUMIFS(tblDaily[MalariaCases],tblDaily[EntryDate],DATE(2026,11,15),tblDaily[WardCode],"BG")=0,"",SUMIFS(tblDaily[MalariaCases],tblDaily[EntryDate],DATE(2026,11,15),tblDaily[WardCode],"BG")),"")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  <c r="I412" s="5" t="str">
        <f>IFERROR(IF(SUMIFS(tblDaily[MalariaCases],tblDaily[EntryDate],DATE(2026,11,16),tblDaily[WardCode],"BG")=0,"",SUMIFS(tblDaily[MalariaCases],tblDaily[EntryDate],DATE(2026,11,16),tblDaily[WardCode],"BG")),"")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  <c r="I413" s="5" t="str">
        <f>IFERROR(IF(SUMIFS(tblDaily[MalariaCases],tblDaily[EntryDate],DATE(2026,11,17),tblDaily[WardCode],"BG")=0,"",SUMIFS(tblDaily[MalariaCases],tblDaily[EntryDate],DATE(2026,11,17),tblDaily[WardCode],"BG")),"")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  <c r="I414" s="5" t="str">
        <f>IFERROR(IF(SUMIFS(tblDaily[MalariaCases],tblDaily[EntryDate],DATE(2026,11,18),tblDaily[WardCode],"BG")=0,"",SUMIFS(tblDaily[MalariaCases],tblDaily[EntryDate],DATE(2026,11,18),tblDaily[WardCode],"BG")),"")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  <c r="I415" s="5" t="str">
        <f>IFERROR(IF(SUMIFS(tblDaily[MalariaCases],tblDaily[EntryDate],DATE(2026,11,19),tblDaily[WardCode],"BG")=0,"",SUMIFS(tblDaily[MalariaCases],tblDaily[EntryDate],DATE(2026,11,19),tblDaily[WardCode],"BG")),"")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  <c r="I416" s="5" t="str">
        <f>IFERROR(IF(SUMIFS(tblDaily[MalariaCases],tblDaily[EntryDate],DATE(2026,11,20),tblDaily[WardCode],"BG")=0,"",SUMIFS(tblDaily[MalariaCases],tblDaily[EntryDate],DATE(2026,11,20),tblDaily[WardCode],"BG")),"")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  <c r="I417" s="5" t="str">
        <f>IFERROR(IF(SUMIFS(tblDaily[MalariaCases],tblDaily[EntryDate],DATE(2026,11,21),tblDaily[WardCode],"BG")=0,"",SUMIFS(tblDaily[MalariaCases],tblDaily[EntryDate],DATE(2026,11,21),tblDaily[WardCode],"BG")),"")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  <c r="I418" s="5" t="str">
        <f>IFERROR(IF(SUMIFS(tblDaily[MalariaCases],tblDaily[EntryDate],DATE(2026,11,22),tblDaily[WardCode],"BG")=0,"",SUMIFS(tblDaily[MalariaCases],tblDaily[EntryDate],DATE(2026,11,22),tblDaily[WardCode],"BG")),"")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  <c r="I419" s="5" t="str">
        <f>IFERROR(IF(SUMIFS(tblDaily[MalariaCases],tblDaily[EntryDate],DATE(2026,11,23),tblDaily[WardCode],"BG")=0,"",SUMIFS(tblDaily[MalariaCases],tblDaily[EntryDate],DATE(2026,11,23),tblDaily[WardCode],"BG")),"")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  <c r="I420" s="5" t="str">
        <f>IFERROR(IF(SUMIFS(tblDaily[MalariaCases],tblDaily[EntryDate],DATE(2026,11,24),tblDaily[WardCode],"BG")=0,"",SUMIFS(tblDaily[MalariaCases],tblDaily[EntryDate],DATE(2026,11,24),tblDaily[WardCode],"BG")),"")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  <c r="I421" s="5" t="str">
        <f>IFERROR(IF(SUMIFS(tblDaily[MalariaCases],tblDaily[EntryDate],DATE(2026,11,25),tblDaily[WardCode],"BG")=0,"",SUMIFS(tblDaily[MalariaCases],tblDaily[EntryDate],DATE(2026,11,25),tblDaily[WardCode],"BG")),"")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  <c r="I422" s="5" t="str">
        <f>IFERROR(IF(SUMIFS(tblDaily[MalariaCases],tblDaily[EntryDate],DATE(2026,11,26),tblDaily[WardCode],"BG")=0,"",SUMIFS(tblDaily[MalariaCases],tblDaily[EntryDate],DATE(2026,11,26),tblDaily[WardCode],"BG")),"")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  <c r="I423" s="5" t="str">
        <f>IFERROR(IF(SUMIFS(tblDaily[MalariaCases],tblDaily[EntryDate],DATE(2026,11,27),tblDaily[WardCode],"BG")=0,"",SUMIFS(tblDaily[MalariaCases],tblDaily[EntryDate],DATE(2026,11,27),tblDaily[WardCode],"BG")),"")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  <c r="I424" s="5" t="str">
        <f>IFERROR(IF(SUMIFS(tblDaily[MalariaCases],tblDaily[EntryDate],DATE(2026,11,28),tblDaily[WardCode],"BG")=0,"",SUMIFS(tblDaily[MalariaCases],tblDaily[EntryDate],DATE(2026,11,28),tblDaily[WardCode],"BG")),"")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  <c r="I425" s="5" t="str">
        <f>IFERROR(IF(SUMIFS(tblDaily[MalariaCases],tblDaily[EntryDate],DATE(2026,11,29),tblDaily[WardCode],"BG")=0,"",SUMIFS(tblDaily[MalariaCases],tblDaily[EntryDate],DATE(2026,11,29),tblDaily[WardCode],"BG")),"")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  <c r="I426" s="5" t="str">
        <f>IFERROR(IF(SUMIFS(tblDaily[MalariaCases],tblDaily[EntryDate],DATE(2026,11,30),tblDaily[WardCode],"BG")=0,"",SUMIFS(tblDaily[MalariaCases],tblDaily[EntryDate],DATE(2026,11,30),tblDaily[WardCode],"BG")),"")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98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IFERROR(SUMIFS(tblDaily[Remaining],tblDaily[EntryDate],DATE(2026,11,30),tblDaily[WardCode],"BG"),0)</f>
        <v>0</v>
      </c>
    </row>
    <row r="434" spans="1:9" x14ac:dyDescent="0.25">
      <c r="A434" s="1" t="s">
        <v>87</v>
      </c>
      <c r="H434" s="7">
        <f>IFERROR(INDEX(tblWardConfig[BedComplement],MATCH("BG",tblWardConfig[Export Year-End],0)),0)</f>
        <v>14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  <c r="I436" s="5" t="str">
        <f>IFERROR(IF(SUMIFS(tblDaily[MalariaCases],tblDaily[EntryDate],DATE(2026,12,1),tblDaily[WardCode],"BG")=0,"",SUMIFS(tblDaily[MalariaCases],tblDaily[EntryDate],DATE(2026,12,1),tblDaily[WardCode],"BG")),"")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  <c r="I437" s="5" t="str">
        <f>IFERROR(IF(SUMIFS(tblDaily[MalariaCases],tblDaily[EntryDate],DATE(2026,12,2),tblDaily[WardCode],"BG")=0,"",SUMIFS(tblDaily[MalariaCases],tblDaily[EntryDate],DATE(2026,12,2),tblDaily[WardCode],"BG")),"")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  <c r="I438" s="5" t="str">
        <f>IFERROR(IF(SUMIFS(tblDaily[MalariaCases],tblDaily[EntryDate],DATE(2026,12,3),tblDaily[WardCode],"BG")=0,"",SUMIFS(tblDaily[MalariaCases],tblDaily[EntryDate],DATE(2026,12,3),tblDaily[WardCode],"BG")),"")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  <c r="I439" s="5" t="str">
        <f>IFERROR(IF(SUMIFS(tblDaily[MalariaCases],tblDaily[EntryDate],DATE(2026,12,4),tblDaily[WardCode],"BG")=0,"",SUMIFS(tblDaily[MalariaCases],tblDaily[EntryDate],DATE(2026,12,4),tblDaily[WardCode],"BG")),"")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  <c r="I440" s="5" t="str">
        <f>IFERROR(IF(SUMIFS(tblDaily[MalariaCases],tblDaily[EntryDate],DATE(2026,12,5),tblDaily[WardCode],"BG")=0,"",SUMIFS(tblDaily[MalariaCases],tblDaily[EntryDate],DATE(2026,12,5),tblDaily[WardCode],"BG")),"")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  <c r="I441" s="5" t="str">
        <f>IFERROR(IF(SUMIFS(tblDaily[MalariaCases],tblDaily[EntryDate],DATE(2026,12,6),tblDaily[WardCode],"BG")=0,"",SUMIFS(tblDaily[MalariaCases],tblDaily[EntryDate],DATE(2026,12,6),tblDaily[WardCode],"BG")),"")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  <c r="I442" s="5" t="str">
        <f>IFERROR(IF(SUMIFS(tblDaily[MalariaCases],tblDaily[EntryDate],DATE(2026,12,7),tblDaily[WardCode],"BG")=0,"",SUMIFS(tblDaily[MalariaCases],tblDaily[EntryDate],DATE(2026,12,7),tblDaily[WardCode],"BG")),"")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  <c r="I443" s="5" t="str">
        <f>IFERROR(IF(SUMIFS(tblDaily[MalariaCases],tblDaily[EntryDate],DATE(2026,12,8),tblDaily[WardCode],"BG")=0,"",SUMIFS(tblDaily[MalariaCases],tblDaily[EntryDate],DATE(2026,12,8),tblDaily[WardCode],"BG")),"")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  <c r="I444" s="5" t="str">
        <f>IFERROR(IF(SUMIFS(tblDaily[MalariaCases],tblDaily[EntryDate],DATE(2026,12,9),tblDaily[WardCode],"BG")=0,"",SUMIFS(tblDaily[MalariaCases],tblDaily[EntryDate],DATE(2026,12,9),tblDaily[WardCode],"BG")),"")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  <c r="I445" s="5" t="str">
        <f>IFERROR(IF(SUMIFS(tblDaily[MalariaCases],tblDaily[EntryDate],DATE(2026,12,10),tblDaily[WardCode],"BG")=0,"",SUMIFS(tblDaily[MalariaCases],tblDaily[EntryDate],DATE(2026,12,10),tblDaily[WardCode],"BG")),"")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  <c r="I446" s="5" t="str">
        <f>IFERROR(IF(SUMIFS(tblDaily[MalariaCases],tblDaily[EntryDate],DATE(2026,12,11),tblDaily[WardCode],"BG")=0,"",SUMIFS(tblDaily[MalariaCases],tblDaily[EntryDate],DATE(2026,12,11),tblDaily[WardCode],"BG")),"")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  <c r="I447" s="5" t="str">
        <f>IFERROR(IF(SUMIFS(tblDaily[MalariaCases],tblDaily[EntryDate],DATE(2026,12,12),tblDaily[WardCode],"BG")=0,"",SUMIFS(tblDaily[MalariaCases],tblDaily[EntryDate],DATE(2026,12,12),tblDaily[WardCode],"BG")),"")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  <c r="I448" s="5" t="str">
        <f>IFERROR(IF(SUMIFS(tblDaily[MalariaCases],tblDaily[EntryDate],DATE(2026,12,13),tblDaily[WardCode],"BG")=0,"",SUMIFS(tblDaily[MalariaCases],tblDaily[EntryDate],DATE(2026,12,13),tblDaily[WardCode],"BG")),"")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  <c r="I449" s="5" t="str">
        <f>IFERROR(IF(SUMIFS(tblDaily[MalariaCases],tblDaily[EntryDate],DATE(2026,12,14),tblDaily[WardCode],"BG")=0,"",SUMIFS(tblDaily[MalariaCases],tblDaily[EntryDate],DATE(2026,12,14),tblDaily[WardCode],"BG")),"")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  <c r="I450" s="5" t="str">
        <f>IFERROR(IF(SUMIFS(tblDaily[MalariaCases],tblDaily[EntryDate],DATE(2026,12,15),tblDaily[WardCode],"BG")=0,"",SUMIFS(tblDaily[MalariaCases],tblDaily[EntryDate],DATE(2026,12,15),tblDaily[WardCode],"BG")),"")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  <c r="I451" s="5" t="str">
        <f>IFERROR(IF(SUMIFS(tblDaily[MalariaCases],tblDaily[EntryDate],DATE(2026,12,16),tblDaily[WardCode],"BG")=0,"",SUMIFS(tblDaily[MalariaCases],tblDaily[EntryDate],DATE(2026,12,16),tblDaily[WardCode],"BG")),"")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  <c r="I452" s="5" t="str">
        <f>IFERROR(IF(SUMIFS(tblDaily[MalariaCases],tblDaily[EntryDate],DATE(2026,12,17),tblDaily[WardCode],"BG")=0,"",SUMIFS(tblDaily[MalariaCases],tblDaily[EntryDate],DATE(2026,12,17),tblDaily[WardCode],"BG")),"")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  <c r="I453" s="5" t="str">
        <f>IFERROR(IF(SUMIFS(tblDaily[MalariaCases],tblDaily[EntryDate],DATE(2026,12,18),tblDaily[WardCode],"BG")=0,"",SUMIFS(tblDaily[MalariaCases],tblDaily[EntryDate],DATE(2026,12,18),tblDaily[WardCode],"BG")),"")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  <c r="I454" s="5" t="str">
        <f>IFERROR(IF(SUMIFS(tblDaily[MalariaCases],tblDaily[EntryDate],DATE(2026,12,19),tblDaily[WardCode],"BG")=0,"",SUMIFS(tblDaily[MalariaCases],tblDaily[EntryDate],DATE(2026,12,19),tblDaily[WardCode],"BG")),"")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  <c r="I455" s="5" t="str">
        <f>IFERROR(IF(SUMIFS(tblDaily[MalariaCases],tblDaily[EntryDate],DATE(2026,12,20),tblDaily[WardCode],"BG")=0,"",SUMIFS(tblDaily[MalariaCases],tblDaily[EntryDate],DATE(2026,12,20),tblDaily[WardCode],"BG")),"")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  <c r="I456" s="5" t="str">
        <f>IFERROR(IF(SUMIFS(tblDaily[MalariaCases],tblDaily[EntryDate],DATE(2026,12,21),tblDaily[WardCode],"BG")=0,"",SUMIFS(tblDaily[MalariaCases],tblDaily[EntryDate],DATE(2026,12,21),tblDaily[WardCode],"BG")),"")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  <c r="I457" s="5" t="str">
        <f>IFERROR(IF(SUMIFS(tblDaily[MalariaCases],tblDaily[EntryDate],DATE(2026,12,22),tblDaily[WardCode],"BG")=0,"",SUMIFS(tblDaily[MalariaCases],tblDaily[EntryDate],DATE(2026,12,22),tblDaily[WardCode],"BG")),"")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  <c r="I458" s="5" t="str">
        <f>IFERROR(IF(SUMIFS(tblDaily[MalariaCases],tblDaily[EntryDate],DATE(2026,12,23),tblDaily[WardCode],"BG")=0,"",SUMIFS(tblDaily[MalariaCases],tblDaily[EntryDate],DATE(2026,12,23),tblDaily[WardCode],"BG")),"")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  <c r="I459" s="5" t="str">
        <f>IFERROR(IF(SUMIFS(tblDaily[MalariaCases],tblDaily[EntryDate],DATE(2026,12,24),tblDaily[WardCode],"BG")=0,"",SUMIFS(tblDaily[MalariaCases],tblDaily[EntryDate],DATE(2026,12,24),tblDaily[WardCode],"BG")),"")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  <c r="I460" s="5" t="str">
        <f>IFERROR(IF(SUMIFS(tblDaily[MalariaCases],tblDaily[EntryDate],DATE(2026,12,25),tblDaily[WardCode],"BG")=0,"",SUMIFS(tblDaily[MalariaCases],tblDaily[EntryDate],DATE(2026,12,25),tblDaily[WardCode],"BG")),"")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  <c r="I461" s="5" t="str">
        <f>IFERROR(IF(SUMIFS(tblDaily[MalariaCases],tblDaily[EntryDate],DATE(2026,12,26),tblDaily[WardCode],"BG")=0,"",SUMIFS(tblDaily[MalariaCases],tblDaily[EntryDate],DATE(2026,12,26),tblDaily[WardCode],"BG")),"")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  <c r="I462" s="5" t="str">
        <f>IFERROR(IF(SUMIFS(tblDaily[MalariaCases],tblDaily[EntryDate],DATE(2026,12,27),tblDaily[WardCode],"BG")=0,"",SUMIFS(tblDaily[MalariaCases],tblDaily[EntryDate],DATE(2026,12,27),tblDaily[WardCode],"BG")),"")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  <c r="I463" s="5" t="str">
        <f>IFERROR(IF(SUMIFS(tblDaily[MalariaCases],tblDaily[EntryDate],DATE(2026,12,28),tblDaily[WardCode],"BG")=0,"",SUMIFS(tblDaily[MalariaCases],tblDaily[EntryDate],DATE(2026,12,28),tblDaily[WardCode],"BG")),"")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  <c r="I464" s="5" t="str">
        <f>IFERROR(IF(SUMIFS(tblDaily[MalariaCases],tblDaily[EntryDate],DATE(2026,12,29),tblDaily[WardCode],"BG")=0,"",SUMIFS(tblDaily[MalariaCases],tblDaily[EntryDate],DATE(2026,12,29),tblDaily[WardCode],"BG")),"")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  <c r="I465" s="5" t="str">
        <f>IFERROR(IF(SUMIFS(tblDaily[MalariaCases],tblDaily[EntryDate],DATE(2026,12,30),tblDaily[WardCode],"BG")=0,"",SUMIFS(tblDaily[MalariaCases],tblDaily[EntryDate],DATE(2026,12,30),tblDaily[WardCode],"BG")),"")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  <c r="I466" s="5" t="str">
        <f>IFERROR(IF(SUMIFS(tblDaily[MalariaCases],tblDaily[EntryDate],DATE(2026,12,31),tblDaily[WardCode],"BG")=0,"",SUMIFS(tblDaily[MalariaCases],tblDaily[EntryDate],DATE(2026,12,31),tblDaily[WardCode],"BG")),"")</f>
        <v/>
      </c>
    </row>
    <row r="467" spans="1:9" x14ac:dyDescent="0.25">
      <c r="A467" s="9" t="s">
        <v>94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99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IFERROR(INDEX(tblWardConfig[PrevYearRemaining],MATCH("BH",tblWardConfig[Export Year-End],0)),0)</f>
        <v>0</v>
      </c>
    </row>
    <row r="5" spans="1:9" x14ac:dyDescent="0.25">
      <c r="A5" s="1" t="s">
        <v>87</v>
      </c>
      <c r="H5" s="7">
        <f>IFERROR(INDEX(tblWardConfig[BedComplement],MATCH("BH",tblWardConfig[Export Year-End],0)),0)</f>
        <v>22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IFERROR(IF(SUMIFS(tblDaily[Admissions],tblDaily[EntryDate],DATE(2026,1,1),tblDaily[WardCode],"BH")=0,"",SUMIFS(tblDaily[Admissions],tblDaily[EntryDate],DATE(2026,1,1),tblDaily[WardCode],"BH")),"")</f>
        <v/>
      </c>
      <c r="C7" s="5" t="str">
        <f>IFERROR(IF(SUMIFS(tblDaily[Discharges],tblDaily[EntryDate],DATE(2026,1,1),tblDaily[WardCode],"BH")=0,"",SUMIFS(tblDaily[Discharges],tblDaily[EntryDate],DATE(2026,1,1),tblDaily[WardCode],"BH")),"")</f>
        <v/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 t="str">
        <f>IFERROR(IF(SUMIFS(tblDaily[TransfersIn],tblDaily[EntryDate],DATE(2026,1,1),tblDaily[WardCode],"BH")=0,"",SUMIFS(tblDaily[TransfersIn],tblDaily[EntryDate],DATE(2026,1,1),tblDaily[WardCode],"BH")),"")</f>
        <v/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 t="str">
        <f>IFERROR(IF(SUMIFS(tblDaily[Remaining],tblDaily[EntryDate],DATE(2026,1,1),tblDaily[WardCode],"BH")=0,"",SUMIFS(tblDaily[Remaining],tblDaily[EntryDate],DATE(2026,1,1),tblDaily[WardCode],"BH")),"")</f>
        <v/>
      </c>
      <c r="I7" s="5" t="str">
        <f>IFERROR(IF(SUMIFS(tblDaily[MalariaCases],tblDaily[EntryDate],DATE(2026,1,1),tblDaily[WardCode],"BH")=0,"",SUMIFS(tblDaily[MalariaCases],tblDaily[EntryDate],DATE(2026,1,1),tblDaily[WardCode],"BH")),"")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IFERROR(IF(SUMIFS(tblDaily[Admissions],tblDaily[EntryDate],DATE(2026,1,2),tblDaily[WardCode],"BH")=0,"",SUMIFS(tblDaily[Admissions],tblDaily[EntryDate],DATE(2026,1,2),tblDaily[WardCode],"BH")),"")</f>
        <v/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 t="str">
        <f>IFERROR(IF(SUMIFS(tblDaily[Deaths],tblDaily[EntryDate],DATE(2026,1,2),tblDaily[WardCode],"BH")=0,"",SUMIFS(tblDaily[Deaths],tblDaily[EntryDate],DATE(2026,1,2),tblDaily[WardCode],"BH")),"")</f>
        <v/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 t="str">
        <f>IFERROR(IF(SUMIFS(tblDaily[TransfersOut],tblDaily[EntryDate],DATE(2026,1,2),tblDaily[WardCode],"BH")=0,"",SUMIFS(tblDaily[TransfersOut],tblDaily[EntryDate],DATE(2026,1,2),tblDaily[WardCode],"BH")),"")</f>
        <v/>
      </c>
      <c r="H8" s="5" t="str">
        <f>IFERROR(IF(SUMIFS(tblDaily[Remaining],tblDaily[EntryDate],DATE(2026,1,2),tblDaily[WardCode],"BH")=0,"",SUMIFS(tblDaily[Remaining],tblDaily[EntryDate],DATE(2026,1,2),tblDaily[WardCode],"BH")),"")</f>
        <v/>
      </c>
      <c r="I8" s="5" t="str">
        <f>IFERROR(IF(SUMIFS(tblDaily[MalariaCases],tblDaily[EntryDate],DATE(2026,1,2),tblDaily[WardCode],"BH")=0,"",SUMIFS(tblDaily[MalariaCases],tblDaily[EntryDate],DATE(2026,1,2),tblDaily[WardCode],"BH")),"")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IFERROR(IF(SUMIFS(tblDaily[Admissions],tblDaily[EntryDate],DATE(2026,1,3),tblDaily[WardCode],"BH")=0,"",SUMIFS(tblDaily[Admissions],tblDaily[EntryDate],DATE(2026,1,3),tblDaily[WardCode],"BH")),"")</f>
        <v/>
      </c>
      <c r="C9" s="5" t="str">
        <f>IFERROR(IF(SUMIFS(tblDaily[Discharges],tblDaily[EntryDate],DATE(2026,1,3),tblDaily[WardCode],"BH")=0,"",SUMIFS(tblDaily[Discharges],tblDaily[EntryDate],DATE(2026,1,3),tblDaily[WardCode],"BH")),"")</f>
        <v/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 t="str">
        <f>IFERROR(IF(SUMIFS(tblDaily[TransfersIn],tblDaily[EntryDate],DATE(2026,1,3),tblDaily[WardCode],"BH")=0,"",SUMIFS(tblDaily[TransfersIn],tblDaily[EntryDate],DATE(2026,1,3),tblDaily[WardCode],"BH")),"")</f>
        <v/>
      </c>
      <c r="G9" s="5" t="str">
        <f>IFERROR(IF(SUMIFS(tblDaily[TransfersOut],tblDaily[EntryDate],DATE(2026,1,3),tblDaily[WardCode],"BH")=0,"",SUMIFS(tblDaily[TransfersOut],tblDaily[EntryDate],DATE(2026,1,3),tblDaily[WardCode],"BH")),"")</f>
        <v/>
      </c>
      <c r="H9" s="5" t="str">
        <f>IFERROR(IF(SUMIFS(tblDaily[Remaining],tblDaily[EntryDate],DATE(2026,1,3),tblDaily[WardCode],"BH")=0,"",SUMIFS(tblDaily[Remaining],tblDaily[EntryDate],DATE(2026,1,3),tblDaily[WardCode],"BH")),"")</f>
        <v/>
      </c>
      <c r="I9" s="5" t="str">
        <f>IFERROR(IF(SUMIFS(tblDaily[MalariaCases],tblDaily[EntryDate],DATE(2026,1,3),tblDaily[WardCode],"BH")=0,"",SUMIFS(tblDaily[MalariaCases],tblDaily[EntryDate],DATE(2026,1,3),tblDaily[WardCode],"BH")),"")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IFERROR(IF(SUMIFS(tblDaily[Admissions],tblDaily[EntryDate],DATE(2026,1,4),tblDaily[WardCode],"BH")=0,"",SUMIFS(tblDaily[Admissions],tblDaily[EntryDate],DATE(2026,1,4),tblDaily[WardCode],"BH")),"")</f>
        <v/>
      </c>
      <c r="C10" s="5" t="str">
        <f>IFERROR(IF(SUMIFS(tblDaily[Discharges],tblDaily[EntryDate],DATE(2026,1,4),tblDaily[WardCode],"BH")=0,"",SUMIFS(tblDaily[Discharges],tblDaily[EntryDate],DATE(2026,1,4),tblDaily[WardCode],"BH")),"")</f>
        <v/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 t="str">
        <f>IFERROR(IF(SUMIFS(tblDaily[TransfersOut],tblDaily[EntryDate],DATE(2026,1,4),tblDaily[WardCode],"BH")=0,"",SUMIFS(tblDaily[TransfersOut],tblDaily[EntryDate],DATE(2026,1,4),tblDaily[WardCode],"BH")),"")</f>
        <v/>
      </c>
      <c r="H10" s="5" t="str">
        <f>IFERROR(IF(SUMIFS(tblDaily[Remaining],tblDaily[EntryDate],DATE(2026,1,4),tblDaily[WardCode],"BH")=0,"",SUMIFS(tblDaily[Remaining],tblDaily[EntryDate],DATE(2026,1,4),tblDaily[WardCode],"BH")),"")</f>
        <v/>
      </c>
      <c r="I10" s="5" t="str">
        <f>IFERROR(IF(SUMIFS(tblDaily[MalariaCases],tblDaily[EntryDate],DATE(2026,1,4),tblDaily[WardCode],"BH")=0,"",SUMIFS(tblDaily[MalariaCases],tblDaily[EntryDate],DATE(2026,1,4),tblDaily[WardCode],"BH")),"")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IFERROR(IF(SUMIFS(tblDaily[Admissions],tblDaily[EntryDate],DATE(2026,1,5),tblDaily[WardCode],"BH")=0,"",SUMIFS(tblDaily[Admissions],tblDaily[EntryDate],DATE(2026,1,5),tblDaily[WardCode],"BH")),"")</f>
        <v/>
      </c>
      <c r="C11" s="5" t="str">
        <f>IFERROR(IF(SUMIFS(tblDaily[Discharges],tblDaily[EntryDate],DATE(2026,1,5),tblDaily[WardCode],"BH")=0,"",SUMIFS(tblDaily[Discharges],tblDaily[EntryDate],DATE(2026,1,5),tblDaily[WardCode],"BH")),"")</f>
        <v/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 t="str">
        <f>IFERROR(IF(SUMIFS(tblDaily[TransfersIn],tblDaily[EntryDate],DATE(2026,1,5),tblDaily[WardCode],"BH")=0,"",SUMIFS(tblDaily[TransfersIn],tblDaily[EntryDate],DATE(2026,1,5),tblDaily[WardCode],"BH")),"")</f>
        <v/>
      </c>
      <c r="G11" s="5" t="str">
        <f>IFERROR(IF(SUMIFS(tblDaily[TransfersOut],tblDaily[EntryDate],DATE(2026,1,5),tblDaily[WardCode],"BH")=0,"",SUMIFS(tblDaily[TransfersOut],tblDaily[EntryDate],DATE(2026,1,5),tblDaily[WardCode],"BH")),"")</f>
        <v/>
      </c>
      <c r="H11" s="5" t="str">
        <f>IFERROR(IF(SUMIFS(tblDaily[Remaining],tblDaily[EntryDate],DATE(2026,1,5),tblDaily[WardCode],"BH")=0,"",SUMIFS(tblDaily[Remaining],tblDaily[EntryDate],DATE(2026,1,5),tblDaily[WardCode],"BH")),"")</f>
        <v/>
      </c>
      <c r="I11" s="5" t="str">
        <f>IFERROR(IF(SUMIFS(tblDaily[MalariaCases],tblDaily[EntryDate],DATE(2026,1,5),tblDaily[WardCode],"BH")=0,"",SUMIFS(tblDaily[MalariaCases],tblDaily[EntryDate],DATE(2026,1,5),tblDaily[WardCode],"BH")),"")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IFERROR(IF(SUMIFS(tblDaily[Admissions],tblDaily[EntryDate],DATE(2026,1,6),tblDaily[WardCode],"BH")=0,"",SUMIFS(tblDaily[Admissions],tblDaily[EntryDate],DATE(2026,1,6),tblDaily[WardCode],"BH")),"")</f>
        <v/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 t="str">
        <f>IFERROR(IF(SUMIFS(tblDaily[TransfersIn],tblDaily[EntryDate],DATE(2026,1,6),tblDaily[WardCode],"BH")=0,"",SUMIFS(tblDaily[TransfersIn],tblDaily[EntryDate],DATE(2026,1,6),tblDaily[WardCode],"BH")),"")</f>
        <v/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 t="str">
        <f>IFERROR(IF(SUMIFS(tblDaily[Remaining],tblDaily[EntryDate],DATE(2026,1,6),tblDaily[WardCode],"BH")=0,"",SUMIFS(tblDaily[Remaining],tblDaily[EntryDate],DATE(2026,1,6),tblDaily[WardCode],"BH")),"")</f>
        <v/>
      </c>
      <c r="I12" s="5" t="str">
        <f>IFERROR(IF(SUMIFS(tblDaily[MalariaCases],tblDaily[EntryDate],DATE(2026,1,6),tblDaily[WardCode],"BH")=0,"",SUMIFS(tblDaily[MalariaCases],tblDaily[EntryDate],DATE(2026,1,6),tblDaily[WardCode],"BH")),"")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IFERROR(IF(SUMIFS(tblDaily[Admissions],tblDaily[EntryDate],DATE(2026,1,7),tblDaily[WardCode],"BH")=0,"",SUMIFS(tblDaily[Admissions],tblDaily[EntryDate],DATE(2026,1,7),tblDaily[WardCode],"BH")),"")</f>
        <v/>
      </c>
      <c r="C13" s="5" t="str">
        <f>IFERROR(IF(SUMIFS(tblDaily[Discharges],tblDaily[EntryDate],DATE(2026,1,7),tblDaily[WardCode],"BH")=0,"",SUMIFS(tblDaily[Discharges],tblDaily[EntryDate],DATE(2026,1,7),tblDaily[WardCode],"BH")),"")</f>
        <v/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 t="str">
        <f>IFERROR(IF(SUMIFS(tblDaily[TransfersIn],tblDaily[EntryDate],DATE(2026,1,7),tblDaily[WardCode],"BH")=0,"",SUMIFS(tblDaily[TransfersIn],tblDaily[EntryDate],DATE(2026,1,7),tblDaily[WardCode],"BH")),"")</f>
        <v/>
      </c>
      <c r="G13" s="5" t="str">
        <f>IFERROR(IF(SUMIFS(tblDaily[TransfersOut],tblDaily[EntryDate],DATE(2026,1,7),tblDaily[WardCode],"BH")=0,"",SUMIFS(tblDaily[TransfersOut],tblDaily[EntryDate],DATE(2026,1,7),tblDaily[WardCode],"BH")),"")</f>
        <v/>
      </c>
      <c r="H13" s="5" t="str">
        <f>IFERROR(IF(SUMIFS(tblDaily[Remaining],tblDaily[EntryDate],DATE(2026,1,7),tblDaily[WardCode],"BH")=0,"",SUMIFS(tblDaily[Remaining],tblDaily[EntryDate],DATE(2026,1,7),tblDaily[WardCode],"BH")),"")</f>
        <v/>
      </c>
      <c r="I13" s="5" t="str">
        <f>IFERROR(IF(SUMIFS(tblDaily[MalariaCases],tblDaily[EntryDate],DATE(2026,1,7),tblDaily[WardCode],"BH")=0,"",SUMIFS(tblDaily[MalariaCases],tblDaily[EntryDate],DATE(2026,1,7),tblDaily[WardCode],"BH")),"")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IFERROR(IF(SUMIFS(tblDaily[Admissions],tblDaily[EntryDate],DATE(2026,1,8),tblDaily[WardCode],"BH")=0,"",SUMIFS(tblDaily[Admissions],tblDaily[EntryDate],DATE(2026,1,8),tblDaily[WardCode],"BH")),"")</f>
        <v/>
      </c>
      <c r="C14" s="5" t="str">
        <f>IFERROR(IF(SUMIFS(tblDaily[Discharges],tblDaily[EntryDate],DATE(2026,1,8),tblDaily[WardCode],"BH")=0,"",SUMIFS(tblDaily[Discharges],tblDaily[EntryDate],DATE(2026,1,8),tblDaily[WardCode],"BH")),"")</f>
        <v/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 t="str">
        <f>IFERROR(IF(SUMIFS(tblDaily[TransfersIn],tblDaily[EntryDate],DATE(2026,1,8),tblDaily[WardCode],"BH")=0,"",SUMIFS(tblDaily[TransfersIn],tblDaily[EntryDate],DATE(2026,1,8),tblDaily[WardCode],"BH")),"")</f>
        <v/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 t="str">
        <f>IFERROR(IF(SUMIFS(tblDaily[Remaining],tblDaily[EntryDate],DATE(2026,1,8),tblDaily[WardCode],"BH")=0,"",SUMIFS(tblDaily[Remaining],tblDaily[EntryDate],DATE(2026,1,8),tblDaily[WardCode],"BH")),"")</f>
        <v/>
      </c>
      <c r="I14" s="5" t="str">
        <f>IFERROR(IF(SUMIFS(tblDaily[MalariaCases],tblDaily[EntryDate],DATE(2026,1,8),tblDaily[WardCode],"BH")=0,"",SUMIFS(tblDaily[MalariaCases],tblDaily[EntryDate],DATE(2026,1,8),tblDaily[WardCode],"BH")),"")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IFERROR(IF(SUMIFS(tblDaily[Admissions],tblDaily[EntryDate],DATE(2026,1,9),tblDaily[WardCode],"BH")=0,"",SUMIFS(tblDaily[Admissions],tblDaily[EntryDate],DATE(2026,1,9),tblDaily[WardCode],"BH")),"")</f>
        <v/>
      </c>
      <c r="C15" s="5" t="str">
        <f>IFERROR(IF(SUMIFS(tblDaily[Discharges],tblDaily[EntryDate],DATE(2026,1,9),tblDaily[WardCode],"BH")=0,"",SUMIFS(tblDaily[Discharges],tblDaily[EntryDate],DATE(2026,1,9),tblDaily[WardCode],"BH")),"")</f>
        <v/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 t="str">
        <f>IFERROR(IF(SUMIFS(tblDaily[TransfersIn],tblDaily[EntryDate],DATE(2026,1,9),tblDaily[WardCode],"BH")=0,"",SUMIFS(tblDaily[TransfersIn],tblDaily[EntryDate],DATE(2026,1,9),tblDaily[WardCode],"BH")),"")</f>
        <v/>
      </c>
      <c r="G15" s="5" t="str">
        <f>IFERROR(IF(SUMIFS(tblDaily[TransfersOut],tblDaily[EntryDate],DATE(2026,1,9),tblDaily[WardCode],"BH")=0,"",SUMIFS(tblDaily[TransfersOut],tblDaily[EntryDate],DATE(2026,1,9),tblDaily[WardCode],"BH")),"")</f>
        <v/>
      </c>
      <c r="H15" s="5" t="str">
        <f>IFERROR(IF(SUMIFS(tblDaily[Remaining],tblDaily[EntryDate],DATE(2026,1,9),tblDaily[WardCode],"BH")=0,"",SUMIFS(tblDaily[Remaining],tblDaily[EntryDate],DATE(2026,1,9),tblDaily[WardCode],"BH")),"")</f>
        <v/>
      </c>
      <c r="I15" s="5" t="str">
        <f>IFERROR(IF(SUMIFS(tblDaily[MalariaCases],tblDaily[EntryDate],DATE(2026,1,9),tblDaily[WardCode],"BH")=0,"",SUMIFS(tblDaily[MalariaCases],tblDaily[EntryDate],DATE(2026,1,9),tblDaily[WardCode],"BH")),"")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IFERROR(IF(SUMIFS(tblDaily[Admissions],tblDaily[EntryDate],DATE(2026,1,10),tblDaily[WardCode],"BH")=0,"",SUMIFS(tblDaily[Admissions],tblDaily[EntryDate],DATE(2026,1,10),tblDaily[WardCode],"BH")),"")</f>
        <v/>
      </c>
      <c r="C16" s="5" t="str">
        <f>IFERROR(IF(SUMIFS(tblDaily[Discharges],tblDaily[EntryDate],DATE(2026,1,10),tblDaily[WardCode],"BH")=0,"",SUMIFS(tblDaily[Discharges],tblDaily[EntryDate],DATE(2026,1,10),tblDaily[WardCode],"BH")),"")</f>
        <v/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 t="str">
        <f>IFERROR(IF(SUMIFS(tblDaily[TransfersIn],tblDaily[EntryDate],DATE(2026,1,10),tblDaily[WardCode],"BH")=0,"",SUMIFS(tblDaily[TransfersIn],tblDaily[EntryDate],DATE(2026,1,10),tblDaily[WardCode],"BH")),"")</f>
        <v/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 t="str">
        <f>IFERROR(IF(SUMIFS(tblDaily[Remaining],tblDaily[EntryDate],DATE(2026,1,10),tblDaily[WardCode],"BH")=0,"",SUMIFS(tblDaily[Remaining],tblDaily[EntryDate],DATE(2026,1,10),tblDaily[WardCode],"BH")),"")</f>
        <v/>
      </c>
      <c r="I16" s="5" t="str">
        <f>IFERROR(IF(SUMIFS(tblDaily[MalariaCases],tblDaily[EntryDate],DATE(2026,1,10),tblDaily[WardCode],"BH")=0,"",SUMIFS(tblDaily[MalariaCases],tblDaily[EntryDate],DATE(2026,1,10),tblDaily[WardCode],"BH")),"")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IFERROR(IF(SUMIFS(tblDaily[Admissions],tblDaily[EntryDate],DATE(2026,1,11),tblDaily[WardCode],"BH")=0,"",SUMIFS(tblDaily[Admissions],tblDaily[EntryDate],DATE(2026,1,11),tblDaily[WardCode],"BH")),"")</f>
        <v/>
      </c>
      <c r="C17" s="5" t="str">
        <f>IFERROR(IF(SUMIFS(tblDaily[Discharges],tblDaily[EntryDate],DATE(2026,1,11),tblDaily[WardCode],"BH")=0,"",SUMIFS(tblDaily[Discharges],tblDaily[EntryDate],DATE(2026,1,11),tblDaily[WardCode],"BH")),"")</f>
        <v/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 t="str">
        <f>IFERROR(IF(SUMIFS(tblDaily[TransfersIn],tblDaily[EntryDate],DATE(2026,1,11),tblDaily[WardCode],"BH")=0,"",SUMIFS(tblDaily[TransfersIn],tblDaily[EntryDate],DATE(2026,1,11),tblDaily[WardCode],"BH")),"")</f>
        <v/>
      </c>
      <c r="G17" s="5" t="str">
        <f>IFERROR(IF(SUMIFS(tblDaily[TransfersOut],tblDaily[EntryDate],DATE(2026,1,11),tblDaily[WardCode],"BH")=0,"",SUMIFS(tblDaily[TransfersOut],tblDaily[EntryDate],DATE(2026,1,11),tblDaily[WardCode],"BH")),"")</f>
        <v/>
      </c>
      <c r="H17" s="5" t="str">
        <f>IFERROR(IF(SUMIFS(tblDaily[Remaining],tblDaily[EntryDate],DATE(2026,1,11),tblDaily[WardCode],"BH")=0,"",SUMIFS(tblDaily[Remaining],tblDaily[EntryDate],DATE(2026,1,11),tblDaily[WardCode],"BH")),"")</f>
        <v/>
      </c>
      <c r="I17" s="5" t="str">
        <f>IFERROR(IF(SUMIFS(tblDaily[MalariaCases],tblDaily[EntryDate],DATE(2026,1,11),tblDaily[WardCode],"BH")=0,"",SUMIFS(tblDaily[MalariaCases],tblDaily[EntryDate],DATE(2026,1,11),tblDaily[WardCode],"BH")),"")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IFERROR(IF(SUMIFS(tblDaily[Admissions],tblDaily[EntryDate],DATE(2026,1,12),tblDaily[WardCode],"BH")=0,"",SUMIFS(tblDaily[Admissions],tblDaily[EntryDate],DATE(2026,1,12),tblDaily[WardCode],"BH")),"")</f>
        <v/>
      </c>
      <c r="C18" s="5" t="str">
        <f>IFERROR(IF(SUMIFS(tblDaily[Discharges],tblDaily[EntryDate],DATE(2026,1,12),tblDaily[WardCode],"BH")=0,"",SUMIFS(tblDaily[Discharges],tblDaily[EntryDate],DATE(2026,1,12),tblDaily[WardCode],"BH")),"")</f>
        <v/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 t="str">
        <f>IFERROR(IF(SUMIFS(tblDaily[TransfersIn],tblDaily[EntryDate],DATE(2026,1,12),tblDaily[WardCode],"BH")=0,"",SUMIFS(tblDaily[TransfersIn],tblDaily[EntryDate],DATE(2026,1,12),tblDaily[WardCode],"BH")),"")</f>
        <v/>
      </c>
      <c r="G18" s="5" t="str">
        <f>IFERROR(IF(SUMIFS(tblDaily[TransfersOut],tblDaily[EntryDate],DATE(2026,1,12),tblDaily[WardCode],"BH")=0,"",SUMIFS(tblDaily[TransfersOut],tblDaily[EntryDate],DATE(2026,1,12),tblDaily[WardCode],"BH")),"")</f>
        <v/>
      </c>
      <c r="H18" s="5" t="str">
        <f>IFERROR(IF(SUMIFS(tblDaily[Remaining],tblDaily[EntryDate],DATE(2026,1,12),tblDaily[WardCode],"BH")=0,"",SUMIFS(tblDaily[Remaining],tblDaily[EntryDate],DATE(2026,1,12),tblDaily[WardCode],"BH")),"")</f>
        <v/>
      </c>
      <c r="I18" s="5" t="str">
        <f>IFERROR(IF(SUMIFS(tblDaily[MalariaCases],tblDaily[EntryDate],DATE(2026,1,12),tblDaily[WardCode],"BH")=0,"",SUMIFS(tblDaily[MalariaCases],tblDaily[EntryDate],DATE(2026,1,12),tblDaily[WardCode],"BH")),"")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IFERROR(IF(SUMIFS(tblDaily[Admissions],tblDaily[EntryDate],DATE(2026,1,13),tblDaily[WardCode],"BH")=0,"",SUMIFS(tblDaily[Admissions],tblDaily[EntryDate],DATE(2026,1,13),tblDaily[WardCode],"BH")),"")</f>
        <v/>
      </c>
      <c r="C19" s="5" t="str">
        <f>IFERROR(IF(SUMIFS(tblDaily[Discharges],tblDaily[EntryDate],DATE(2026,1,13),tblDaily[WardCode],"BH")=0,"",SUMIFS(tblDaily[Discharges],tblDaily[EntryDate],DATE(2026,1,13),tblDaily[WardCode],"BH")),"")</f>
        <v/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 t="str">
        <f>IFERROR(IF(SUMIFS(tblDaily[TransfersOut],tblDaily[EntryDate],DATE(2026,1,13),tblDaily[WardCode],"BH")=0,"",SUMIFS(tblDaily[TransfersOut],tblDaily[EntryDate],DATE(2026,1,13),tblDaily[WardCode],"BH")),"")</f>
        <v/>
      </c>
      <c r="H19" s="5" t="str">
        <f>IFERROR(IF(SUMIFS(tblDaily[Remaining],tblDaily[EntryDate],DATE(2026,1,13),tblDaily[WardCode],"BH")=0,"",SUMIFS(tblDaily[Remaining],tblDaily[EntryDate],DATE(2026,1,13),tblDaily[WardCode],"BH")),"")</f>
        <v/>
      </c>
      <c r="I19" s="5" t="str">
        <f>IFERROR(IF(SUMIFS(tblDaily[MalariaCases],tblDaily[EntryDate],DATE(2026,1,13),tblDaily[WardCode],"BH")=0,"",SUMIFS(tblDaily[MalariaCases],tblDaily[EntryDate],DATE(2026,1,13),tblDaily[WardCode],"BH")),"")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IFERROR(IF(SUMIFS(tblDaily[Admissions],tblDaily[EntryDate],DATE(2026,1,14),tblDaily[WardCode],"BH")=0,"",SUMIFS(tblDaily[Admissions],tblDaily[EntryDate],DATE(2026,1,14),tblDaily[WardCode],"BH")),"")</f>
        <v/>
      </c>
      <c r="C20" s="5" t="str">
        <f>IFERROR(IF(SUMIFS(tblDaily[Discharges],tblDaily[EntryDate],DATE(2026,1,14),tblDaily[WardCode],"BH")=0,"",SUMIFS(tblDaily[Discharges],tblDaily[EntryDate],DATE(2026,1,14),tblDaily[WardCode],"BH")),"")</f>
        <v/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 t="str">
        <f>IFERROR(IF(SUMIFS(tblDaily[TransfersIn],tblDaily[EntryDate],DATE(2026,1,14),tblDaily[WardCode],"BH")=0,"",SUMIFS(tblDaily[TransfersIn],tblDaily[EntryDate],DATE(2026,1,14),tblDaily[WardCode],"BH")),"")</f>
        <v/>
      </c>
      <c r="G20" s="5" t="str">
        <f>IFERROR(IF(SUMIFS(tblDaily[TransfersOut],tblDaily[EntryDate],DATE(2026,1,14),tblDaily[WardCode],"BH")=0,"",SUMIFS(tblDaily[TransfersOut],tblDaily[EntryDate],DATE(2026,1,14),tblDaily[WardCode],"BH")),"")</f>
        <v/>
      </c>
      <c r="H20" s="5" t="str">
        <f>IFERROR(IF(SUMIFS(tblDaily[Remaining],tblDaily[EntryDate],DATE(2026,1,14),tblDaily[WardCode],"BH")=0,"",SUMIFS(tblDaily[Remaining],tblDaily[EntryDate],DATE(2026,1,14),tblDaily[WardCode],"BH")),"")</f>
        <v/>
      </c>
      <c r="I20" s="5" t="str">
        <f>IFERROR(IF(SUMIFS(tblDaily[MalariaCases],tblDaily[EntryDate],DATE(2026,1,14),tblDaily[WardCode],"BH")=0,"",SUMIFS(tblDaily[MalariaCases],tblDaily[EntryDate],DATE(2026,1,14),tblDaily[WardCode],"BH")),"")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IFERROR(IF(SUMIFS(tblDaily[Admissions],tblDaily[EntryDate],DATE(2026,1,15),tblDaily[WardCode],"BH")=0,"",SUMIFS(tblDaily[Admissions],tblDaily[EntryDate],DATE(2026,1,15),tblDaily[WardCode],"BH")),"")</f>
        <v/>
      </c>
      <c r="C21" s="5" t="str">
        <f>IFERROR(IF(SUMIFS(tblDaily[Discharges],tblDaily[EntryDate],DATE(2026,1,15),tblDaily[WardCode],"BH")=0,"",SUMIFS(tblDaily[Discharges],tblDaily[EntryDate],DATE(2026,1,15),tblDaily[WardCode],"BH")),"")</f>
        <v/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 t="str">
        <f>IFERROR(IF(SUMIFS(tblDaily[TransfersIn],tblDaily[EntryDate],DATE(2026,1,15),tblDaily[WardCode],"BH")=0,"",SUMIFS(tblDaily[TransfersIn],tblDaily[EntryDate],DATE(2026,1,15),tblDaily[WardCode],"BH")),"")</f>
        <v/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 t="str">
        <f>IFERROR(IF(SUMIFS(tblDaily[Remaining],tblDaily[EntryDate],DATE(2026,1,15),tblDaily[WardCode],"BH")=0,"",SUMIFS(tblDaily[Remaining],tblDaily[EntryDate],DATE(2026,1,15),tblDaily[WardCode],"BH")),"")</f>
        <v/>
      </c>
      <c r="I21" s="5" t="str">
        <f>IFERROR(IF(SUMIFS(tblDaily[MalariaCases],tblDaily[EntryDate],DATE(2026,1,15),tblDaily[WardCode],"BH")=0,"",SUMIFS(tblDaily[MalariaCases],tblDaily[EntryDate],DATE(2026,1,15),tblDaily[WardCode],"BH")),"")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IFERROR(IF(SUMIFS(tblDaily[Admissions],tblDaily[EntryDate],DATE(2026,1,16),tblDaily[WardCode],"BH")=0,"",SUMIFS(tblDaily[Admissions],tblDaily[EntryDate],DATE(2026,1,16),tblDaily[WardCode],"BH")),"")</f>
        <v/>
      </c>
      <c r="C22" s="5" t="str">
        <f>IFERROR(IF(SUMIFS(tblDaily[Discharges],tblDaily[EntryDate],DATE(2026,1,16),tblDaily[WardCode],"BH")=0,"",SUMIFS(tblDaily[Discharges],tblDaily[EntryDate],DATE(2026,1,16),tblDaily[WardCode],"BH")),"")</f>
        <v/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 t="str">
        <f>IFERROR(IF(SUMIFS(tblDaily[Remaining],tblDaily[EntryDate],DATE(2026,1,16),tblDaily[WardCode],"BH")=0,"",SUMIFS(tblDaily[Remaining],tblDaily[EntryDate],DATE(2026,1,16),tblDaily[WardCode],"BH")),"")</f>
        <v/>
      </c>
      <c r="I22" s="5" t="str">
        <f>IFERROR(IF(SUMIFS(tblDaily[MalariaCases],tblDaily[EntryDate],DATE(2026,1,16),tblDaily[WardCode],"BH")=0,"",SUMIFS(tblDaily[MalariaCases],tblDaily[EntryDate],DATE(2026,1,16),tblDaily[WardCode],"BH")),"")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IFERROR(IF(SUMIFS(tblDaily[Admissions],tblDaily[EntryDate],DATE(2026,1,17),tblDaily[WardCode],"BH")=0,"",SUMIFS(tblDaily[Admissions],tblDaily[EntryDate],DATE(2026,1,17),tblDaily[WardCode],"BH")),"")</f>
        <v/>
      </c>
      <c r="C23" s="5" t="str">
        <f>IFERROR(IF(SUMIFS(tblDaily[Discharges],tblDaily[EntryDate],DATE(2026,1,17),tblDaily[WardCode],"BH")=0,"",SUMIFS(tblDaily[Discharges],tblDaily[EntryDate],DATE(2026,1,17),tblDaily[WardCode],"BH")),"")</f>
        <v/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 t="str">
        <f>IFERROR(IF(SUMIFS(tblDaily[TransfersIn],tblDaily[EntryDate],DATE(2026,1,17),tblDaily[WardCode],"BH")=0,"",SUMIFS(tblDaily[TransfersIn],tblDaily[EntryDate],DATE(2026,1,17),tblDaily[WardCode],"BH")),"")</f>
        <v/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 t="str">
        <f>IFERROR(IF(SUMIFS(tblDaily[Remaining],tblDaily[EntryDate],DATE(2026,1,17),tblDaily[WardCode],"BH")=0,"",SUMIFS(tblDaily[Remaining],tblDaily[EntryDate],DATE(2026,1,17),tblDaily[WardCode],"BH")),"")</f>
        <v/>
      </c>
      <c r="I23" s="5" t="str">
        <f>IFERROR(IF(SUMIFS(tblDaily[MalariaCases],tblDaily[EntryDate],DATE(2026,1,17),tblDaily[WardCode],"BH")=0,"",SUMIFS(tblDaily[MalariaCases],tblDaily[EntryDate],DATE(2026,1,17),tblDaily[WardCode],"BH")),"")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IFERROR(IF(SUMIFS(tblDaily[Admissions],tblDaily[EntryDate],DATE(2026,1,18),tblDaily[WardCode],"BH")=0,"",SUMIFS(tblDaily[Admissions],tblDaily[EntryDate],DATE(2026,1,18),tblDaily[WardCode],"BH")),"")</f>
        <v/>
      </c>
      <c r="C24" s="5" t="str">
        <f>IFERROR(IF(SUMIFS(tblDaily[Discharges],tblDaily[EntryDate],DATE(2026,1,18),tblDaily[WardCode],"BH")=0,"",SUMIFS(tblDaily[Discharges],tblDaily[EntryDate],DATE(2026,1,18),tblDaily[WardCode],"BH")),"")</f>
        <v/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 t="str">
        <f>IFERROR(IF(SUMIFS(tblDaily[TransfersOut],tblDaily[EntryDate],DATE(2026,1,18),tblDaily[WardCode],"BH")=0,"",SUMIFS(tblDaily[TransfersOut],tblDaily[EntryDate],DATE(2026,1,18),tblDaily[WardCode],"BH")),"")</f>
        <v/>
      </c>
      <c r="H24" s="5" t="str">
        <f>IFERROR(IF(SUMIFS(tblDaily[Remaining],tblDaily[EntryDate],DATE(2026,1,18),tblDaily[WardCode],"BH")=0,"",SUMIFS(tblDaily[Remaining],tblDaily[EntryDate],DATE(2026,1,18),tblDaily[WardCode],"BH")),"")</f>
        <v/>
      </c>
      <c r="I24" s="5" t="str">
        <f>IFERROR(IF(SUMIFS(tblDaily[MalariaCases],tblDaily[EntryDate],DATE(2026,1,18),tblDaily[WardCode],"BH")=0,"",SUMIFS(tblDaily[MalariaCases],tblDaily[EntryDate],DATE(2026,1,18),tblDaily[WardCode],"BH")),"")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IFERROR(IF(SUMIFS(tblDaily[Admissions],tblDaily[EntryDate],DATE(2026,1,19),tblDaily[WardCode],"BH")=0,"",SUMIFS(tblDaily[Admissions],tblDaily[EntryDate],DATE(2026,1,19),tblDaily[WardCode],"BH")),"")</f>
        <v/>
      </c>
      <c r="C25" s="5" t="str">
        <f>IFERROR(IF(SUMIFS(tblDaily[Discharges],tblDaily[EntryDate],DATE(2026,1,19),tblDaily[WardCode],"BH")=0,"",SUMIFS(tblDaily[Discharges],tblDaily[EntryDate],DATE(2026,1,19),tblDaily[WardCode],"BH")),"")</f>
        <v/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 t="str">
        <f>IFERROR(IF(SUMIFS(tblDaily[Remaining],tblDaily[EntryDate],DATE(2026,1,19),tblDaily[WardCode],"BH")=0,"",SUMIFS(tblDaily[Remaining],tblDaily[EntryDate],DATE(2026,1,19),tblDaily[WardCode],"BH")),"")</f>
        <v/>
      </c>
      <c r="I25" s="5" t="str">
        <f>IFERROR(IF(SUMIFS(tblDaily[MalariaCases],tblDaily[EntryDate],DATE(2026,1,19),tblDaily[WardCode],"BH")=0,"",SUMIFS(tblDaily[MalariaCases],tblDaily[EntryDate],DATE(2026,1,19),tblDaily[WardCode],"BH")),"")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IFERROR(IF(SUMIFS(tblDaily[Admissions],tblDaily[EntryDate],DATE(2026,1,20),tblDaily[WardCode],"BH")=0,"",SUMIFS(tblDaily[Admissions],tblDaily[EntryDate],DATE(2026,1,20),tblDaily[WardCode],"BH")),"")</f>
        <v/>
      </c>
      <c r="C26" s="5" t="str">
        <f>IFERROR(IF(SUMIFS(tblDaily[Discharges],tblDaily[EntryDate],DATE(2026,1,20),tblDaily[WardCode],"BH")=0,"",SUMIFS(tblDaily[Discharges],tblDaily[EntryDate],DATE(2026,1,20),tblDaily[WardCode],"BH")),"")</f>
        <v/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 t="str">
        <f>IFERROR(IF(SUMIFS(tblDaily[TransfersOut],tblDaily[EntryDate],DATE(2026,1,20),tblDaily[WardCode],"BH")=0,"",SUMIFS(tblDaily[TransfersOut],tblDaily[EntryDate],DATE(2026,1,20),tblDaily[WardCode],"BH")),"")</f>
        <v/>
      </c>
      <c r="H26" s="5" t="str">
        <f>IFERROR(IF(SUMIFS(tblDaily[Remaining],tblDaily[EntryDate],DATE(2026,1,20),tblDaily[WardCode],"BH")=0,"",SUMIFS(tblDaily[Remaining],tblDaily[EntryDate],DATE(2026,1,20),tblDaily[WardCode],"BH")),"")</f>
        <v/>
      </c>
      <c r="I26" s="5" t="str">
        <f>IFERROR(IF(SUMIFS(tblDaily[MalariaCases],tblDaily[EntryDate],DATE(2026,1,20),tblDaily[WardCode],"BH")=0,"",SUMIFS(tblDaily[MalariaCases],tblDaily[EntryDate],DATE(2026,1,20),tblDaily[WardCode],"BH")),"")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IFERROR(IF(SUMIFS(tblDaily[Admissions],tblDaily[EntryDate],DATE(2026,1,21),tblDaily[WardCode],"BH")=0,"",SUMIFS(tblDaily[Admissions],tblDaily[EntryDate],DATE(2026,1,21),tblDaily[WardCode],"BH")),"")</f>
        <v/>
      </c>
      <c r="C27" s="5" t="str">
        <f>IFERROR(IF(SUMIFS(tblDaily[Discharges],tblDaily[EntryDate],DATE(2026,1,21),tblDaily[WardCode],"BH")=0,"",SUMIFS(tblDaily[Discharges],tblDaily[EntryDate],DATE(2026,1,21),tblDaily[WardCode],"BH")),"")</f>
        <v/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 t="str">
        <f>IFERROR(IF(SUMIFS(tblDaily[TransfersOut],tblDaily[EntryDate],DATE(2026,1,21),tblDaily[WardCode],"BH")=0,"",SUMIFS(tblDaily[TransfersOut],tblDaily[EntryDate],DATE(2026,1,21),tblDaily[WardCode],"BH")),"")</f>
        <v/>
      </c>
      <c r="H27" s="5" t="str">
        <f>IFERROR(IF(SUMIFS(tblDaily[Remaining],tblDaily[EntryDate],DATE(2026,1,21),tblDaily[WardCode],"BH")=0,"",SUMIFS(tblDaily[Remaining],tblDaily[EntryDate],DATE(2026,1,21),tblDaily[WardCode],"BH")),"")</f>
        <v/>
      </c>
      <c r="I27" s="5" t="str">
        <f>IFERROR(IF(SUMIFS(tblDaily[MalariaCases],tblDaily[EntryDate],DATE(2026,1,21),tblDaily[WardCode],"BH")=0,"",SUMIFS(tblDaily[MalariaCases],tblDaily[EntryDate],DATE(2026,1,21),tblDaily[WardCode],"BH")),"")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IFERROR(IF(SUMIFS(tblDaily[Admissions],tblDaily[EntryDate],DATE(2026,1,22),tblDaily[WardCode],"BH")=0,"",SUMIFS(tblDaily[Admissions],tblDaily[EntryDate],DATE(2026,1,22),tblDaily[WardCode],"BH")),"")</f>
        <v/>
      </c>
      <c r="C28" s="5" t="str">
        <f>IFERROR(IF(SUMIFS(tblDaily[Discharges],tblDaily[EntryDate],DATE(2026,1,22),tblDaily[WardCode],"BH")=0,"",SUMIFS(tblDaily[Discharges],tblDaily[EntryDate],DATE(2026,1,22),tblDaily[WardCode],"BH")),"")</f>
        <v/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 t="str">
        <f>IFERROR(IF(SUMIFS(tblDaily[TransfersIn],tblDaily[EntryDate],DATE(2026,1,22),tblDaily[WardCode],"BH")=0,"",SUMIFS(tblDaily[TransfersIn],tblDaily[EntryDate],DATE(2026,1,22),tblDaily[WardCode],"BH")),"")</f>
        <v/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 t="str">
        <f>IFERROR(IF(SUMIFS(tblDaily[Remaining],tblDaily[EntryDate],DATE(2026,1,22),tblDaily[WardCode],"BH")=0,"",SUMIFS(tblDaily[Remaining],tblDaily[EntryDate],DATE(2026,1,22),tblDaily[WardCode],"BH")),"")</f>
        <v/>
      </c>
      <c r="I28" s="5" t="str">
        <f>IFERROR(IF(SUMIFS(tblDaily[MalariaCases],tblDaily[EntryDate],DATE(2026,1,22),tblDaily[WardCode],"BH")=0,"",SUMIFS(tblDaily[MalariaCases],tblDaily[EntryDate],DATE(2026,1,22),tblDaily[WardCode],"BH")),"")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IFERROR(IF(SUMIFS(tblDaily[Admissions],tblDaily[EntryDate],DATE(2026,1,23),tblDaily[WardCode],"BH")=0,"",SUMIFS(tblDaily[Admissions],tblDaily[EntryDate],DATE(2026,1,23),tblDaily[WardCode],"BH")),"")</f>
        <v/>
      </c>
      <c r="C29" s="5" t="str">
        <f>IFERROR(IF(SUMIFS(tblDaily[Discharges],tblDaily[EntryDate],DATE(2026,1,23),tblDaily[WardCode],"BH")=0,"",SUMIFS(tblDaily[Discharges],tblDaily[EntryDate],DATE(2026,1,23),tblDaily[WardCode],"BH")),"")</f>
        <v/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 t="str">
        <f>IFERROR(IF(SUMIFS(tblDaily[TransfersIn],tblDaily[EntryDate],DATE(2026,1,23),tblDaily[WardCode],"BH")=0,"",SUMIFS(tblDaily[TransfersIn],tblDaily[EntryDate],DATE(2026,1,23),tblDaily[WardCode],"BH")),"")</f>
        <v/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 t="str">
        <f>IFERROR(IF(SUMIFS(tblDaily[Remaining],tblDaily[EntryDate],DATE(2026,1,23),tblDaily[WardCode],"BH")=0,"",SUMIFS(tblDaily[Remaining],tblDaily[EntryDate],DATE(2026,1,23),tblDaily[WardCode],"BH")),"")</f>
        <v/>
      </c>
      <c r="I29" s="5" t="str">
        <f>IFERROR(IF(SUMIFS(tblDaily[MalariaCases],tblDaily[EntryDate],DATE(2026,1,23),tblDaily[WardCode],"BH")=0,"",SUMIFS(tblDaily[MalariaCases],tblDaily[EntryDate],DATE(2026,1,23),tblDaily[WardCode],"BH")),"")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IFERROR(IF(SUMIFS(tblDaily[Admissions],tblDaily[EntryDate],DATE(2026,1,24),tblDaily[WardCode],"BH")=0,"",SUMIFS(tblDaily[Admissions],tblDaily[EntryDate],DATE(2026,1,24),tblDaily[WardCode],"BH")),"")</f>
        <v/>
      </c>
      <c r="C30" s="5" t="str">
        <f>IFERROR(IF(SUMIFS(tblDaily[Discharges],tblDaily[EntryDate],DATE(2026,1,24),tblDaily[WardCode],"BH")=0,"",SUMIFS(tblDaily[Discharges],tblDaily[EntryDate],DATE(2026,1,24),tblDaily[WardCode],"BH")),"")</f>
        <v/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 t="str">
        <f>IFERROR(IF(SUMIFS(tblDaily[TransfersIn],tblDaily[EntryDate],DATE(2026,1,24),tblDaily[WardCode],"BH")=0,"",SUMIFS(tblDaily[TransfersIn],tblDaily[EntryDate],DATE(2026,1,24),tblDaily[WardCode],"BH")),"")</f>
        <v/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 t="str">
        <f>IFERROR(IF(SUMIFS(tblDaily[Remaining],tblDaily[EntryDate],DATE(2026,1,24),tblDaily[WardCode],"BH")=0,"",SUMIFS(tblDaily[Remaining],tblDaily[EntryDate],DATE(2026,1,24),tblDaily[WardCode],"BH")),"")</f>
        <v/>
      </c>
      <c r="I30" s="5" t="str">
        <f>IFERROR(IF(SUMIFS(tblDaily[MalariaCases],tblDaily[EntryDate],DATE(2026,1,24),tblDaily[WardCode],"BH")=0,"",SUMIFS(tblDaily[MalariaCases],tblDaily[EntryDate],DATE(2026,1,24),tblDaily[WardCode],"BH")),"")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IFERROR(IF(SUMIFS(tblDaily[Admissions],tblDaily[EntryDate],DATE(2026,1,25),tblDaily[WardCode],"BH")=0,"",SUMIFS(tblDaily[Admissions],tblDaily[EntryDate],DATE(2026,1,25),tblDaily[WardCode],"BH")),"")</f>
        <v/>
      </c>
      <c r="C31" s="5" t="str">
        <f>IFERROR(IF(SUMIFS(tblDaily[Discharges],tblDaily[EntryDate],DATE(2026,1,25),tblDaily[WardCode],"BH")=0,"",SUMIFS(tblDaily[Discharges],tblDaily[EntryDate],DATE(2026,1,25),tblDaily[WardCode],"BH")),"")</f>
        <v/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 t="str">
        <f>IFERROR(IF(SUMIFS(tblDaily[TransfersOut],tblDaily[EntryDate],DATE(2026,1,25),tblDaily[WardCode],"BH")=0,"",SUMIFS(tblDaily[TransfersOut],tblDaily[EntryDate],DATE(2026,1,25),tblDaily[WardCode],"BH")),"")</f>
        <v/>
      </c>
      <c r="H31" s="5" t="str">
        <f>IFERROR(IF(SUMIFS(tblDaily[Remaining],tblDaily[EntryDate],DATE(2026,1,25),tblDaily[WardCode],"BH")=0,"",SUMIFS(tblDaily[Remaining],tblDaily[EntryDate],DATE(2026,1,25),tblDaily[WardCode],"BH")),"")</f>
        <v/>
      </c>
      <c r="I31" s="5" t="str">
        <f>IFERROR(IF(SUMIFS(tblDaily[MalariaCases],tblDaily[EntryDate],DATE(2026,1,25),tblDaily[WardCode],"BH")=0,"",SUMIFS(tblDaily[MalariaCases],tblDaily[EntryDate],DATE(2026,1,25),tblDaily[WardCode],"BH")),"")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IFERROR(IF(SUMIFS(tblDaily[Admissions],tblDaily[EntryDate],DATE(2026,1,26),tblDaily[WardCode],"BH")=0,"",SUMIFS(tblDaily[Admissions],tblDaily[EntryDate],DATE(2026,1,26),tblDaily[WardCode],"BH")),"")</f>
        <v/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 t="str">
        <f>IFERROR(IF(SUMIFS(tblDaily[Remaining],tblDaily[EntryDate],DATE(2026,1,26),tblDaily[WardCode],"BH")=0,"",SUMIFS(tblDaily[Remaining],tblDaily[EntryDate],DATE(2026,1,26),tblDaily[WardCode],"BH")),"")</f>
        <v/>
      </c>
      <c r="I32" s="5" t="str">
        <f>IFERROR(IF(SUMIFS(tblDaily[MalariaCases],tblDaily[EntryDate],DATE(2026,1,26),tblDaily[WardCode],"BH")=0,"",SUMIFS(tblDaily[MalariaCases],tblDaily[EntryDate],DATE(2026,1,26),tblDaily[WardCode],"BH")),"")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IFERROR(IF(SUMIFS(tblDaily[Admissions],tblDaily[EntryDate],DATE(2026,1,27),tblDaily[WardCode],"BH")=0,"",SUMIFS(tblDaily[Admissions],tblDaily[EntryDate],DATE(2026,1,27),tblDaily[WardCode],"BH")),"")</f>
        <v/>
      </c>
      <c r="C33" s="5" t="str">
        <f>IFERROR(IF(SUMIFS(tblDaily[Discharges],tblDaily[EntryDate],DATE(2026,1,27),tblDaily[WardCode],"BH")=0,"",SUMIFS(tblDaily[Discharges],tblDaily[EntryDate],DATE(2026,1,27),tblDaily[WardCode],"BH")),"")</f>
        <v/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 t="str">
        <f>IFERROR(IF(SUMIFS(tblDaily[TransfersIn],tblDaily[EntryDate],DATE(2026,1,27),tblDaily[WardCode],"BH")=0,"",SUMIFS(tblDaily[TransfersIn],tblDaily[EntryDate],DATE(2026,1,27),tblDaily[WardCode],"BH")),"")</f>
        <v/>
      </c>
      <c r="G33" s="5" t="str">
        <f>IFERROR(IF(SUMIFS(tblDaily[TransfersOut],tblDaily[EntryDate],DATE(2026,1,27),tblDaily[WardCode],"BH")=0,"",SUMIFS(tblDaily[TransfersOut],tblDaily[EntryDate],DATE(2026,1,27),tblDaily[WardCode],"BH")),"")</f>
        <v/>
      </c>
      <c r="H33" s="5" t="str">
        <f>IFERROR(IF(SUMIFS(tblDaily[Remaining],tblDaily[EntryDate],DATE(2026,1,27),tblDaily[WardCode],"BH")=0,"",SUMIFS(tblDaily[Remaining],tblDaily[EntryDate],DATE(2026,1,27),tblDaily[WardCode],"BH")),"")</f>
        <v/>
      </c>
      <c r="I33" s="5" t="str">
        <f>IFERROR(IF(SUMIFS(tblDaily[MalariaCases],tblDaily[EntryDate],DATE(2026,1,27),tblDaily[WardCode],"BH")=0,"",SUMIFS(tblDaily[MalariaCases],tblDaily[EntryDate],DATE(2026,1,27),tblDaily[WardCode],"BH")),"")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IFERROR(IF(SUMIFS(tblDaily[Admissions],tblDaily[EntryDate],DATE(2026,1,28),tblDaily[WardCode],"BH")=0,"",SUMIFS(tblDaily[Admissions],tblDaily[EntryDate],DATE(2026,1,28),tblDaily[WardCode],"BH")),"")</f>
        <v/>
      </c>
      <c r="C34" s="5" t="str">
        <f>IFERROR(IF(SUMIFS(tblDaily[Discharges],tblDaily[EntryDate],DATE(2026,1,28),tblDaily[WardCode],"BH")=0,"",SUMIFS(tblDaily[Discharges],tblDaily[EntryDate],DATE(2026,1,28),tblDaily[WardCode],"BH")),"")</f>
        <v/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 t="str">
        <f>IFERROR(IF(SUMIFS(tblDaily[TransfersIn],tblDaily[EntryDate],DATE(2026,1,28),tblDaily[WardCode],"BH")=0,"",SUMIFS(tblDaily[TransfersIn],tblDaily[EntryDate],DATE(2026,1,28),tblDaily[WardCode],"BH")),"")</f>
        <v/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 t="str">
        <f>IFERROR(IF(SUMIFS(tblDaily[Remaining],tblDaily[EntryDate],DATE(2026,1,28),tblDaily[WardCode],"BH")=0,"",SUMIFS(tblDaily[Remaining],tblDaily[EntryDate],DATE(2026,1,28),tblDaily[WardCode],"BH")),"")</f>
        <v/>
      </c>
      <c r="I34" s="5" t="str">
        <f>IFERROR(IF(SUMIFS(tblDaily[MalariaCases],tblDaily[EntryDate],DATE(2026,1,28),tblDaily[WardCode],"BH")=0,"",SUMIFS(tblDaily[MalariaCases],tblDaily[EntryDate],DATE(2026,1,28),tblDaily[WardCode],"BH")),"")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IFERROR(IF(SUMIFS(tblDaily[Admissions],tblDaily[EntryDate],DATE(2026,1,29),tblDaily[WardCode],"BH")=0,"",SUMIFS(tblDaily[Admissions],tblDaily[EntryDate],DATE(2026,1,29),tblDaily[WardCode],"BH")),"")</f>
        <v/>
      </c>
      <c r="C35" s="5" t="str">
        <f>IFERROR(IF(SUMIFS(tblDaily[Discharges],tblDaily[EntryDate],DATE(2026,1,29),tblDaily[WardCode],"BH")=0,"",SUMIFS(tblDaily[Discharges],tblDaily[EntryDate],DATE(2026,1,29),tblDaily[WardCode],"BH")),"")</f>
        <v/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 t="str">
        <f>IFERROR(IF(SUMIFS(tblDaily[TransfersIn],tblDaily[EntryDate],DATE(2026,1,29),tblDaily[WardCode],"BH")=0,"",SUMIFS(tblDaily[TransfersIn],tblDaily[EntryDate],DATE(2026,1,29),tblDaily[WardCode],"BH")),"")</f>
        <v/>
      </c>
      <c r="G35" s="5" t="str">
        <f>IFERROR(IF(SUMIFS(tblDaily[TransfersOut],tblDaily[EntryDate],DATE(2026,1,29),tblDaily[WardCode],"BH")=0,"",SUMIFS(tblDaily[TransfersOut],tblDaily[EntryDate],DATE(2026,1,29),tblDaily[WardCode],"BH")),"")</f>
        <v/>
      </c>
      <c r="H35" s="5" t="str">
        <f>IFERROR(IF(SUMIFS(tblDaily[Remaining],tblDaily[EntryDate],DATE(2026,1,29),tblDaily[WardCode],"BH")=0,"",SUMIFS(tblDaily[Remaining],tblDaily[EntryDate],DATE(2026,1,29),tblDaily[WardCode],"BH")),"")</f>
        <v/>
      </c>
      <c r="I35" s="5" t="str">
        <f>IFERROR(IF(SUMIFS(tblDaily[MalariaCases],tblDaily[EntryDate],DATE(2026,1,29),tblDaily[WardCode],"BH")=0,"",SUMIFS(tblDaily[MalariaCases],tblDaily[EntryDate],DATE(2026,1,29),tblDaily[WardCode],"BH")),"")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IFERROR(IF(SUMIFS(tblDaily[Admissions],tblDaily[EntryDate],DATE(2026,1,30),tblDaily[WardCode],"BH")=0,"",SUMIFS(tblDaily[Admissions],tblDaily[EntryDate],DATE(2026,1,30),tblDaily[WardCode],"BH")),"")</f>
        <v/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 t="str">
        <f>IFERROR(IF(SUMIFS(tblDaily[TransfersOut],tblDaily[EntryDate],DATE(2026,1,30),tblDaily[WardCode],"BH")=0,"",SUMIFS(tblDaily[TransfersOut],tblDaily[EntryDate],DATE(2026,1,30),tblDaily[WardCode],"BH")),"")</f>
        <v/>
      </c>
      <c r="H36" s="5" t="str">
        <f>IFERROR(IF(SUMIFS(tblDaily[Remaining],tblDaily[EntryDate],DATE(2026,1,30),tblDaily[WardCode],"BH")=0,"",SUMIFS(tblDaily[Remaining],tblDaily[EntryDate],DATE(2026,1,30),tblDaily[WardCode],"BH")),"")</f>
        <v/>
      </c>
      <c r="I36" s="5" t="str">
        <f>IFERROR(IF(SUMIFS(tblDaily[MalariaCases],tblDaily[EntryDate],DATE(2026,1,30),tblDaily[WardCode],"BH")=0,"",SUMIFS(tblDaily[MalariaCases],tblDaily[EntryDate],DATE(2026,1,30),tblDaily[WardCode],"BH")),"")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 t="str">
        <f>IFERROR(IF(SUMIFS(tblDaily[Discharges],tblDaily[EntryDate],DATE(2026,1,31),tblDaily[WardCode],"BH")=0,"",SUMIFS(tblDaily[Discharges],tblDaily[EntryDate],DATE(2026,1,31),tblDaily[WardCode],"BH")),"")</f>
        <v/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 t="str">
        <f>IFERROR(IF(SUMIFS(tblDaily[TransfersOut],tblDaily[EntryDate],DATE(2026,1,31),tblDaily[WardCode],"BH")=0,"",SUMIFS(tblDaily[TransfersOut],tblDaily[EntryDate],DATE(2026,1,31),tblDaily[WardCode],"BH")),"")</f>
        <v/>
      </c>
      <c r="H37" s="5" t="str">
        <f>IFERROR(IF(SUMIFS(tblDaily[Remaining],tblDaily[EntryDate],DATE(2026,1,31),tblDaily[WardCode],"BH")=0,"",SUMIFS(tblDaily[Remaining],tblDaily[EntryDate],DATE(2026,1,31),tblDaily[WardCode],"BH")),"")</f>
        <v/>
      </c>
      <c r="I37" s="5" t="str">
        <f>IFERROR(IF(SUMIFS(tblDaily[MalariaCases],tblDaily[EntryDate],DATE(2026,1,31),tblDaily[WardCode],"BH")=0,"",SUMIFS(tblDaily[MalariaCases],tblDaily[EntryDate],DATE(2026,1,31),tblDaily[WardCode],"BH")),"")</f>
        <v/>
      </c>
    </row>
    <row r="38" spans="1:9" x14ac:dyDescent="0.25">
      <c r="A38" s="9" t="s">
        <v>94</v>
      </c>
      <c r="B38" s="9">
        <f>SUMIFS(tblDaily[Admissions],tblDaily[Month],1,tblDaily[WardCode],"BH")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99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IFERROR(SUMIFS(tblDaily[Remaining],tblDaily[EntryDate],DATE(2026,1,31),tblDaily[WardCode],"BH"),0)</f>
        <v>0</v>
      </c>
    </row>
    <row r="44" spans="1:9" x14ac:dyDescent="0.25">
      <c r="A44" s="1" t="s">
        <v>87</v>
      </c>
      <c r="H44" s="7">
        <f>IFERROR(INDEX(tblWardConfig[BedComplement],MATCH("BH",tblWardConfig[Export Year-End],0)),0)</f>
        <v>22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 t="str">
        <f>IFERROR(IF(SUMIFS(tblDaily[Remaining],tblDaily[EntryDate],DATE(2026,2,1),tblDaily[WardCode],"BH")=0,"",SUMIFS(tblDaily[Remaining],tblDaily[EntryDate],DATE(2026,2,1),tblDaily[WardCode],"BH")),"")</f>
        <v/>
      </c>
      <c r="I46" s="5" t="str">
        <f>IFERROR(IF(SUMIFS(tblDaily[MalariaCases],tblDaily[EntryDate],DATE(2026,2,1),tblDaily[WardCode],"BH")=0,"",SUMIFS(tblDaily[MalariaCases],tblDaily[EntryDate],DATE(2026,2,1),tblDaily[WardCode],"BH")),"")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  <c r="I47" s="5" t="str">
        <f>IFERROR(IF(SUMIFS(tblDaily[MalariaCases],tblDaily[EntryDate],DATE(2026,2,2),tblDaily[WardCode],"BH")=0,"",SUMIFS(tblDaily[MalariaCases],tblDaily[EntryDate],DATE(2026,2,2),tblDaily[WardCode],"BH")),"")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  <c r="I48" s="5" t="str">
        <f>IFERROR(IF(SUMIFS(tblDaily[MalariaCases],tblDaily[EntryDate],DATE(2026,2,3),tblDaily[WardCode],"BH")=0,"",SUMIFS(tblDaily[MalariaCases],tblDaily[EntryDate],DATE(2026,2,3),tblDaily[WardCode],"BH")),"")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  <c r="I49" s="5" t="str">
        <f>IFERROR(IF(SUMIFS(tblDaily[MalariaCases],tblDaily[EntryDate],DATE(2026,2,4),tblDaily[WardCode],"BH")=0,"",SUMIFS(tblDaily[MalariaCases],tblDaily[EntryDate],DATE(2026,2,4),tblDaily[WardCode],"BH")),"")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  <c r="I50" s="5" t="str">
        <f>IFERROR(IF(SUMIFS(tblDaily[MalariaCases],tblDaily[EntryDate],DATE(2026,2,5),tblDaily[WardCode],"BH")=0,"",SUMIFS(tblDaily[MalariaCases],tblDaily[EntryDate],DATE(2026,2,5),tblDaily[WardCode],"BH")),"")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  <c r="I51" s="5" t="str">
        <f>IFERROR(IF(SUMIFS(tblDaily[MalariaCases],tblDaily[EntryDate],DATE(2026,2,6),tblDaily[WardCode],"BH")=0,"",SUMIFS(tblDaily[MalariaCases],tblDaily[EntryDate],DATE(2026,2,6),tblDaily[WardCode],"BH")),"")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  <c r="I52" s="5" t="str">
        <f>IFERROR(IF(SUMIFS(tblDaily[MalariaCases],tblDaily[EntryDate],DATE(2026,2,7),tblDaily[WardCode],"BH")=0,"",SUMIFS(tblDaily[MalariaCases],tblDaily[EntryDate],DATE(2026,2,7),tblDaily[WardCode],"BH")),"")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  <c r="I53" s="5" t="str">
        <f>IFERROR(IF(SUMIFS(tblDaily[MalariaCases],tblDaily[EntryDate],DATE(2026,2,8),tblDaily[WardCode],"BH")=0,"",SUMIFS(tblDaily[MalariaCases],tblDaily[EntryDate],DATE(2026,2,8),tblDaily[WardCode],"BH")),"")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  <c r="I54" s="5" t="str">
        <f>IFERROR(IF(SUMIFS(tblDaily[MalariaCases],tblDaily[EntryDate],DATE(2026,2,9),tblDaily[WardCode],"BH")=0,"",SUMIFS(tblDaily[MalariaCases],tblDaily[EntryDate],DATE(2026,2,9),tblDaily[WardCode],"BH")),"")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  <c r="I55" s="5" t="str">
        <f>IFERROR(IF(SUMIFS(tblDaily[MalariaCases],tblDaily[EntryDate],DATE(2026,2,10),tblDaily[WardCode],"BH")=0,"",SUMIFS(tblDaily[MalariaCases],tblDaily[EntryDate],DATE(2026,2,10),tblDaily[WardCode],"BH")),"")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  <c r="I56" s="5" t="str">
        <f>IFERROR(IF(SUMIFS(tblDaily[MalariaCases],tblDaily[EntryDate],DATE(2026,2,11),tblDaily[WardCode],"BH")=0,"",SUMIFS(tblDaily[MalariaCases],tblDaily[EntryDate],DATE(2026,2,11),tblDaily[WardCode],"BH")),"")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  <c r="I57" s="5" t="str">
        <f>IFERROR(IF(SUMIFS(tblDaily[MalariaCases],tblDaily[EntryDate],DATE(2026,2,12),tblDaily[WardCode],"BH")=0,"",SUMIFS(tblDaily[MalariaCases],tblDaily[EntryDate],DATE(2026,2,12),tblDaily[WardCode],"BH")),"")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  <c r="I58" s="5" t="str">
        <f>IFERROR(IF(SUMIFS(tblDaily[MalariaCases],tblDaily[EntryDate],DATE(2026,2,13),tblDaily[WardCode],"BH")=0,"",SUMIFS(tblDaily[MalariaCases],tblDaily[EntryDate],DATE(2026,2,13),tblDaily[WardCode],"BH")),"")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  <c r="I59" s="5" t="str">
        <f>IFERROR(IF(SUMIFS(tblDaily[MalariaCases],tblDaily[EntryDate],DATE(2026,2,14),tblDaily[WardCode],"BH")=0,"",SUMIFS(tblDaily[MalariaCases],tblDaily[EntryDate],DATE(2026,2,14),tblDaily[WardCode],"BH")),"")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  <c r="I60" s="5" t="str">
        <f>IFERROR(IF(SUMIFS(tblDaily[MalariaCases],tblDaily[EntryDate],DATE(2026,2,15),tblDaily[WardCode],"BH")=0,"",SUMIFS(tblDaily[MalariaCases],tblDaily[EntryDate],DATE(2026,2,15),tblDaily[WardCode],"BH")),"")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  <c r="I61" s="5" t="str">
        <f>IFERROR(IF(SUMIFS(tblDaily[MalariaCases],tblDaily[EntryDate],DATE(2026,2,16),tblDaily[WardCode],"BH")=0,"",SUMIFS(tblDaily[MalariaCases],tblDaily[EntryDate],DATE(2026,2,16),tblDaily[WardCode],"BH")),"")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  <c r="I62" s="5" t="str">
        <f>IFERROR(IF(SUMIFS(tblDaily[MalariaCases],tblDaily[EntryDate],DATE(2026,2,17),tblDaily[WardCode],"BH")=0,"",SUMIFS(tblDaily[MalariaCases],tblDaily[EntryDate],DATE(2026,2,17),tblDaily[WardCode],"BH")),"")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  <c r="I63" s="5" t="str">
        <f>IFERROR(IF(SUMIFS(tblDaily[MalariaCases],tblDaily[EntryDate],DATE(2026,2,18),tblDaily[WardCode],"BH")=0,"",SUMIFS(tblDaily[MalariaCases],tblDaily[EntryDate],DATE(2026,2,18),tblDaily[WardCode],"BH")),"")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  <c r="I64" s="5" t="str">
        <f>IFERROR(IF(SUMIFS(tblDaily[MalariaCases],tblDaily[EntryDate],DATE(2026,2,19),tblDaily[WardCode],"BH")=0,"",SUMIFS(tblDaily[MalariaCases],tblDaily[EntryDate],DATE(2026,2,19),tblDaily[WardCode],"BH")),"")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  <c r="I65" s="5" t="str">
        <f>IFERROR(IF(SUMIFS(tblDaily[MalariaCases],tblDaily[EntryDate],DATE(2026,2,20),tblDaily[WardCode],"BH")=0,"",SUMIFS(tblDaily[MalariaCases],tblDaily[EntryDate],DATE(2026,2,20),tblDaily[WardCode],"BH")),"")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  <c r="I66" s="5" t="str">
        <f>IFERROR(IF(SUMIFS(tblDaily[MalariaCases],tblDaily[EntryDate],DATE(2026,2,21),tblDaily[WardCode],"BH")=0,"",SUMIFS(tblDaily[MalariaCases],tblDaily[EntryDate],DATE(2026,2,21),tblDaily[WardCode],"BH")),"")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  <c r="I67" s="5" t="str">
        <f>IFERROR(IF(SUMIFS(tblDaily[MalariaCases],tblDaily[EntryDate],DATE(2026,2,22),tblDaily[WardCode],"BH")=0,"",SUMIFS(tblDaily[MalariaCases],tblDaily[EntryDate],DATE(2026,2,22),tblDaily[WardCode],"BH")),"")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  <c r="I68" s="5" t="str">
        <f>IFERROR(IF(SUMIFS(tblDaily[MalariaCases],tblDaily[EntryDate],DATE(2026,2,23),tblDaily[WardCode],"BH")=0,"",SUMIFS(tblDaily[MalariaCases],tblDaily[EntryDate],DATE(2026,2,23),tblDaily[WardCode],"BH")),"")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  <c r="I69" s="5" t="str">
        <f>IFERROR(IF(SUMIFS(tblDaily[MalariaCases],tblDaily[EntryDate],DATE(2026,2,24),tblDaily[WardCode],"BH")=0,"",SUMIFS(tblDaily[MalariaCases],tblDaily[EntryDate],DATE(2026,2,24),tblDaily[WardCode],"BH")),"")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  <c r="I70" s="5" t="str">
        <f>IFERROR(IF(SUMIFS(tblDaily[MalariaCases],tblDaily[EntryDate],DATE(2026,2,25),tblDaily[WardCode],"BH")=0,"",SUMIFS(tblDaily[MalariaCases],tblDaily[EntryDate],DATE(2026,2,25),tblDaily[WardCode],"BH")),"")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  <c r="I71" s="5" t="str">
        <f>IFERROR(IF(SUMIFS(tblDaily[MalariaCases],tblDaily[EntryDate],DATE(2026,2,26),tblDaily[WardCode],"BH")=0,"",SUMIFS(tblDaily[MalariaCases],tblDaily[EntryDate],DATE(2026,2,26),tblDaily[WardCode],"BH")),"")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  <c r="I72" s="5" t="str">
        <f>IFERROR(IF(SUMIFS(tblDaily[MalariaCases],tblDaily[EntryDate],DATE(2026,2,27),tblDaily[WardCode],"BH")=0,"",SUMIFS(tblDaily[MalariaCases],tblDaily[EntryDate],DATE(2026,2,27),tblDaily[WardCode],"BH")),"")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  <c r="I73" s="5" t="str">
        <f>IFERROR(IF(SUMIFS(tblDaily[MalariaCases],tblDaily[EntryDate],DATE(2026,2,28),tblDaily[WardCode],"BH")=0,"",SUMIFS(tblDaily[MalariaCases],tblDaily[EntryDate],DATE(2026,2,28),tblDaily[WardCode],"BH")),"")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99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IFERROR(SUMIFS(tblDaily[Remaining],tblDaily[EntryDate],DATE(2026,2,28),tblDaily[WardCode],"BH"),0)</f>
        <v>0</v>
      </c>
    </row>
    <row r="83" spans="1:9" x14ac:dyDescent="0.25">
      <c r="A83" s="1" t="s">
        <v>87</v>
      </c>
      <c r="H83" s="7">
        <f>IFERROR(INDEX(tblWardConfig[BedComplement],MATCH("BH",tblWardConfig[Export Year-End],0)),0)</f>
        <v>22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  <c r="I85" s="5" t="str">
        <f>IFERROR(IF(SUMIFS(tblDaily[MalariaCases],tblDaily[EntryDate],DATE(2026,3,1),tblDaily[WardCode],"BH")=0,"",SUMIFS(tblDaily[MalariaCases],tblDaily[EntryDate],DATE(2026,3,1),tblDaily[WardCode],"BH")),"")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  <c r="I86" s="5" t="str">
        <f>IFERROR(IF(SUMIFS(tblDaily[MalariaCases],tblDaily[EntryDate],DATE(2026,3,2),tblDaily[WardCode],"BH")=0,"",SUMIFS(tblDaily[MalariaCases],tblDaily[EntryDate],DATE(2026,3,2),tblDaily[WardCode],"BH")),"")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  <c r="I87" s="5" t="str">
        <f>IFERROR(IF(SUMIFS(tblDaily[MalariaCases],tblDaily[EntryDate],DATE(2026,3,3),tblDaily[WardCode],"BH")=0,"",SUMIFS(tblDaily[MalariaCases],tblDaily[EntryDate],DATE(2026,3,3),tblDaily[WardCode],"BH")),"")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  <c r="I88" s="5" t="str">
        <f>IFERROR(IF(SUMIFS(tblDaily[MalariaCases],tblDaily[EntryDate],DATE(2026,3,4),tblDaily[WardCode],"BH")=0,"",SUMIFS(tblDaily[MalariaCases],tblDaily[EntryDate],DATE(2026,3,4),tblDaily[WardCode],"BH")),"")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  <c r="I89" s="5" t="str">
        <f>IFERROR(IF(SUMIFS(tblDaily[MalariaCases],tblDaily[EntryDate],DATE(2026,3,5),tblDaily[WardCode],"BH")=0,"",SUMIFS(tblDaily[MalariaCases],tblDaily[EntryDate],DATE(2026,3,5),tblDaily[WardCode],"BH")),"")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  <c r="I90" s="5" t="str">
        <f>IFERROR(IF(SUMIFS(tblDaily[MalariaCases],tblDaily[EntryDate],DATE(2026,3,6),tblDaily[WardCode],"BH")=0,"",SUMIFS(tblDaily[MalariaCases],tblDaily[EntryDate],DATE(2026,3,6),tblDaily[WardCode],"BH")),"")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  <c r="I91" s="5" t="str">
        <f>IFERROR(IF(SUMIFS(tblDaily[MalariaCases],tblDaily[EntryDate],DATE(2026,3,7),tblDaily[WardCode],"BH")=0,"",SUMIFS(tblDaily[MalariaCases],tblDaily[EntryDate],DATE(2026,3,7),tblDaily[WardCode],"BH")),"")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  <c r="I92" s="5" t="str">
        <f>IFERROR(IF(SUMIFS(tblDaily[MalariaCases],tblDaily[EntryDate],DATE(2026,3,8),tblDaily[WardCode],"BH")=0,"",SUMIFS(tblDaily[MalariaCases],tblDaily[EntryDate],DATE(2026,3,8),tblDaily[WardCode],"BH")),"")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  <c r="I93" s="5" t="str">
        <f>IFERROR(IF(SUMIFS(tblDaily[MalariaCases],tblDaily[EntryDate],DATE(2026,3,9),tblDaily[WardCode],"BH")=0,"",SUMIFS(tblDaily[MalariaCases],tblDaily[EntryDate],DATE(2026,3,9),tblDaily[WardCode],"BH")),"")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  <c r="I94" s="5" t="str">
        <f>IFERROR(IF(SUMIFS(tblDaily[MalariaCases],tblDaily[EntryDate],DATE(2026,3,10),tblDaily[WardCode],"BH")=0,"",SUMIFS(tblDaily[MalariaCases],tblDaily[EntryDate],DATE(2026,3,10),tblDaily[WardCode],"BH")),"")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  <c r="I95" s="5" t="str">
        <f>IFERROR(IF(SUMIFS(tblDaily[MalariaCases],tblDaily[EntryDate],DATE(2026,3,11),tblDaily[WardCode],"BH")=0,"",SUMIFS(tblDaily[MalariaCases],tblDaily[EntryDate],DATE(2026,3,11),tblDaily[WardCode],"BH")),"")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  <c r="I96" s="5" t="str">
        <f>IFERROR(IF(SUMIFS(tblDaily[MalariaCases],tblDaily[EntryDate],DATE(2026,3,12),tblDaily[WardCode],"BH")=0,"",SUMIFS(tblDaily[MalariaCases],tblDaily[EntryDate],DATE(2026,3,12),tblDaily[WardCode],"BH")),"")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  <c r="I97" s="5" t="str">
        <f>IFERROR(IF(SUMIFS(tblDaily[MalariaCases],tblDaily[EntryDate],DATE(2026,3,13),tblDaily[WardCode],"BH")=0,"",SUMIFS(tblDaily[MalariaCases],tblDaily[EntryDate],DATE(2026,3,13),tblDaily[WardCode],"BH")),"")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  <c r="I98" s="5" t="str">
        <f>IFERROR(IF(SUMIFS(tblDaily[MalariaCases],tblDaily[EntryDate],DATE(2026,3,14),tblDaily[WardCode],"BH")=0,"",SUMIFS(tblDaily[MalariaCases],tblDaily[EntryDate],DATE(2026,3,14),tblDaily[WardCode],"BH")),"")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  <c r="I99" s="5" t="str">
        <f>IFERROR(IF(SUMIFS(tblDaily[MalariaCases],tblDaily[EntryDate],DATE(2026,3,15),tblDaily[WardCode],"BH")=0,"",SUMIFS(tblDaily[MalariaCases],tblDaily[EntryDate],DATE(2026,3,15),tblDaily[WardCode],"BH")),"")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  <c r="I100" s="5" t="str">
        <f>IFERROR(IF(SUMIFS(tblDaily[MalariaCases],tblDaily[EntryDate],DATE(2026,3,16),tblDaily[WardCode],"BH")=0,"",SUMIFS(tblDaily[MalariaCases],tblDaily[EntryDate],DATE(2026,3,16),tblDaily[WardCode],"BH")),"")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  <c r="I101" s="5" t="str">
        <f>IFERROR(IF(SUMIFS(tblDaily[MalariaCases],tblDaily[EntryDate],DATE(2026,3,17),tblDaily[WardCode],"BH")=0,"",SUMIFS(tblDaily[MalariaCases],tblDaily[EntryDate],DATE(2026,3,17),tblDaily[WardCode],"BH")),"")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  <c r="I102" s="5" t="str">
        <f>IFERROR(IF(SUMIFS(tblDaily[MalariaCases],tblDaily[EntryDate],DATE(2026,3,18),tblDaily[WardCode],"BH")=0,"",SUMIFS(tblDaily[MalariaCases],tblDaily[EntryDate],DATE(2026,3,18),tblDaily[WardCode],"BH")),"")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  <c r="I103" s="5" t="str">
        <f>IFERROR(IF(SUMIFS(tblDaily[MalariaCases],tblDaily[EntryDate],DATE(2026,3,19),tblDaily[WardCode],"BH")=0,"",SUMIFS(tblDaily[MalariaCases],tblDaily[EntryDate],DATE(2026,3,19),tblDaily[WardCode],"BH")),"")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  <c r="I104" s="5" t="str">
        <f>IFERROR(IF(SUMIFS(tblDaily[MalariaCases],tblDaily[EntryDate],DATE(2026,3,20),tblDaily[WardCode],"BH")=0,"",SUMIFS(tblDaily[MalariaCases],tblDaily[EntryDate],DATE(2026,3,20),tblDaily[WardCode],"BH")),"")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  <c r="I105" s="5" t="str">
        <f>IFERROR(IF(SUMIFS(tblDaily[MalariaCases],tblDaily[EntryDate],DATE(2026,3,21),tblDaily[WardCode],"BH")=0,"",SUMIFS(tblDaily[MalariaCases],tblDaily[EntryDate],DATE(2026,3,21),tblDaily[WardCode],"BH")),"")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  <c r="I106" s="5" t="str">
        <f>IFERROR(IF(SUMIFS(tblDaily[MalariaCases],tblDaily[EntryDate],DATE(2026,3,22),tblDaily[WardCode],"BH")=0,"",SUMIFS(tblDaily[MalariaCases],tblDaily[EntryDate],DATE(2026,3,22),tblDaily[WardCode],"BH")),"")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  <c r="I107" s="5" t="str">
        <f>IFERROR(IF(SUMIFS(tblDaily[MalariaCases],tblDaily[EntryDate],DATE(2026,3,23),tblDaily[WardCode],"BH")=0,"",SUMIFS(tblDaily[MalariaCases],tblDaily[EntryDate],DATE(2026,3,23),tblDaily[WardCode],"BH")),"")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  <c r="I108" s="5" t="str">
        <f>IFERROR(IF(SUMIFS(tblDaily[MalariaCases],tblDaily[EntryDate],DATE(2026,3,24),tblDaily[WardCode],"BH")=0,"",SUMIFS(tblDaily[MalariaCases],tblDaily[EntryDate],DATE(2026,3,24),tblDaily[WardCode],"BH")),"")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  <c r="I109" s="5" t="str">
        <f>IFERROR(IF(SUMIFS(tblDaily[MalariaCases],tblDaily[EntryDate],DATE(2026,3,25),tblDaily[WardCode],"BH")=0,"",SUMIFS(tblDaily[MalariaCases],tblDaily[EntryDate],DATE(2026,3,25),tblDaily[WardCode],"BH")),"")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  <c r="I110" s="5" t="str">
        <f>IFERROR(IF(SUMIFS(tblDaily[MalariaCases],tblDaily[EntryDate],DATE(2026,3,26),tblDaily[WardCode],"BH")=0,"",SUMIFS(tblDaily[MalariaCases],tblDaily[EntryDate],DATE(2026,3,26),tblDaily[WardCode],"BH")),"")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  <c r="I111" s="5" t="str">
        <f>IFERROR(IF(SUMIFS(tblDaily[MalariaCases],tblDaily[EntryDate],DATE(2026,3,27),tblDaily[WardCode],"BH")=0,"",SUMIFS(tblDaily[MalariaCases],tblDaily[EntryDate],DATE(2026,3,27),tblDaily[WardCode],"BH")),"")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  <c r="I112" s="5" t="str">
        <f>IFERROR(IF(SUMIFS(tblDaily[MalariaCases],tblDaily[EntryDate],DATE(2026,3,28),tblDaily[WardCode],"BH")=0,"",SUMIFS(tblDaily[MalariaCases],tblDaily[EntryDate],DATE(2026,3,28),tblDaily[WardCode],"BH")),"")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  <c r="I113" s="5" t="str">
        <f>IFERROR(IF(SUMIFS(tblDaily[MalariaCases],tblDaily[EntryDate],DATE(2026,3,29),tblDaily[WardCode],"BH")=0,"",SUMIFS(tblDaily[MalariaCases],tblDaily[EntryDate],DATE(2026,3,29),tblDaily[WardCode],"BH")),"")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  <c r="I114" s="5" t="str">
        <f>IFERROR(IF(SUMIFS(tblDaily[MalariaCases],tblDaily[EntryDate],DATE(2026,3,30),tblDaily[WardCode],"BH")=0,"",SUMIFS(tblDaily[MalariaCases],tblDaily[EntryDate],DATE(2026,3,30),tblDaily[WardCode],"BH")),"")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  <c r="I115" s="5" t="str">
        <f>IFERROR(IF(SUMIFS(tblDaily[MalariaCases],tblDaily[EntryDate],DATE(2026,3,31),tblDaily[WardCode],"BH")=0,"",SUMIFS(tblDaily[MalariaCases],tblDaily[EntryDate],DATE(2026,3,31),tblDaily[WardCode],"BH")),"")</f>
        <v/>
      </c>
    </row>
    <row r="116" spans="1:9" x14ac:dyDescent="0.25">
      <c r="A116" s="9" t="s">
        <v>94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99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IFERROR(SUMIFS(tblDaily[Remaining],tblDaily[EntryDate],DATE(2026,3,31),tblDaily[WardCode],"BH"),0)</f>
        <v>0</v>
      </c>
    </row>
    <row r="122" spans="1:9" x14ac:dyDescent="0.25">
      <c r="A122" s="1" t="s">
        <v>87</v>
      </c>
      <c r="H122" s="7">
        <f>IFERROR(INDEX(tblWardConfig[BedComplement],MATCH("BH",tblWardConfig[Export Year-End],0)),0)</f>
        <v>22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  <c r="I124" s="5" t="str">
        <f>IFERROR(IF(SUMIFS(tblDaily[MalariaCases],tblDaily[EntryDate],DATE(2026,4,1),tblDaily[WardCode],"BH")=0,"",SUMIFS(tblDaily[MalariaCases],tblDaily[EntryDate],DATE(2026,4,1),tblDaily[WardCode],"BH")),"")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  <c r="I125" s="5" t="str">
        <f>IFERROR(IF(SUMIFS(tblDaily[MalariaCases],tblDaily[EntryDate],DATE(2026,4,2),tblDaily[WardCode],"BH")=0,"",SUMIFS(tblDaily[MalariaCases],tblDaily[EntryDate],DATE(2026,4,2),tblDaily[WardCode],"BH")),"")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  <c r="I126" s="5" t="str">
        <f>IFERROR(IF(SUMIFS(tblDaily[MalariaCases],tblDaily[EntryDate],DATE(2026,4,3),tblDaily[WardCode],"BH")=0,"",SUMIFS(tblDaily[MalariaCases],tblDaily[EntryDate],DATE(2026,4,3),tblDaily[WardCode],"BH")),"")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  <c r="I127" s="5" t="str">
        <f>IFERROR(IF(SUMIFS(tblDaily[MalariaCases],tblDaily[EntryDate],DATE(2026,4,4),tblDaily[WardCode],"BH")=0,"",SUMIFS(tblDaily[MalariaCases],tblDaily[EntryDate],DATE(2026,4,4),tblDaily[WardCode],"BH")),"")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  <c r="I128" s="5" t="str">
        <f>IFERROR(IF(SUMIFS(tblDaily[MalariaCases],tblDaily[EntryDate],DATE(2026,4,5),tblDaily[WardCode],"BH")=0,"",SUMIFS(tblDaily[MalariaCases],tblDaily[EntryDate],DATE(2026,4,5),tblDaily[WardCode],"BH")),"")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  <c r="I129" s="5" t="str">
        <f>IFERROR(IF(SUMIFS(tblDaily[MalariaCases],tblDaily[EntryDate],DATE(2026,4,6),tblDaily[WardCode],"BH")=0,"",SUMIFS(tblDaily[MalariaCases],tblDaily[EntryDate],DATE(2026,4,6),tblDaily[WardCode],"BH")),"")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  <c r="I130" s="5" t="str">
        <f>IFERROR(IF(SUMIFS(tblDaily[MalariaCases],tblDaily[EntryDate],DATE(2026,4,7),tblDaily[WardCode],"BH")=0,"",SUMIFS(tblDaily[MalariaCases],tblDaily[EntryDate],DATE(2026,4,7),tblDaily[WardCode],"BH")),"")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  <c r="I131" s="5" t="str">
        <f>IFERROR(IF(SUMIFS(tblDaily[MalariaCases],tblDaily[EntryDate],DATE(2026,4,8),tblDaily[WardCode],"BH")=0,"",SUMIFS(tblDaily[MalariaCases],tblDaily[EntryDate],DATE(2026,4,8),tblDaily[WardCode],"BH")),"")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  <c r="I132" s="5" t="str">
        <f>IFERROR(IF(SUMIFS(tblDaily[MalariaCases],tblDaily[EntryDate],DATE(2026,4,9),tblDaily[WardCode],"BH")=0,"",SUMIFS(tblDaily[MalariaCases],tblDaily[EntryDate],DATE(2026,4,9),tblDaily[WardCode],"BH")),"")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  <c r="I133" s="5" t="str">
        <f>IFERROR(IF(SUMIFS(tblDaily[MalariaCases],tblDaily[EntryDate],DATE(2026,4,10),tblDaily[WardCode],"BH")=0,"",SUMIFS(tblDaily[MalariaCases],tblDaily[EntryDate],DATE(2026,4,10),tblDaily[WardCode],"BH")),"")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  <c r="I134" s="5" t="str">
        <f>IFERROR(IF(SUMIFS(tblDaily[MalariaCases],tblDaily[EntryDate],DATE(2026,4,11),tblDaily[WardCode],"BH")=0,"",SUMIFS(tblDaily[MalariaCases],tblDaily[EntryDate],DATE(2026,4,11),tblDaily[WardCode],"BH")),"")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  <c r="I135" s="5" t="str">
        <f>IFERROR(IF(SUMIFS(tblDaily[MalariaCases],tblDaily[EntryDate],DATE(2026,4,12),tblDaily[WardCode],"BH")=0,"",SUMIFS(tblDaily[MalariaCases],tblDaily[EntryDate],DATE(2026,4,12),tblDaily[WardCode],"BH")),"")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  <c r="I136" s="5" t="str">
        <f>IFERROR(IF(SUMIFS(tblDaily[MalariaCases],tblDaily[EntryDate],DATE(2026,4,13),tblDaily[WardCode],"BH")=0,"",SUMIFS(tblDaily[MalariaCases],tblDaily[EntryDate],DATE(2026,4,13),tblDaily[WardCode],"BH")),"")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  <c r="I137" s="5" t="str">
        <f>IFERROR(IF(SUMIFS(tblDaily[MalariaCases],tblDaily[EntryDate],DATE(2026,4,14),tblDaily[WardCode],"BH")=0,"",SUMIFS(tblDaily[MalariaCases],tblDaily[EntryDate],DATE(2026,4,14),tblDaily[WardCode],"BH")),"")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  <c r="I138" s="5" t="str">
        <f>IFERROR(IF(SUMIFS(tblDaily[MalariaCases],tblDaily[EntryDate],DATE(2026,4,15),tblDaily[WardCode],"BH")=0,"",SUMIFS(tblDaily[MalariaCases],tblDaily[EntryDate],DATE(2026,4,15),tblDaily[WardCode],"BH")),"")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  <c r="I139" s="5" t="str">
        <f>IFERROR(IF(SUMIFS(tblDaily[MalariaCases],tblDaily[EntryDate],DATE(2026,4,16),tblDaily[WardCode],"BH")=0,"",SUMIFS(tblDaily[MalariaCases],tblDaily[EntryDate],DATE(2026,4,16),tblDaily[WardCode],"BH")),"")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  <c r="I140" s="5" t="str">
        <f>IFERROR(IF(SUMIFS(tblDaily[MalariaCases],tblDaily[EntryDate],DATE(2026,4,17),tblDaily[WardCode],"BH")=0,"",SUMIFS(tblDaily[MalariaCases],tblDaily[EntryDate],DATE(2026,4,17),tblDaily[WardCode],"BH")),"")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  <c r="I141" s="5" t="str">
        <f>IFERROR(IF(SUMIFS(tblDaily[MalariaCases],tblDaily[EntryDate],DATE(2026,4,18),tblDaily[WardCode],"BH")=0,"",SUMIFS(tblDaily[MalariaCases],tblDaily[EntryDate],DATE(2026,4,18),tblDaily[WardCode],"BH")),"")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  <c r="I142" s="5" t="str">
        <f>IFERROR(IF(SUMIFS(tblDaily[MalariaCases],tblDaily[EntryDate],DATE(2026,4,19),tblDaily[WardCode],"BH")=0,"",SUMIFS(tblDaily[MalariaCases],tblDaily[EntryDate],DATE(2026,4,19),tblDaily[WardCode],"BH")),"")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  <c r="I143" s="5" t="str">
        <f>IFERROR(IF(SUMIFS(tblDaily[MalariaCases],tblDaily[EntryDate],DATE(2026,4,20),tblDaily[WardCode],"BH")=0,"",SUMIFS(tblDaily[MalariaCases],tblDaily[EntryDate],DATE(2026,4,20),tblDaily[WardCode],"BH")),"")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  <c r="I144" s="5" t="str">
        <f>IFERROR(IF(SUMIFS(tblDaily[MalariaCases],tblDaily[EntryDate],DATE(2026,4,21),tblDaily[WardCode],"BH")=0,"",SUMIFS(tblDaily[MalariaCases],tblDaily[EntryDate],DATE(2026,4,21),tblDaily[WardCode],"BH")),"")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  <c r="I145" s="5" t="str">
        <f>IFERROR(IF(SUMIFS(tblDaily[MalariaCases],tblDaily[EntryDate],DATE(2026,4,22),tblDaily[WardCode],"BH")=0,"",SUMIFS(tblDaily[MalariaCases],tblDaily[EntryDate],DATE(2026,4,22),tblDaily[WardCode],"BH")),"")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  <c r="I146" s="5" t="str">
        <f>IFERROR(IF(SUMIFS(tblDaily[MalariaCases],tblDaily[EntryDate],DATE(2026,4,23),tblDaily[WardCode],"BH")=0,"",SUMIFS(tblDaily[MalariaCases],tblDaily[EntryDate],DATE(2026,4,23),tblDaily[WardCode],"BH")),"")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  <c r="I147" s="5" t="str">
        <f>IFERROR(IF(SUMIFS(tblDaily[MalariaCases],tblDaily[EntryDate],DATE(2026,4,24),tblDaily[WardCode],"BH")=0,"",SUMIFS(tblDaily[MalariaCases],tblDaily[EntryDate],DATE(2026,4,24),tblDaily[WardCode],"BH")),"")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  <c r="I148" s="5" t="str">
        <f>IFERROR(IF(SUMIFS(tblDaily[MalariaCases],tblDaily[EntryDate],DATE(2026,4,25),tblDaily[WardCode],"BH")=0,"",SUMIFS(tblDaily[MalariaCases],tblDaily[EntryDate],DATE(2026,4,25),tblDaily[WardCode],"BH")),"")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  <c r="I149" s="5" t="str">
        <f>IFERROR(IF(SUMIFS(tblDaily[MalariaCases],tblDaily[EntryDate],DATE(2026,4,26),tblDaily[WardCode],"BH")=0,"",SUMIFS(tblDaily[MalariaCases],tblDaily[EntryDate],DATE(2026,4,26),tblDaily[WardCode],"BH")),"")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  <c r="I150" s="5" t="str">
        <f>IFERROR(IF(SUMIFS(tblDaily[MalariaCases],tblDaily[EntryDate],DATE(2026,4,27),tblDaily[WardCode],"BH")=0,"",SUMIFS(tblDaily[MalariaCases],tblDaily[EntryDate],DATE(2026,4,27),tblDaily[WardCode],"BH")),"")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  <c r="I151" s="5" t="str">
        <f>IFERROR(IF(SUMIFS(tblDaily[MalariaCases],tblDaily[EntryDate],DATE(2026,4,28),tblDaily[WardCode],"BH")=0,"",SUMIFS(tblDaily[MalariaCases],tblDaily[EntryDate],DATE(2026,4,28),tblDaily[WardCode],"BH")),"")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  <c r="I152" s="5" t="str">
        <f>IFERROR(IF(SUMIFS(tblDaily[MalariaCases],tblDaily[EntryDate],DATE(2026,4,29),tblDaily[WardCode],"BH")=0,"",SUMIFS(tblDaily[MalariaCases],tblDaily[EntryDate],DATE(2026,4,29),tblDaily[WardCode],"BH")),"")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  <c r="I153" s="5" t="str">
        <f>IFERROR(IF(SUMIFS(tblDaily[MalariaCases],tblDaily[EntryDate],DATE(2026,4,30),tblDaily[WardCode],"BH")=0,"",SUMIFS(tblDaily[MalariaCases],tblDaily[EntryDate],DATE(2026,4,30),tblDaily[WardCode],"BH")),"")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99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IFERROR(SUMIFS(tblDaily[Remaining],tblDaily[EntryDate],DATE(2026,4,30),tblDaily[WardCode],"BH"),0)</f>
        <v>0</v>
      </c>
    </row>
    <row r="161" spans="1:9" x14ac:dyDescent="0.25">
      <c r="A161" s="1" t="s">
        <v>87</v>
      </c>
      <c r="H161" s="7">
        <f>IFERROR(INDEX(tblWardConfig[BedComplement],MATCH("BH",tblWardConfig[Export Year-End],0)),0)</f>
        <v>22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  <c r="I163" s="5" t="str">
        <f>IFERROR(IF(SUMIFS(tblDaily[MalariaCases],tblDaily[EntryDate],DATE(2026,5,1),tblDaily[WardCode],"BH")=0,"",SUMIFS(tblDaily[MalariaCases],tblDaily[EntryDate],DATE(2026,5,1),tblDaily[WardCode],"BH")),"")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  <c r="I164" s="5" t="str">
        <f>IFERROR(IF(SUMIFS(tblDaily[MalariaCases],tblDaily[EntryDate],DATE(2026,5,2),tblDaily[WardCode],"BH")=0,"",SUMIFS(tblDaily[MalariaCases],tblDaily[EntryDate],DATE(2026,5,2),tblDaily[WardCode],"BH")),"")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  <c r="I165" s="5" t="str">
        <f>IFERROR(IF(SUMIFS(tblDaily[MalariaCases],tblDaily[EntryDate],DATE(2026,5,3),tblDaily[WardCode],"BH")=0,"",SUMIFS(tblDaily[MalariaCases],tblDaily[EntryDate],DATE(2026,5,3),tblDaily[WardCode],"BH")),"")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  <c r="I166" s="5" t="str">
        <f>IFERROR(IF(SUMIFS(tblDaily[MalariaCases],tblDaily[EntryDate],DATE(2026,5,4),tblDaily[WardCode],"BH")=0,"",SUMIFS(tblDaily[MalariaCases],tblDaily[EntryDate],DATE(2026,5,4),tblDaily[WardCode],"BH")),"")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  <c r="I167" s="5" t="str">
        <f>IFERROR(IF(SUMIFS(tblDaily[MalariaCases],tblDaily[EntryDate],DATE(2026,5,5),tblDaily[WardCode],"BH")=0,"",SUMIFS(tblDaily[MalariaCases],tblDaily[EntryDate],DATE(2026,5,5),tblDaily[WardCode],"BH")),"")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  <c r="I168" s="5" t="str">
        <f>IFERROR(IF(SUMIFS(tblDaily[MalariaCases],tblDaily[EntryDate],DATE(2026,5,6),tblDaily[WardCode],"BH")=0,"",SUMIFS(tblDaily[MalariaCases],tblDaily[EntryDate],DATE(2026,5,6),tblDaily[WardCode],"BH")),"")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  <c r="I169" s="5" t="str">
        <f>IFERROR(IF(SUMIFS(tblDaily[MalariaCases],tblDaily[EntryDate],DATE(2026,5,7),tblDaily[WardCode],"BH")=0,"",SUMIFS(tblDaily[MalariaCases],tblDaily[EntryDate],DATE(2026,5,7),tblDaily[WardCode],"BH")),"")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  <c r="I170" s="5" t="str">
        <f>IFERROR(IF(SUMIFS(tblDaily[MalariaCases],tblDaily[EntryDate],DATE(2026,5,8),tblDaily[WardCode],"BH")=0,"",SUMIFS(tblDaily[MalariaCases],tblDaily[EntryDate],DATE(2026,5,8),tblDaily[WardCode],"BH")),"")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  <c r="I171" s="5" t="str">
        <f>IFERROR(IF(SUMIFS(tblDaily[MalariaCases],tblDaily[EntryDate],DATE(2026,5,9),tblDaily[WardCode],"BH")=0,"",SUMIFS(tblDaily[MalariaCases],tblDaily[EntryDate],DATE(2026,5,9),tblDaily[WardCode],"BH")),"")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  <c r="I172" s="5" t="str">
        <f>IFERROR(IF(SUMIFS(tblDaily[MalariaCases],tblDaily[EntryDate],DATE(2026,5,10),tblDaily[WardCode],"BH")=0,"",SUMIFS(tblDaily[MalariaCases],tblDaily[EntryDate],DATE(2026,5,10),tblDaily[WardCode],"BH")),"")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  <c r="I173" s="5" t="str">
        <f>IFERROR(IF(SUMIFS(tblDaily[MalariaCases],tblDaily[EntryDate],DATE(2026,5,11),tblDaily[WardCode],"BH")=0,"",SUMIFS(tblDaily[MalariaCases],tblDaily[EntryDate],DATE(2026,5,11),tblDaily[WardCode],"BH")),"")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  <c r="I174" s="5" t="str">
        <f>IFERROR(IF(SUMIFS(tblDaily[MalariaCases],tblDaily[EntryDate],DATE(2026,5,12),tblDaily[WardCode],"BH")=0,"",SUMIFS(tblDaily[MalariaCases],tblDaily[EntryDate],DATE(2026,5,12),tblDaily[WardCode],"BH")),"")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  <c r="I175" s="5" t="str">
        <f>IFERROR(IF(SUMIFS(tblDaily[MalariaCases],tblDaily[EntryDate],DATE(2026,5,13),tblDaily[WardCode],"BH")=0,"",SUMIFS(tblDaily[MalariaCases],tblDaily[EntryDate],DATE(2026,5,13),tblDaily[WardCode],"BH")),"")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  <c r="I176" s="5" t="str">
        <f>IFERROR(IF(SUMIFS(tblDaily[MalariaCases],tblDaily[EntryDate],DATE(2026,5,14),tblDaily[WardCode],"BH")=0,"",SUMIFS(tblDaily[MalariaCases],tblDaily[EntryDate],DATE(2026,5,14),tblDaily[WardCode],"BH")),"")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  <c r="I177" s="5" t="str">
        <f>IFERROR(IF(SUMIFS(tblDaily[MalariaCases],tblDaily[EntryDate],DATE(2026,5,15),tblDaily[WardCode],"BH")=0,"",SUMIFS(tblDaily[MalariaCases],tblDaily[EntryDate],DATE(2026,5,15),tblDaily[WardCode],"BH")),"")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  <c r="I178" s="5" t="str">
        <f>IFERROR(IF(SUMIFS(tblDaily[MalariaCases],tblDaily[EntryDate],DATE(2026,5,16),tblDaily[WardCode],"BH")=0,"",SUMIFS(tblDaily[MalariaCases],tblDaily[EntryDate],DATE(2026,5,16),tblDaily[WardCode],"BH")),"")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  <c r="I179" s="5" t="str">
        <f>IFERROR(IF(SUMIFS(tblDaily[MalariaCases],tblDaily[EntryDate],DATE(2026,5,17),tblDaily[WardCode],"BH")=0,"",SUMIFS(tblDaily[MalariaCases],tblDaily[EntryDate],DATE(2026,5,17),tblDaily[WardCode],"BH")),"")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  <c r="I180" s="5" t="str">
        <f>IFERROR(IF(SUMIFS(tblDaily[MalariaCases],tblDaily[EntryDate],DATE(2026,5,18),tblDaily[WardCode],"BH")=0,"",SUMIFS(tblDaily[MalariaCases],tblDaily[EntryDate],DATE(2026,5,18),tblDaily[WardCode],"BH")),"")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  <c r="I181" s="5" t="str">
        <f>IFERROR(IF(SUMIFS(tblDaily[MalariaCases],tblDaily[EntryDate],DATE(2026,5,19),tblDaily[WardCode],"BH")=0,"",SUMIFS(tblDaily[MalariaCases],tblDaily[EntryDate],DATE(2026,5,19),tblDaily[WardCode],"BH")),"")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  <c r="I182" s="5" t="str">
        <f>IFERROR(IF(SUMIFS(tblDaily[MalariaCases],tblDaily[EntryDate],DATE(2026,5,20),tblDaily[WardCode],"BH")=0,"",SUMIFS(tblDaily[MalariaCases],tblDaily[EntryDate],DATE(2026,5,20),tblDaily[WardCode],"BH")),"")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  <c r="I183" s="5" t="str">
        <f>IFERROR(IF(SUMIFS(tblDaily[MalariaCases],tblDaily[EntryDate],DATE(2026,5,21),tblDaily[WardCode],"BH")=0,"",SUMIFS(tblDaily[MalariaCases],tblDaily[EntryDate],DATE(2026,5,21),tblDaily[WardCode],"BH")),"")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  <c r="I184" s="5" t="str">
        <f>IFERROR(IF(SUMIFS(tblDaily[MalariaCases],tblDaily[EntryDate],DATE(2026,5,22),tblDaily[WardCode],"BH")=0,"",SUMIFS(tblDaily[MalariaCases],tblDaily[EntryDate],DATE(2026,5,22),tblDaily[WardCode],"BH")),"")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  <c r="I185" s="5" t="str">
        <f>IFERROR(IF(SUMIFS(tblDaily[MalariaCases],tblDaily[EntryDate],DATE(2026,5,23),tblDaily[WardCode],"BH")=0,"",SUMIFS(tblDaily[MalariaCases],tblDaily[EntryDate],DATE(2026,5,23),tblDaily[WardCode],"BH")),"")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  <c r="I186" s="5" t="str">
        <f>IFERROR(IF(SUMIFS(tblDaily[MalariaCases],tblDaily[EntryDate],DATE(2026,5,24),tblDaily[WardCode],"BH")=0,"",SUMIFS(tblDaily[MalariaCases],tblDaily[EntryDate],DATE(2026,5,24),tblDaily[WardCode],"BH")),"")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  <c r="I187" s="5" t="str">
        <f>IFERROR(IF(SUMIFS(tblDaily[MalariaCases],tblDaily[EntryDate],DATE(2026,5,25),tblDaily[WardCode],"BH")=0,"",SUMIFS(tblDaily[MalariaCases],tblDaily[EntryDate],DATE(2026,5,25),tblDaily[WardCode],"BH")),"")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  <c r="I188" s="5" t="str">
        <f>IFERROR(IF(SUMIFS(tblDaily[MalariaCases],tblDaily[EntryDate],DATE(2026,5,26),tblDaily[WardCode],"BH")=0,"",SUMIFS(tblDaily[MalariaCases],tblDaily[EntryDate],DATE(2026,5,26),tblDaily[WardCode],"BH")),"")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  <c r="I189" s="5" t="str">
        <f>IFERROR(IF(SUMIFS(tblDaily[MalariaCases],tblDaily[EntryDate],DATE(2026,5,27),tblDaily[WardCode],"BH")=0,"",SUMIFS(tblDaily[MalariaCases],tblDaily[EntryDate],DATE(2026,5,27),tblDaily[WardCode],"BH")),"")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  <c r="I190" s="5" t="str">
        <f>IFERROR(IF(SUMIFS(tblDaily[MalariaCases],tblDaily[EntryDate],DATE(2026,5,28),tblDaily[WardCode],"BH")=0,"",SUMIFS(tblDaily[MalariaCases],tblDaily[EntryDate],DATE(2026,5,28),tblDaily[WardCode],"BH")),"")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  <c r="I191" s="5" t="str">
        <f>IFERROR(IF(SUMIFS(tblDaily[MalariaCases],tblDaily[EntryDate],DATE(2026,5,29),tblDaily[WardCode],"BH")=0,"",SUMIFS(tblDaily[MalariaCases],tblDaily[EntryDate],DATE(2026,5,29),tblDaily[WardCode],"BH")),"")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  <c r="I192" s="5" t="str">
        <f>IFERROR(IF(SUMIFS(tblDaily[MalariaCases],tblDaily[EntryDate],DATE(2026,5,30),tblDaily[WardCode],"BH")=0,"",SUMIFS(tblDaily[MalariaCases],tblDaily[EntryDate],DATE(2026,5,30),tblDaily[WardCode],"BH")),"")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  <c r="I193" s="5" t="str">
        <f>IFERROR(IF(SUMIFS(tblDaily[MalariaCases],tblDaily[EntryDate],DATE(2026,5,31),tblDaily[WardCode],"BH")=0,"",SUMIFS(tblDaily[MalariaCases],tblDaily[EntryDate],DATE(2026,5,31),tblDaily[WardCode],"BH")),"")</f>
        <v/>
      </c>
    </row>
    <row r="194" spans="1:9" x14ac:dyDescent="0.25">
      <c r="A194" s="9" t="s">
        <v>94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99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IFERROR(SUMIFS(tblDaily[Remaining],tblDaily[EntryDate],DATE(2026,5,31),tblDaily[WardCode],"BH"),0)</f>
        <v>0</v>
      </c>
    </row>
    <row r="200" spans="1:9" x14ac:dyDescent="0.25">
      <c r="A200" s="1" t="s">
        <v>87</v>
      </c>
      <c r="H200" s="7">
        <f>IFERROR(INDEX(tblWardConfig[BedComplement],MATCH("BH",tblWardConfig[Export Year-End],0)),0)</f>
        <v>22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  <c r="I202" s="5" t="str">
        <f>IFERROR(IF(SUMIFS(tblDaily[MalariaCases],tblDaily[EntryDate],DATE(2026,6,1),tblDaily[WardCode],"BH")=0,"",SUMIFS(tblDaily[MalariaCases],tblDaily[EntryDate],DATE(2026,6,1),tblDaily[WardCode],"BH")),"")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  <c r="I203" s="5" t="str">
        <f>IFERROR(IF(SUMIFS(tblDaily[MalariaCases],tblDaily[EntryDate],DATE(2026,6,2),tblDaily[WardCode],"BH")=0,"",SUMIFS(tblDaily[MalariaCases],tblDaily[EntryDate],DATE(2026,6,2),tblDaily[WardCode],"BH")),"")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  <c r="I204" s="5" t="str">
        <f>IFERROR(IF(SUMIFS(tblDaily[MalariaCases],tblDaily[EntryDate],DATE(2026,6,3),tblDaily[WardCode],"BH")=0,"",SUMIFS(tblDaily[MalariaCases],tblDaily[EntryDate],DATE(2026,6,3),tblDaily[WardCode],"BH")),"")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  <c r="I205" s="5" t="str">
        <f>IFERROR(IF(SUMIFS(tblDaily[MalariaCases],tblDaily[EntryDate],DATE(2026,6,4),tblDaily[WardCode],"BH")=0,"",SUMIFS(tblDaily[MalariaCases],tblDaily[EntryDate],DATE(2026,6,4),tblDaily[WardCode],"BH")),"")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  <c r="I206" s="5" t="str">
        <f>IFERROR(IF(SUMIFS(tblDaily[MalariaCases],tblDaily[EntryDate],DATE(2026,6,5),tblDaily[WardCode],"BH")=0,"",SUMIFS(tblDaily[MalariaCases],tblDaily[EntryDate],DATE(2026,6,5),tblDaily[WardCode],"BH")),"")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  <c r="I207" s="5" t="str">
        <f>IFERROR(IF(SUMIFS(tblDaily[MalariaCases],tblDaily[EntryDate],DATE(2026,6,6),tblDaily[WardCode],"BH")=0,"",SUMIFS(tblDaily[MalariaCases],tblDaily[EntryDate],DATE(2026,6,6),tblDaily[WardCode],"BH")),"")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  <c r="I208" s="5" t="str">
        <f>IFERROR(IF(SUMIFS(tblDaily[MalariaCases],tblDaily[EntryDate],DATE(2026,6,7),tblDaily[WardCode],"BH")=0,"",SUMIFS(tblDaily[MalariaCases],tblDaily[EntryDate],DATE(2026,6,7),tblDaily[WardCode],"BH")),"")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  <c r="I209" s="5" t="str">
        <f>IFERROR(IF(SUMIFS(tblDaily[MalariaCases],tblDaily[EntryDate],DATE(2026,6,8),tblDaily[WardCode],"BH")=0,"",SUMIFS(tblDaily[MalariaCases],tblDaily[EntryDate],DATE(2026,6,8),tblDaily[WardCode],"BH")),"")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  <c r="I210" s="5" t="str">
        <f>IFERROR(IF(SUMIFS(tblDaily[MalariaCases],tblDaily[EntryDate],DATE(2026,6,9),tblDaily[WardCode],"BH")=0,"",SUMIFS(tblDaily[MalariaCases],tblDaily[EntryDate],DATE(2026,6,9),tblDaily[WardCode],"BH")),"")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  <c r="I211" s="5" t="str">
        <f>IFERROR(IF(SUMIFS(tblDaily[MalariaCases],tblDaily[EntryDate],DATE(2026,6,10),tblDaily[WardCode],"BH")=0,"",SUMIFS(tblDaily[MalariaCases],tblDaily[EntryDate],DATE(2026,6,10),tblDaily[WardCode],"BH")),"")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  <c r="I212" s="5" t="str">
        <f>IFERROR(IF(SUMIFS(tblDaily[MalariaCases],tblDaily[EntryDate],DATE(2026,6,11),tblDaily[WardCode],"BH")=0,"",SUMIFS(tblDaily[MalariaCases],tblDaily[EntryDate],DATE(2026,6,11),tblDaily[WardCode],"BH")),"")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  <c r="I213" s="5" t="str">
        <f>IFERROR(IF(SUMIFS(tblDaily[MalariaCases],tblDaily[EntryDate],DATE(2026,6,12),tblDaily[WardCode],"BH")=0,"",SUMIFS(tblDaily[MalariaCases],tblDaily[EntryDate],DATE(2026,6,12),tblDaily[WardCode],"BH")),"")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  <c r="I214" s="5" t="str">
        <f>IFERROR(IF(SUMIFS(tblDaily[MalariaCases],tblDaily[EntryDate],DATE(2026,6,13),tblDaily[WardCode],"BH")=0,"",SUMIFS(tblDaily[MalariaCases],tblDaily[EntryDate],DATE(2026,6,13),tblDaily[WardCode],"BH")),"")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  <c r="I215" s="5" t="str">
        <f>IFERROR(IF(SUMIFS(tblDaily[MalariaCases],tblDaily[EntryDate],DATE(2026,6,14),tblDaily[WardCode],"BH")=0,"",SUMIFS(tblDaily[MalariaCases],tblDaily[EntryDate],DATE(2026,6,14),tblDaily[WardCode],"BH")),"")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  <c r="I216" s="5" t="str">
        <f>IFERROR(IF(SUMIFS(tblDaily[MalariaCases],tblDaily[EntryDate],DATE(2026,6,15),tblDaily[WardCode],"BH")=0,"",SUMIFS(tblDaily[MalariaCases],tblDaily[EntryDate],DATE(2026,6,15),tblDaily[WardCode],"BH")),"")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  <c r="I217" s="5" t="str">
        <f>IFERROR(IF(SUMIFS(tblDaily[MalariaCases],tblDaily[EntryDate],DATE(2026,6,16),tblDaily[WardCode],"BH")=0,"",SUMIFS(tblDaily[MalariaCases],tblDaily[EntryDate],DATE(2026,6,16),tblDaily[WardCode],"BH")),"")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  <c r="I218" s="5" t="str">
        <f>IFERROR(IF(SUMIFS(tblDaily[MalariaCases],tblDaily[EntryDate],DATE(2026,6,17),tblDaily[WardCode],"BH")=0,"",SUMIFS(tblDaily[MalariaCases],tblDaily[EntryDate],DATE(2026,6,17),tblDaily[WardCode],"BH")),"")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  <c r="I219" s="5" t="str">
        <f>IFERROR(IF(SUMIFS(tblDaily[MalariaCases],tblDaily[EntryDate],DATE(2026,6,18),tblDaily[WardCode],"BH")=0,"",SUMIFS(tblDaily[MalariaCases],tblDaily[EntryDate],DATE(2026,6,18),tblDaily[WardCode],"BH")),"")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  <c r="I220" s="5" t="str">
        <f>IFERROR(IF(SUMIFS(tblDaily[MalariaCases],tblDaily[EntryDate],DATE(2026,6,19),tblDaily[WardCode],"BH")=0,"",SUMIFS(tblDaily[MalariaCases],tblDaily[EntryDate],DATE(2026,6,19),tblDaily[WardCode],"BH")),"")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  <c r="I221" s="5" t="str">
        <f>IFERROR(IF(SUMIFS(tblDaily[MalariaCases],tblDaily[EntryDate],DATE(2026,6,20),tblDaily[WardCode],"BH")=0,"",SUMIFS(tblDaily[MalariaCases],tblDaily[EntryDate],DATE(2026,6,20),tblDaily[WardCode],"BH")),"")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  <c r="I222" s="5" t="str">
        <f>IFERROR(IF(SUMIFS(tblDaily[MalariaCases],tblDaily[EntryDate],DATE(2026,6,21),tblDaily[WardCode],"BH")=0,"",SUMIFS(tblDaily[MalariaCases],tblDaily[EntryDate],DATE(2026,6,21),tblDaily[WardCode],"BH")),"")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  <c r="I223" s="5" t="str">
        <f>IFERROR(IF(SUMIFS(tblDaily[MalariaCases],tblDaily[EntryDate],DATE(2026,6,22),tblDaily[WardCode],"BH")=0,"",SUMIFS(tblDaily[MalariaCases],tblDaily[EntryDate],DATE(2026,6,22),tblDaily[WardCode],"BH")),"")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  <c r="I224" s="5" t="str">
        <f>IFERROR(IF(SUMIFS(tblDaily[MalariaCases],tblDaily[EntryDate],DATE(2026,6,23),tblDaily[WardCode],"BH")=0,"",SUMIFS(tblDaily[MalariaCases],tblDaily[EntryDate],DATE(2026,6,23),tblDaily[WardCode],"BH")),"")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  <c r="I225" s="5" t="str">
        <f>IFERROR(IF(SUMIFS(tblDaily[MalariaCases],tblDaily[EntryDate],DATE(2026,6,24),tblDaily[WardCode],"BH")=0,"",SUMIFS(tblDaily[MalariaCases],tblDaily[EntryDate],DATE(2026,6,24),tblDaily[WardCode],"BH")),"")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  <c r="I226" s="5" t="str">
        <f>IFERROR(IF(SUMIFS(tblDaily[MalariaCases],tblDaily[EntryDate],DATE(2026,6,25),tblDaily[WardCode],"BH")=0,"",SUMIFS(tblDaily[MalariaCases],tblDaily[EntryDate],DATE(2026,6,25),tblDaily[WardCode],"BH")),"")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  <c r="I227" s="5" t="str">
        <f>IFERROR(IF(SUMIFS(tblDaily[MalariaCases],tblDaily[EntryDate],DATE(2026,6,26),tblDaily[WardCode],"BH")=0,"",SUMIFS(tblDaily[MalariaCases],tblDaily[EntryDate],DATE(2026,6,26),tblDaily[WardCode],"BH")),"")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  <c r="I228" s="5" t="str">
        <f>IFERROR(IF(SUMIFS(tblDaily[MalariaCases],tblDaily[EntryDate],DATE(2026,6,27),tblDaily[WardCode],"BH")=0,"",SUMIFS(tblDaily[MalariaCases],tblDaily[EntryDate],DATE(2026,6,27),tblDaily[WardCode],"BH")),"")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  <c r="I229" s="5" t="str">
        <f>IFERROR(IF(SUMIFS(tblDaily[MalariaCases],tblDaily[EntryDate],DATE(2026,6,28),tblDaily[WardCode],"BH")=0,"",SUMIFS(tblDaily[MalariaCases],tblDaily[EntryDate],DATE(2026,6,28),tblDaily[WardCode],"BH")),"")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  <c r="I230" s="5" t="str">
        <f>IFERROR(IF(SUMIFS(tblDaily[MalariaCases],tblDaily[EntryDate],DATE(2026,6,29),tblDaily[WardCode],"BH")=0,"",SUMIFS(tblDaily[MalariaCases],tblDaily[EntryDate],DATE(2026,6,29),tblDaily[WardCode],"BH")),"")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  <c r="I231" s="5" t="str">
        <f>IFERROR(IF(SUMIFS(tblDaily[MalariaCases],tblDaily[EntryDate],DATE(2026,6,30),tblDaily[WardCode],"BH")=0,"",SUMIFS(tblDaily[MalariaCases],tblDaily[EntryDate],DATE(2026,6,30),tblDaily[WardCode],"BH")),"")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99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IFERROR(SUMIFS(tblDaily[Remaining],tblDaily[EntryDate],DATE(2026,6,30),tblDaily[WardCode],"BH"),0)</f>
        <v>0</v>
      </c>
    </row>
    <row r="239" spans="1:9" x14ac:dyDescent="0.25">
      <c r="A239" s="1" t="s">
        <v>87</v>
      </c>
      <c r="H239" s="7">
        <f>IFERROR(INDEX(tblWardConfig[BedComplement],MATCH("BH",tblWardConfig[Export Year-End],0)),0)</f>
        <v>22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  <c r="I241" s="5" t="str">
        <f>IFERROR(IF(SUMIFS(tblDaily[MalariaCases],tblDaily[EntryDate],DATE(2026,7,1),tblDaily[WardCode],"BH")=0,"",SUMIFS(tblDaily[MalariaCases],tblDaily[EntryDate],DATE(2026,7,1),tblDaily[WardCode],"BH")),"")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  <c r="I242" s="5" t="str">
        <f>IFERROR(IF(SUMIFS(tblDaily[MalariaCases],tblDaily[EntryDate],DATE(2026,7,2),tblDaily[WardCode],"BH")=0,"",SUMIFS(tblDaily[MalariaCases],tblDaily[EntryDate],DATE(2026,7,2),tblDaily[WardCode],"BH")),"")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  <c r="I243" s="5" t="str">
        <f>IFERROR(IF(SUMIFS(tblDaily[MalariaCases],tblDaily[EntryDate],DATE(2026,7,3),tblDaily[WardCode],"BH")=0,"",SUMIFS(tblDaily[MalariaCases],tblDaily[EntryDate],DATE(2026,7,3),tblDaily[WardCode],"BH")),"")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  <c r="I244" s="5" t="str">
        <f>IFERROR(IF(SUMIFS(tblDaily[MalariaCases],tblDaily[EntryDate],DATE(2026,7,4),tblDaily[WardCode],"BH")=0,"",SUMIFS(tblDaily[MalariaCases],tblDaily[EntryDate],DATE(2026,7,4),tblDaily[WardCode],"BH")),"")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  <c r="I245" s="5" t="str">
        <f>IFERROR(IF(SUMIFS(tblDaily[MalariaCases],tblDaily[EntryDate],DATE(2026,7,5),tblDaily[WardCode],"BH")=0,"",SUMIFS(tblDaily[MalariaCases],tblDaily[EntryDate],DATE(2026,7,5),tblDaily[WardCode],"BH")),"")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  <c r="I246" s="5" t="str">
        <f>IFERROR(IF(SUMIFS(tblDaily[MalariaCases],tblDaily[EntryDate],DATE(2026,7,6),tblDaily[WardCode],"BH")=0,"",SUMIFS(tblDaily[MalariaCases],tblDaily[EntryDate],DATE(2026,7,6),tblDaily[WardCode],"BH")),"")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  <c r="I247" s="5" t="str">
        <f>IFERROR(IF(SUMIFS(tblDaily[MalariaCases],tblDaily[EntryDate],DATE(2026,7,7),tblDaily[WardCode],"BH")=0,"",SUMIFS(tblDaily[MalariaCases],tblDaily[EntryDate],DATE(2026,7,7),tblDaily[WardCode],"BH")),"")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  <c r="I248" s="5" t="str">
        <f>IFERROR(IF(SUMIFS(tblDaily[MalariaCases],tblDaily[EntryDate],DATE(2026,7,8),tblDaily[WardCode],"BH")=0,"",SUMIFS(tblDaily[MalariaCases],tblDaily[EntryDate],DATE(2026,7,8),tblDaily[WardCode],"BH")),"")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  <c r="I249" s="5" t="str">
        <f>IFERROR(IF(SUMIFS(tblDaily[MalariaCases],tblDaily[EntryDate],DATE(2026,7,9),tblDaily[WardCode],"BH")=0,"",SUMIFS(tblDaily[MalariaCases],tblDaily[EntryDate],DATE(2026,7,9),tblDaily[WardCode],"BH")),"")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  <c r="I250" s="5" t="str">
        <f>IFERROR(IF(SUMIFS(tblDaily[MalariaCases],tblDaily[EntryDate],DATE(2026,7,10),tblDaily[WardCode],"BH")=0,"",SUMIFS(tblDaily[MalariaCases],tblDaily[EntryDate],DATE(2026,7,10),tblDaily[WardCode],"BH")),"")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  <c r="I251" s="5" t="str">
        <f>IFERROR(IF(SUMIFS(tblDaily[MalariaCases],tblDaily[EntryDate],DATE(2026,7,11),tblDaily[WardCode],"BH")=0,"",SUMIFS(tblDaily[MalariaCases],tblDaily[EntryDate],DATE(2026,7,11),tblDaily[WardCode],"BH")),"")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  <c r="I252" s="5" t="str">
        <f>IFERROR(IF(SUMIFS(tblDaily[MalariaCases],tblDaily[EntryDate],DATE(2026,7,12),tblDaily[WardCode],"BH")=0,"",SUMIFS(tblDaily[MalariaCases],tblDaily[EntryDate],DATE(2026,7,12),tblDaily[WardCode],"BH")),"")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  <c r="I253" s="5" t="str">
        <f>IFERROR(IF(SUMIFS(tblDaily[MalariaCases],tblDaily[EntryDate],DATE(2026,7,13),tblDaily[WardCode],"BH")=0,"",SUMIFS(tblDaily[MalariaCases],tblDaily[EntryDate],DATE(2026,7,13),tblDaily[WardCode],"BH")),"")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  <c r="I254" s="5" t="str">
        <f>IFERROR(IF(SUMIFS(tblDaily[MalariaCases],tblDaily[EntryDate],DATE(2026,7,14),tblDaily[WardCode],"BH")=0,"",SUMIFS(tblDaily[MalariaCases],tblDaily[EntryDate],DATE(2026,7,14),tblDaily[WardCode],"BH")),"")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  <c r="I255" s="5" t="str">
        <f>IFERROR(IF(SUMIFS(tblDaily[MalariaCases],tblDaily[EntryDate],DATE(2026,7,15),tblDaily[WardCode],"BH")=0,"",SUMIFS(tblDaily[MalariaCases],tblDaily[EntryDate],DATE(2026,7,15),tblDaily[WardCode],"BH")),"")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  <c r="I256" s="5" t="str">
        <f>IFERROR(IF(SUMIFS(tblDaily[MalariaCases],tblDaily[EntryDate],DATE(2026,7,16),tblDaily[WardCode],"BH")=0,"",SUMIFS(tblDaily[MalariaCases],tblDaily[EntryDate],DATE(2026,7,16),tblDaily[WardCode],"BH")),"")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  <c r="I257" s="5" t="str">
        <f>IFERROR(IF(SUMIFS(tblDaily[MalariaCases],tblDaily[EntryDate],DATE(2026,7,17),tblDaily[WardCode],"BH")=0,"",SUMIFS(tblDaily[MalariaCases],tblDaily[EntryDate],DATE(2026,7,17),tblDaily[WardCode],"BH")),"")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  <c r="I258" s="5" t="str">
        <f>IFERROR(IF(SUMIFS(tblDaily[MalariaCases],tblDaily[EntryDate],DATE(2026,7,18),tblDaily[WardCode],"BH")=0,"",SUMIFS(tblDaily[MalariaCases],tblDaily[EntryDate],DATE(2026,7,18),tblDaily[WardCode],"BH")),"")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  <c r="I259" s="5" t="str">
        <f>IFERROR(IF(SUMIFS(tblDaily[MalariaCases],tblDaily[EntryDate],DATE(2026,7,19),tblDaily[WardCode],"BH")=0,"",SUMIFS(tblDaily[MalariaCases],tblDaily[EntryDate],DATE(2026,7,19),tblDaily[WardCode],"BH")),"")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  <c r="I260" s="5" t="str">
        <f>IFERROR(IF(SUMIFS(tblDaily[MalariaCases],tblDaily[EntryDate],DATE(2026,7,20),tblDaily[WardCode],"BH")=0,"",SUMIFS(tblDaily[MalariaCases],tblDaily[EntryDate],DATE(2026,7,20),tblDaily[WardCode],"BH")),"")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  <c r="I261" s="5" t="str">
        <f>IFERROR(IF(SUMIFS(tblDaily[MalariaCases],tblDaily[EntryDate],DATE(2026,7,21),tblDaily[WardCode],"BH")=0,"",SUMIFS(tblDaily[MalariaCases],tblDaily[EntryDate],DATE(2026,7,21),tblDaily[WardCode],"BH")),"")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  <c r="I262" s="5" t="str">
        <f>IFERROR(IF(SUMIFS(tblDaily[MalariaCases],tblDaily[EntryDate],DATE(2026,7,22),tblDaily[WardCode],"BH")=0,"",SUMIFS(tblDaily[MalariaCases],tblDaily[EntryDate],DATE(2026,7,22),tblDaily[WardCode],"BH")),"")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  <c r="I263" s="5" t="str">
        <f>IFERROR(IF(SUMIFS(tblDaily[MalariaCases],tblDaily[EntryDate],DATE(2026,7,23),tblDaily[WardCode],"BH")=0,"",SUMIFS(tblDaily[MalariaCases],tblDaily[EntryDate],DATE(2026,7,23),tblDaily[WardCode],"BH")),"")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  <c r="I264" s="5" t="str">
        <f>IFERROR(IF(SUMIFS(tblDaily[MalariaCases],tblDaily[EntryDate],DATE(2026,7,24),tblDaily[WardCode],"BH")=0,"",SUMIFS(tblDaily[MalariaCases],tblDaily[EntryDate],DATE(2026,7,24),tblDaily[WardCode],"BH")),"")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  <c r="I265" s="5" t="str">
        <f>IFERROR(IF(SUMIFS(tblDaily[MalariaCases],tblDaily[EntryDate],DATE(2026,7,25),tblDaily[WardCode],"BH")=0,"",SUMIFS(tblDaily[MalariaCases],tblDaily[EntryDate],DATE(2026,7,25),tblDaily[WardCode],"BH")),"")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  <c r="I266" s="5" t="str">
        <f>IFERROR(IF(SUMIFS(tblDaily[MalariaCases],tblDaily[EntryDate],DATE(2026,7,26),tblDaily[WardCode],"BH")=0,"",SUMIFS(tblDaily[MalariaCases],tblDaily[EntryDate],DATE(2026,7,26),tblDaily[WardCode],"BH")),"")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  <c r="I267" s="5" t="str">
        <f>IFERROR(IF(SUMIFS(tblDaily[MalariaCases],tblDaily[EntryDate],DATE(2026,7,27),tblDaily[WardCode],"BH")=0,"",SUMIFS(tblDaily[MalariaCases],tblDaily[EntryDate],DATE(2026,7,27),tblDaily[WardCode],"BH")),"")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  <c r="I268" s="5" t="str">
        <f>IFERROR(IF(SUMIFS(tblDaily[MalariaCases],tblDaily[EntryDate],DATE(2026,7,28),tblDaily[WardCode],"BH")=0,"",SUMIFS(tblDaily[MalariaCases],tblDaily[EntryDate],DATE(2026,7,28),tblDaily[WardCode],"BH")),"")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  <c r="I269" s="5" t="str">
        <f>IFERROR(IF(SUMIFS(tblDaily[MalariaCases],tblDaily[EntryDate],DATE(2026,7,29),tblDaily[WardCode],"BH")=0,"",SUMIFS(tblDaily[MalariaCases],tblDaily[EntryDate],DATE(2026,7,29),tblDaily[WardCode],"BH")),"")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  <c r="I270" s="5" t="str">
        <f>IFERROR(IF(SUMIFS(tblDaily[MalariaCases],tblDaily[EntryDate],DATE(2026,7,30),tblDaily[WardCode],"BH")=0,"",SUMIFS(tblDaily[MalariaCases],tblDaily[EntryDate],DATE(2026,7,30),tblDaily[WardCode],"BH")),"")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  <c r="I271" s="5" t="str">
        <f>IFERROR(IF(SUMIFS(tblDaily[MalariaCases],tblDaily[EntryDate],DATE(2026,7,31),tblDaily[WardCode],"BH")=0,"",SUMIFS(tblDaily[MalariaCases],tblDaily[EntryDate],DATE(2026,7,31),tblDaily[WardCode],"BH")),"")</f>
        <v/>
      </c>
    </row>
    <row r="272" spans="1:9" x14ac:dyDescent="0.25">
      <c r="A272" s="9" t="s">
        <v>94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99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IFERROR(SUMIFS(tblDaily[Remaining],tblDaily[EntryDate],DATE(2026,7,31),tblDaily[WardCode],"BH"),0)</f>
        <v>0</v>
      </c>
    </row>
    <row r="278" spans="1:9" x14ac:dyDescent="0.25">
      <c r="A278" s="1" t="s">
        <v>87</v>
      </c>
      <c r="H278" s="7">
        <f>IFERROR(INDEX(tblWardConfig[BedComplement],MATCH("BH",tblWardConfig[Export Year-End],0)),0)</f>
        <v>22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  <c r="I280" s="5" t="str">
        <f>IFERROR(IF(SUMIFS(tblDaily[MalariaCases],tblDaily[EntryDate],DATE(2026,8,1),tblDaily[WardCode],"BH")=0,"",SUMIFS(tblDaily[MalariaCases],tblDaily[EntryDate],DATE(2026,8,1),tblDaily[WardCode],"BH")),"")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  <c r="I281" s="5" t="str">
        <f>IFERROR(IF(SUMIFS(tblDaily[MalariaCases],tblDaily[EntryDate],DATE(2026,8,2),tblDaily[WardCode],"BH")=0,"",SUMIFS(tblDaily[MalariaCases],tblDaily[EntryDate],DATE(2026,8,2),tblDaily[WardCode],"BH")),"")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  <c r="I282" s="5" t="str">
        <f>IFERROR(IF(SUMIFS(tblDaily[MalariaCases],tblDaily[EntryDate],DATE(2026,8,3),tblDaily[WardCode],"BH")=0,"",SUMIFS(tblDaily[MalariaCases],tblDaily[EntryDate],DATE(2026,8,3),tblDaily[WardCode],"BH")),"")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  <c r="I283" s="5" t="str">
        <f>IFERROR(IF(SUMIFS(tblDaily[MalariaCases],tblDaily[EntryDate],DATE(2026,8,4),tblDaily[WardCode],"BH")=0,"",SUMIFS(tblDaily[MalariaCases],tblDaily[EntryDate],DATE(2026,8,4),tblDaily[WardCode],"BH")),"")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  <c r="I284" s="5" t="str">
        <f>IFERROR(IF(SUMIFS(tblDaily[MalariaCases],tblDaily[EntryDate],DATE(2026,8,5),tblDaily[WardCode],"BH")=0,"",SUMIFS(tblDaily[MalariaCases],tblDaily[EntryDate],DATE(2026,8,5),tblDaily[WardCode],"BH")),"")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  <c r="I285" s="5" t="str">
        <f>IFERROR(IF(SUMIFS(tblDaily[MalariaCases],tblDaily[EntryDate],DATE(2026,8,6),tblDaily[WardCode],"BH")=0,"",SUMIFS(tblDaily[MalariaCases],tblDaily[EntryDate],DATE(2026,8,6),tblDaily[WardCode],"BH")),"")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  <c r="I286" s="5" t="str">
        <f>IFERROR(IF(SUMIFS(tblDaily[MalariaCases],tblDaily[EntryDate],DATE(2026,8,7),tblDaily[WardCode],"BH")=0,"",SUMIFS(tblDaily[MalariaCases],tblDaily[EntryDate],DATE(2026,8,7),tblDaily[WardCode],"BH")),"")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  <c r="I287" s="5" t="str">
        <f>IFERROR(IF(SUMIFS(tblDaily[MalariaCases],tblDaily[EntryDate],DATE(2026,8,8),tblDaily[WardCode],"BH")=0,"",SUMIFS(tblDaily[MalariaCases],tblDaily[EntryDate],DATE(2026,8,8),tblDaily[WardCode],"BH")),"")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  <c r="I288" s="5" t="str">
        <f>IFERROR(IF(SUMIFS(tblDaily[MalariaCases],tblDaily[EntryDate],DATE(2026,8,9),tblDaily[WardCode],"BH")=0,"",SUMIFS(tblDaily[MalariaCases],tblDaily[EntryDate],DATE(2026,8,9),tblDaily[WardCode],"BH")),"")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  <c r="I289" s="5" t="str">
        <f>IFERROR(IF(SUMIFS(tblDaily[MalariaCases],tblDaily[EntryDate],DATE(2026,8,10),tblDaily[WardCode],"BH")=0,"",SUMIFS(tblDaily[MalariaCases],tblDaily[EntryDate],DATE(2026,8,10),tblDaily[WardCode],"BH")),"")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  <c r="I290" s="5" t="str">
        <f>IFERROR(IF(SUMIFS(tblDaily[MalariaCases],tblDaily[EntryDate],DATE(2026,8,11),tblDaily[WardCode],"BH")=0,"",SUMIFS(tblDaily[MalariaCases],tblDaily[EntryDate],DATE(2026,8,11),tblDaily[WardCode],"BH")),"")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  <c r="I291" s="5" t="str">
        <f>IFERROR(IF(SUMIFS(tblDaily[MalariaCases],tblDaily[EntryDate],DATE(2026,8,12),tblDaily[WardCode],"BH")=0,"",SUMIFS(tblDaily[MalariaCases],tblDaily[EntryDate],DATE(2026,8,12),tblDaily[WardCode],"BH")),"")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  <c r="I292" s="5" t="str">
        <f>IFERROR(IF(SUMIFS(tblDaily[MalariaCases],tblDaily[EntryDate],DATE(2026,8,13),tblDaily[WardCode],"BH")=0,"",SUMIFS(tblDaily[MalariaCases],tblDaily[EntryDate],DATE(2026,8,13),tblDaily[WardCode],"BH")),"")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  <c r="I293" s="5" t="str">
        <f>IFERROR(IF(SUMIFS(tblDaily[MalariaCases],tblDaily[EntryDate],DATE(2026,8,14),tblDaily[WardCode],"BH")=0,"",SUMIFS(tblDaily[MalariaCases],tblDaily[EntryDate],DATE(2026,8,14),tblDaily[WardCode],"BH")),"")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  <c r="I294" s="5" t="str">
        <f>IFERROR(IF(SUMIFS(tblDaily[MalariaCases],tblDaily[EntryDate],DATE(2026,8,15),tblDaily[WardCode],"BH")=0,"",SUMIFS(tblDaily[MalariaCases],tblDaily[EntryDate],DATE(2026,8,15),tblDaily[WardCode],"BH")),"")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  <c r="I295" s="5" t="str">
        <f>IFERROR(IF(SUMIFS(tblDaily[MalariaCases],tblDaily[EntryDate],DATE(2026,8,16),tblDaily[WardCode],"BH")=0,"",SUMIFS(tblDaily[MalariaCases],tblDaily[EntryDate],DATE(2026,8,16),tblDaily[WardCode],"BH")),"")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  <c r="I296" s="5" t="str">
        <f>IFERROR(IF(SUMIFS(tblDaily[MalariaCases],tblDaily[EntryDate],DATE(2026,8,17),tblDaily[WardCode],"BH")=0,"",SUMIFS(tblDaily[MalariaCases],tblDaily[EntryDate],DATE(2026,8,17),tblDaily[WardCode],"BH")),"")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  <c r="I297" s="5" t="str">
        <f>IFERROR(IF(SUMIFS(tblDaily[MalariaCases],tblDaily[EntryDate],DATE(2026,8,18),tblDaily[WardCode],"BH")=0,"",SUMIFS(tblDaily[MalariaCases],tblDaily[EntryDate],DATE(2026,8,18),tblDaily[WardCode],"BH")),"")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  <c r="I298" s="5" t="str">
        <f>IFERROR(IF(SUMIFS(tblDaily[MalariaCases],tblDaily[EntryDate],DATE(2026,8,19),tblDaily[WardCode],"BH")=0,"",SUMIFS(tblDaily[MalariaCases],tblDaily[EntryDate],DATE(2026,8,19),tblDaily[WardCode],"BH")),"")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  <c r="I299" s="5" t="str">
        <f>IFERROR(IF(SUMIFS(tblDaily[MalariaCases],tblDaily[EntryDate],DATE(2026,8,20),tblDaily[WardCode],"BH")=0,"",SUMIFS(tblDaily[MalariaCases],tblDaily[EntryDate],DATE(2026,8,20),tblDaily[WardCode],"BH")),"")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  <c r="I300" s="5" t="str">
        <f>IFERROR(IF(SUMIFS(tblDaily[MalariaCases],tblDaily[EntryDate],DATE(2026,8,21),tblDaily[WardCode],"BH")=0,"",SUMIFS(tblDaily[MalariaCases],tblDaily[EntryDate],DATE(2026,8,21),tblDaily[WardCode],"BH")),"")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  <c r="I301" s="5" t="str">
        <f>IFERROR(IF(SUMIFS(tblDaily[MalariaCases],tblDaily[EntryDate],DATE(2026,8,22),tblDaily[WardCode],"BH")=0,"",SUMIFS(tblDaily[MalariaCases],tblDaily[EntryDate],DATE(2026,8,22),tblDaily[WardCode],"BH")),"")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  <c r="I302" s="5" t="str">
        <f>IFERROR(IF(SUMIFS(tblDaily[MalariaCases],tblDaily[EntryDate],DATE(2026,8,23),tblDaily[WardCode],"BH")=0,"",SUMIFS(tblDaily[MalariaCases],tblDaily[EntryDate],DATE(2026,8,23),tblDaily[WardCode],"BH")),"")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  <c r="I303" s="5" t="str">
        <f>IFERROR(IF(SUMIFS(tblDaily[MalariaCases],tblDaily[EntryDate],DATE(2026,8,24),tblDaily[WardCode],"BH")=0,"",SUMIFS(tblDaily[MalariaCases],tblDaily[EntryDate],DATE(2026,8,24),tblDaily[WardCode],"BH")),"")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  <c r="I304" s="5" t="str">
        <f>IFERROR(IF(SUMIFS(tblDaily[MalariaCases],tblDaily[EntryDate],DATE(2026,8,25),tblDaily[WardCode],"BH")=0,"",SUMIFS(tblDaily[MalariaCases],tblDaily[EntryDate],DATE(2026,8,25),tblDaily[WardCode],"BH")),"")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  <c r="I305" s="5" t="str">
        <f>IFERROR(IF(SUMIFS(tblDaily[MalariaCases],tblDaily[EntryDate],DATE(2026,8,26),tblDaily[WardCode],"BH")=0,"",SUMIFS(tblDaily[MalariaCases],tblDaily[EntryDate],DATE(2026,8,26),tblDaily[WardCode],"BH")),"")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  <c r="I306" s="5" t="str">
        <f>IFERROR(IF(SUMIFS(tblDaily[MalariaCases],tblDaily[EntryDate],DATE(2026,8,27),tblDaily[WardCode],"BH")=0,"",SUMIFS(tblDaily[MalariaCases],tblDaily[EntryDate],DATE(2026,8,27),tblDaily[WardCode],"BH")),"")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  <c r="I307" s="5" t="str">
        <f>IFERROR(IF(SUMIFS(tblDaily[MalariaCases],tblDaily[EntryDate],DATE(2026,8,28),tblDaily[WardCode],"BH")=0,"",SUMIFS(tblDaily[MalariaCases],tblDaily[EntryDate],DATE(2026,8,28),tblDaily[WardCode],"BH")),"")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  <c r="I308" s="5" t="str">
        <f>IFERROR(IF(SUMIFS(tblDaily[MalariaCases],tblDaily[EntryDate],DATE(2026,8,29),tblDaily[WardCode],"BH")=0,"",SUMIFS(tblDaily[MalariaCases],tblDaily[EntryDate],DATE(2026,8,29),tblDaily[WardCode],"BH")),"")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  <c r="I309" s="5" t="str">
        <f>IFERROR(IF(SUMIFS(tblDaily[MalariaCases],tblDaily[EntryDate],DATE(2026,8,30),tblDaily[WardCode],"BH")=0,"",SUMIFS(tblDaily[MalariaCases],tblDaily[EntryDate],DATE(2026,8,30),tblDaily[WardCode],"BH")),"")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  <c r="I310" s="5" t="str">
        <f>IFERROR(IF(SUMIFS(tblDaily[MalariaCases],tblDaily[EntryDate],DATE(2026,8,31),tblDaily[WardCode],"BH")=0,"",SUMIFS(tblDaily[MalariaCases],tblDaily[EntryDate],DATE(2026,8,31),tblDaily[WardCode],"BH")),"")</f>
        <v/>
      </c>
    </row>
    <row r="311" spans="1:9" x14ac:dyDescent="0.25">
      <c r="A311" s="9" t="s">
        <v>94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99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IFERROR(SUMIFS(tblDaily[Remaining],tblDaily[EntryDate],DATE(2026,8,31),tblDaily[WardCode],"BH"),0)</f>
        <v>0</v>
      </c>
    </row>
    <row r="317" spans="1:9" x14ac:dyDescent="0.25">
      <c r="A317" s="1" t="s">
        <v>87</v>
      </c>
      <c r="H317" s="7">
        <f>IFERROR(INDEX(tblWardConfig[BedComplement],MATCH("BH",tblWardConfig[Export Year-End],0)),0)</f>
        <v>22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  <c r="I319" s="5" t="str">
        <f>IFERROR(IF(SUMIFS(tblDaily[MalariaCases],tblDaily[EntryDate],DATE(2026,9,1),tblDaily[WardCode],"BH")=0,"",SUMIFS(tblDaily[MalariaCases],tblDaily[EntryDate],DATE(2026,9,1),tblDaily[WardCode],"BH")),"")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  <c r="I320" s="5" t="str">
        <f>IFERROR(IF(SUMIFS(tblDaily[MalariaCases],tblDaily[EntryDate],DATE(2026,9,2),tblDaily[WardCode],"BH")=0,"",SUMIFS(tblDaily[MalariaCases],tblDaily[EntryDate],DATE(2026,9,2),tblDaily[WardCode],"BH")),"")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  <c r="I321" s="5" t="str">
        <f>IFERROR(IF(SUMIFS(tblDaily[MalariaCases],tblDaily[EntryDate],DATE(2026,9,3),tblDaily[WardCode],"BH")=0,"",SUMIFS(tblDaily[MalariaCases],tblDaily[EntryDate],DATE(2026,9,3),tblDaily[WardCode],"BH")),"")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  <c r="I322" s="5" t="str">
        <f>IFERROR(IF(SUMIFS(tblDaily[MalariaCases],tblDaily[EntryDate],DATE(2026,9,4),tblDaily[WardCode],"BH")=0,"",SUMIFS(tblDaily[MalariaCases],tblDaily[EntryDate],DATE(2026,9,4),tblDaily[WardCode],"BH")),"")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  <c r="I323" s="5" t="str">
        <f>IFERROR(IF(SUMIFS(tblDaily[MalariaCases],tblDaily[EntryDate],DATE(2026,9,5),tblDaily[WardCode],"BH")=0,"",SUMIFS(tblDaily[MalariaCases],tblDaily[EntryDate],DATE(2026,9,5),tblDaily[WardCode],"BH")),"")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  <c r="I324" s="5" t="str">
        <f>IFERROR(IF(SUMIFS(tblDaily[MalariaCases],tblDaily[EntryDate],DATE(2026,9,6),tblDaily[WardCode],"BH")=0,"",SUMIFS(tblDaily[MalariaCases],tblDaily[EntryDate],DATE(2026,9,6),tblDaily[WardCode],"BH")),"")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  <c r="I325" s="5" t="str">
        <f>IFERROR(IF(SUMIFS(tblDaily[MalariaCases],tblDaily[EntryDate],DATE(2026,9,7),tblDaily[WardCode],"BH")=0,"",SUMIFS(tblDaily[MalariaCases],tblDaily[EntryDate],DATE(2026,9,7),tblDaily[WardCode],"BH")),"")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  <c r="I326" s="5" t="str">
        <f>IFERROR(IF(SUMIFS(tblDaily[MalariaCases],tblDaily[EntryDate],DATE(2026,9,8),tblDaily[WardCode],"BH")=0,"",SUMIFS(tblDaily[MalariaCases],tblDaily[EntryDate],DATE(2026,9,8),tblDaily[WardCode],"BH")),"")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  <c r="I327" s="5" t="str">
        <f>IFERROR(IF(SUMIFS(tblDaily[MalariaCases],tblDaily[EntryDate],DATE(2026,9,9),tblDaily[WardCode],"BH")=0,"",SUMIFS(tblDaily[MalariaCases],tblDaily[EntryDate],DATE(2026,9,9),tblDaily[WardCode],"BH")),"")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  <c r="I328" s="5" t="str">
        <f>IFERROR(IF(SUMIFS(tblDaily[MalariaCases],tblDaily[EntryDate],DATE(2026,9,10),tblDaily[WardCode],"BH")=0,"",SUMIFS(tblDaily[MalariaCases],tblDaily[EntryDate],DATE(2026,9,10),tblDaily[WardCode],"BH")),"")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  <c r="I329" s="5" t="str">
        <f>IFERROR(IF(SUMIFS(tblDaily[MalariaCases],tblDaily[EntryDate],DATE(2026,9,11),tblDaily[WardCode],"BH")=0,"",SUMIFS(tblDaily[MalariaCases],tblDaily[EntryDate],DATE(2026,9,11),tblDaily[WardCode],"BH")),"")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  <c r="I330" s="5" t="str">
        <f>IFERROR(IF(SUMIFS(tblDaily[MalariaCases],tblDaily[EntryDate],DATE(2026,9,12),tblDaily[WardCode],"BH")=0,"",SUMIFS(tblDaily[MalariaCases],tblDaily[EntryDate],DATE(2026,9,12),tblDaily[WardCode],"BH")),"")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  <c r="I331" s="5" t="str">
        <f>IFERROR(IF(SUMIFS(tblDaily[MalariaCases],tblDaily[EntryDate],DATE(2026,9,13),tblDaily[WardCode],"BH")=0,"",SUMIFS(tblDaily[MalariaCases],tblDaily[EntryDate],DATE(2026,9,13),tblDaily[WardCode],"BH")),"")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  <c r="I332" s="5" t="str">
        <f>IFERROR(IF(SUMIFS(tblDaily[MalariaCases],tblDaily[EntryDate],DATE(2026,9,14),tblDaily[WardCode],"BH")=0,"",SUMIFS(tblDaily[MalariaCases],tblDaily[EntryDate],DATE(2026,9,14),tblDaily[WardCode],"BH")),"")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  <c r="I333" s="5" t="str">
        <f>IFERROR(IF(SUMIFS(tblDaily[MalariaCases],tblDaily[EntryDate],DATE(2026,9,15),tblDaily[WardCode],"BH")=0,"",SUMIFS(tblDaily[MalariaCases],tblDaily[EntryDate],DATE(2026,9,15),tblDaily[WardCode],"BH")),"")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  <c r="I334" s="5" t="str">
        <f>IFERROR(IF(SUMIFS(tblDaily[MalariaCases],tblDaily[EntryDate],DATE(2026,9,16),tblDaily[WardCode],"BH")=0,"",SUMIFS(tblDaily[MalariaCases],tblDaily[EntryDate],DATE(2026,9,16),tblDaily[WardCode],"BH")),"")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  <c r="I335" s="5" t="str">
        <f>IFERROR(IF(SUMIFS(tblDaily[MalariaCases],tblDaily[EntryDate],DATE(2026,9,17),tblDaily[WardCode],"BH")=0,"",SUMIFS(tblDaily[MalariaCases],tblDaily[EntryDate],DATE(2026,9,17),tblDaily[WardCode],"BH")),"")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  <c r="I336" s="5" t="str">
        <f>IFERROR(IF(SUMIFS(tblDaily[MalariaCases],tblDaily[EntryDate],DATE(2026,9,18),tblDaily[WardCode],"BH")=0,"",SUMIFS(tblDaily[MalariaCases],tblDaily[EntryDate],DATE(2026,9,18),tblDaily[WardCode],"BH")),"")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  <c r="I337" s="5" t="str">
        <f>IFERROR(IF(SUMIFS(tblDaily[MalariaCases],tblDaily[EntryDate],DATE(2026,9,19),tblDaily[WardCode],"BH")=0,"",SUMIFS(tblDaily[MalariaCases],tblDaily[EntryDate],DATE(2026,9,19),tblDaily[WardCode],"BH")),"")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  <c r="I338" s="5" t="str">
        <f>IFERROR(IF(SUMIFS(tblDaily[MalariaCases],tblDaily[EntryDate],DATE(2026,9,20),tblDaily[WardCode],"BH")=0,"",SUMIFS(tblDaily[MalariaCases],tblDaily[EntryDate],DATE(2026,9,20),tblDaily[WardCode],"BH")),"")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  <c r="I339" s="5" t="str">
        <f>IFERROR(IF(SUMIFS(tblDaily[MalariaCases],tblDaily[EntryDate],DATE(2026,9,21),tblDaily[WardCode],"BH")=0,"",SUMIFS(tblDaily[MalariaCases],tblDaily[EntryDate],DATE(2026,9,21),tblDaily[WardCode],"BH")),"")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  <c r="I340" s="5" t="str">
        <f>IFERROR(IF(SUMIFS(tblDaily[MalariaCases],tblDaily[EntryDate],DATE(2026,9,22),tblDaily[WardCode],"BH")=0,"",SUMIFS(tblDaily[MalariaCases],tblDaily[EntryDate],DATE(2026,9,22),tblDaily[WardCode],"BH")),"")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  <c r="I341" s="5" t="str">
        <f>IFERROR(IF(SUMIFS(tblDaily[MalariaCases],tblDaily[EntryDate],DATE(2026,9,23),tblDaily[WardCode],"BH")=0,"",SUMIFS(tblDaily[MalariaCases],tblDaily[EntryDate],DATE(2026,9,23),tblDaily[WardCode],"BH")),"")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  <c r="I342" s="5" t="str">
        <f>IFERROR(IF(SUMIFS(tblDaily[MalariaCases],tblDaily[EntryDate],DATE(2026,9,24),tblDaily[WardCode],"BH")=0,"",SUMIFS(tblDaily[MalariaCases],tblDaily[EntryDate],DATE(2026,9,24),tblDaily[WardCode],"BH")),"")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  <c r="I343" s="5" t="str">
        <f>IFERROR(IF(SUMIFS(tblDaily[MalariaCases],tblDaily[EntryDate],DATE(2026,9,25),tblDaily[WardCode],"BH")=0,"",SUMIFS(tblDaily[MalariaCases],tblDaily[EntryDate],DATE(2026,9,25),tblDaily[WardCode],"BH")),"")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  <c r="I344" s="5" t="str">
        <f>IFERROR(IF(SUMIFS(tblDaily[MalariaCases],tblDaily[EntryDate],DATE(2026,9,26),tblDaily[WardCode],"BH")=0,"",SUMIFS(tblDaily[MalariaCases],tblDaily[EntryDate],DATE(2026,9,26),tblDaily[WardCode],"BH")),"")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  <c r="I345" s="5" t="str">
        <f>IFERROR(IF(SUMIFS(tblDaily[MalariaCases],tblDaily[EntryDate],DATE(2026,9,27),tblDaily[WardCode],"BH")=0,"",SUMIFS(tblDaily[MalariaCases],tblDaily[EntryDate],DATE(2026,9,27),tblDaily[WardCode],"BH")),"")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  <c r="I346" s="5" t="str">
        <f>IFERROR(IF(SUMIFS(tblDaily[MalariaCases],tblDaily[EntryDate],DATE(2026,9,28),tblDaily[WardCode],"BH")=0,"",SUMIFS(tblDaily[MalariaCases],tblDaily[EntryDate],DATE(2026,9,28),tblDaily[WardCode],"BH")),"")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  <c r="I347" s="5" t="str">
        <f>IFERROR(IF(SUMIFS(tblDaily[MalariaCases],tblDaily[EntryDate],DATE(2026,9,29),tblDaily[WardCode],"BH")=0,"",SUMIFS(tblDaily[MalariaCases],tblDaily[EntryDate],DATE(2026,9,29),tblDaily[WardCode],"BH")),"")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  <c r="I348" s="5" t="str">
        <f>IFERROR(IF(SUMIFS(tblDaily[MalariaCases],tblDaily[EntryDate],DATE(2026,9,30),tblDaily[WardCode],"BH")=0,"",SUMIFS(tblDaily[MalariaCases],tblDaily[EntryDate],DATE(2026,9,30),tblDaily[WardCode],"BH")),"")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99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IFERROR(SUMIFS(tblDaily[Remaining],tblDaily[EntryDate],DATE(2026,9,30),tblDaily[WardCode],"BH"),0)</f>
        <v>0</v>
      </c>
    </row>
    <row r="356" spans="1:9" x14ac:dyDescent="0.25">
      <c r="A356" s="1" t="s">
        <v>87</v>
      </c>
      <c r="H356" s="7">
        <f>IFERROR(INDEX(tblWardConfig[BedComplement],MATCH("BH",tblWardConfig[Export Year-End],0)),0)</f>
        <v>22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  <c r="I358" s="5" t="str">
        <f>IFERROR(IF(SUMIFS(tblDaily[MalariaCases],tblDaily[EntryDate],DATE(2026,10,1),tblDaily[WardCode],"BH")=0,"",SUMIFS(tblDaily[MalariaCases],tblDaily[EntryDate],DATE(2026,10,1),tblDaily[WardCode],"BH")),"")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  <c r="I359" s="5" t="str">
        <f>IFERROR(IF(SUMIFS(tblDaily[MalariaCases],tblDaily[EntryDate],DATE(2026,10,2),tblDaily[WardCode],"BH")=0,"",SUMIFS(tblDaily[MalariaCases],tblDaily[EntryDate],DATE(2026,10,2),tblDaily[WardCode],"BH")),"")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  <c r="I360" s="5" t="str">
        <f>IFERROR(IF(SUMIFS(tblDaily[MalariaCases],tblDaily[EntryDate],DATE(2026,10,3),tblDaily[WardCode],"BH")=0,"",SUMIFS(tblDaily[MalariaCases],tblDaily[EntryDate],DATE(2026,10,3),tblDaily[WardCode],"BH")),"")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  <c r="I361" s="5" t="str">
        <f>IFERROR(IF(SUMIFS(tblDaily[MalariaCases],tblDaily[EntryDate],DATE(2026,10,4),tblDaily[WardCode],"BH")=0,"",SUMIFS(tblDaily[MalariaCases],tblDaily[EntryDate],DATE(2026,10,4),tblDaily[WardCode],"BH")),"")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  <c r="I362" s="5" t="str">
        <f>IFERROR(IF(SUMIFS(tblDaily[MalariaCases],tblDaily[EntryDate],DATE(2026,10,5),tblDaily[WardCode],"BH")=0,"",SUMIFS(tblDaily[MalariaCases],tblDaily[EntryDate],DATE(2026,10,5),tblDaily[WardCode],"BH")),"")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  <c r="I363" s="5" t="str">
        <f>IFERROR(IF(SUMIFS(tblDaily[MalariaCases],tblDaily[EntryDate],DATE(2026,10,6),tblDaily[WardCode],"BH")=0,"",SUMIFS(tblDaily[MalariaCases],tblDaily[EntryDate],DATE(2026,10,6),tblDaily[WardCode],"BH")),"")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  <c r="I364" s="5" t="str">
        <f>IFERROR(IF(SUMIFS(tblDaily[MalariaCases],tblDaily[EntryDate],DATE(2026,10,7),tblDaily[WardCode],"BH")=0,"",SUMIFS(tblDaily[MalariaCases],tblDaily[EntryDate],DATE(2026,10,7),tblDaily[WardCode],"BH")),"")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  <c r="I365" s="5" t="str">
        <f>IFERROR(IF(SUMIFS(tblDaily[MalariaCases],tblDaily[EntryDate],DATE(2026,10,8),tblDaily[WardCode],"BH")=0,"",SUMIFS(tblDaily[MalariaCases],tblDaily[EntryDate],DATE(2026,10,8),tblDaily[WardCode],"BH")),"")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  <c r="I366" s="5" t="str">
        <f>IFERROR(IF(SUMIFS(tblDaily[MalariaCases],tblDaily[EntryDate],DATE(2026,10,9),tblDaily[WardCode],"BH")=0,"",SUMIFS(tblDaily[MalariaCases],tblDaily[EntryDate],DATE(2026,10,9),tblDaily[WardCode],"BH")),"")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  <c r="I367" s="5" t="str">
        <f>IFERROR(IF(SUMIFS(tblDaily[MalariaCases],tblDaily[EntryDate],DATE(2026,10,10),tblDaily[WardCode],"BH")=0,"",SUMIFS(tblDaily[MalariaCases],tblDaily[EntryDate],DATE(2026,10,10),tblDaily[WardCode],"BH")),"")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  <c r="I368" s="5" t="str">
        <f>IFERROR(IF(SUMIFS(tblDaily[MalariaCases],tblDaily[EntryDate],DATE(2026,10,11),tblDaily[WardCode],"BH")=0,"",SUMIFS(tblDaily[MalariaCases],tblDaily[EntryDate],DATE(2026,10,11),tblDaily[WardCode],"BH")),"")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  <c r="I369" s="5" t="str">
        <f>IFERROR(IF(SUMIFS(tblDaily[MalariaCases],tblDaily[EntryDate],DATE(2026,10,12),tblDaily[WardCode],"BH")=0,"",SUMIFS(tblDaily[MalariaCases],tblDaily[EntryDate],DATE(2026,10,12),tblDaily[WardCode],"BH")),"")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  <c r="I370" s="5" t="str">
        <f>IFERROR(IF(SUMIFS(tblDaily[MalariaCases],tblDaily[EntryDate],DATE(2026,10,13),tblDaily[WardCode],"BH")=0,"",SUMIFS(tblDaily[MalariaCases],tblDaily[EntryDate],DATE(2026,10,13),tblDaily[WardCode],"BH")),"")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  <c r="I371" s="5" t="str">
        <f>IFERROR(IF(SUMIFS(tblDaily[MalariaCases],tblDaily[EntryDate],DATE(2026,10,14),tblDaily[WardCode],"BH")=0,"",SUMIFS(tblDaily[MalariaCases],tblDaily[EntryDate],DATE(2026,10,14),tblDaily[WardCode],"BH")),"")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  <c r="I372" s="5" t="str">
        <f>IFERROR(IF(SUMIFS(tblDaily[MalariaCases],tblDaily[EntryDate],DATE(2026,10,15),tblDaily[WardCode],"BH")=0,"",SUMIFS(tblDaily[MalariaCases],tblDaily[EntryDate],DATE(2026,10,15),tblDaily[WardCode],"BH")),"")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  <c r="I373" s="5" t="str">
        <f>IFERROR(IF(SUMIFS(tblDaily[MalariaCases],tblDaily[EntryDate],DATE(2026,10,16),tblDaily[WardCode],"BH")=0,"",SUMIFS(tblDaily[MalariaCases],tblDaily[EntryDate],DATE(2026,10,16),tblDaily[WardCode],"BH")),"")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  <c r="I374" s="5" t="str">
        <f>IFERROR(IF(SUMIFS(tblDaily[MalariaCases],tblDaily[EntryDate],DATE(2026,10,17),tblDaily[WardCode],"BH")=0,"",SUMIFS(tblDaily[MalariaCases],tblDaily[EntryDate],DATE(2026,10,17),tblDaily[WardCode],"BH")),"")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  <c r="I375" s="5" t="str">
        <f>IFERROR(IF(SUMIFS(tblDaily[MalariaCases],tblDaily[EntryDate],DATE(2026,10,18),tblDaily[WardCode],"BH")=0,"",SUMIFS(tblDaily[MalariaCases],tblDaily[EntryDate],DATE(2026,10,18),tblDaily[WardCode],"BH")),"")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  <c r="I376" s="5" t="str">
        <f>IFERROR(IF(SUMIFS(tblDaily[MalariaCases],tblDaily[EntryDate],DATE(2026,10,19),tblDaily[WardCode],"BH")=0,"",SUMIFS(tblDaily[MalariaCases],tblDaily[EntryDate],DATE(2026,10,19),tblDaily[WardCode],"BH")),"")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  <c r="I377" s="5" t="str">
        <f>IFERROR(IF(SUMIFS(tblDaily[MalariaCases],tblDaily[EntryDate],DATE(2026,10,20),tblDaily[WardCode],"BH")=0,"",SUMIFS(tblDaily[MalariaCases],tblDaily[EntryDate],DATE(2026,10,20),tblDaily[WardCode],"BH")),"")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  <c r="I378" s="5" t="str">
        <f>IFERROR(IF(SUMIFS(tblDaily[MalariaCases],tblDaily[EntryDate],DATE(2026,10,21),tblDaily[WardCode],"BH")=0,"",SUMIFS(tblDaily[MalariaCases],tblDaily[EntryDate],DATE(2026,10,21),tblDaily[WardCode],"BH")),"")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  <c r="I379" s="5" t="str">
        <f>IFERROR(IF(SUMIFS(tblDaily[MalariaCases],tblDaily[EntryDate],DATE(2026,10,22),tblDaily[WardCode],"BH")=0,"",SUMIFS(tblDaily[MalariaCases],tblDaily[EntryDate],DATE(2026,10,22),tblDaily[WardCode],"BH")),"")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  <c r="I380" s="5" t="str">
        <f>IFERROR(IF(SUMIFS(tblDaily[MalariaCases],tblDaily[EntryDate],DATE(2026,10,23),tblDaily[WardCode],"BH")=0,"",SUMIFS(tblDaily[MalariaCases],tblDaily[EntryDate],DATE(2026,10,23),tblDaily[WardCode],"BH")),"")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  <c r="I381" s="5" t="str">
        <f>IFERROR(IF(SUMIFS(tblDaily[MalariaCases],tblDaily[EntryDate],DATE(2026,10,24),tblDaily[WardCode],"BH")=0,"",SUMIFS(tblDaily[MalariaCases],tblDaily[EntryDate],DATE(2026,10,24),tblDaily[WardCode],"BH")),"")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  <c r="I382" s="5" t="str">
        <f>IFERROR(IF(SUMIFS(tblDaily[MalariaCases],tblDaily[EntryDate],DATE(2026,10,25),tblDaily[WardCode],"BH")=0,"",SUMIFS(tblDaily[MalariaCases],tblDaily[EntryDate],DATE(2026,10,25),tblDaily[WardCode],"BH")),"")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  <c r="I383" s="5" t="str">
        <f>IFERROR(IF(SUMIFS(tblDaily[MalariaCases],tblDaily[EntryDate],DATE(2026,10,26),tblDaily[WardCode],"BH")=0,"",SUMIFS(tblDaily[MalariaCases],tblDaily[EntryDate],DATE(2026,10,26),tblDaily[WardCode],"BH")),"")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  <c r="I384" s="5" t="str">
        <f>IFERROR(IF(SUMIFS(tblDaily[MalariaCases],tblDaily[EntryDate],DATE(2026,10,27),tblDaily[WardCode],"BH")=0,"",SUMIFS(tblDaily[MalariaCases],tblDaily[EntryDate],DATE(2026,10,27),tblDaily[WardCode],"BH")),"")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  <c r="I385" s="5" t="str">
        <f>IFERROR(IF(SUMIFS(tblDaily[MalariaCases],tblDaily[EntryDate],DATE(2026,10,28),tblDaily[WardCode],"BH")=0,"",SUMIFS(tblDaily[MalariaCases],tblDaily[EntryDate],DATE(2026,10,28),tblDaily[WardCode],"BH")),"")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  <c r="I386" s="5" t="str">
        <f>IFERROR(IF(SUMIFS(tblDaily[MalariaCases],tblDaily[EntryDate],DATE(2026,10,29),tblDaily[WardCode],"BH")=0,"",SUMIFS(tblDaily[MalariaCases],tblDaily[EntryDate],DATE(2026,10,29),tblDaily[WardCode],"BH")),"")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  <c r="I387" s="5" t="str">
        <f>IFERROR(IF(SUMIFS(tblDaily[MalariaCases],tblDaily[EntryDate],DATE(2026,10,30),tblDaily[WardCode],"BH")=0,"",SUMIFS(tblDaily[MalariaCases],tblDaily[EntryDate],DATE(2026,10,30),tblDaily[WardCode],"BH")),"")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  <c r="I388" s="5" t="str">
        <f>IFERROR(IF(SUMIFS(tblDaily[MalariaCases],tblDaily[EntryDate],DATE(2026,10,31),tblDaily[WardCode],"BH")=0,"",SUMIFS(tblDaily[MalariaCases],tblDaily[EntryDate],DATE(2026,10,31),tblDaily[WardCode],"BH")),"")</f>
        <v/>
      </c>
    </row>
    <row r="389" spans="1:9" x14ac:dyDescent="0.25">
      <c r="A389" s="9" t="s">
        <v>94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99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IFERROR(SUMIFS(tblDaily[Remaining],tblDaily[EntryDate],DATE(2026,10,31),tblDaily[WardCode],"BH"),0)</f>
        <v>0</v>
      </c>
    </row>
    <row r="395" spans="1:9" x14ac:dyDescent="0.25">
      <c r="A395" s="1" t="s">
        <v>87</v>
      </c>
      <c r="H395" s="7">
        <f>IFERROR(INDEX(tblWardConfig[BedComplement],MATCH("BH",tblWardConfig[Export Year-End],0)),0)</f>
        <v>22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  <c r="I397" s="5" t="str">
        <f>IFERROR(IF(SUMIFS(tblDaily[MalariaCases],tblDaily[EntryDate],DATE(2026,11,1),tblDaily[WardCode],"BH")=0,"",SUMIFS(tblDaily[MalariaCases],tblDaily[EntryDate],DATE(2026,11,1),tblDaily[WardCode],"BH")),"")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  <c r="I398" s="5" t="str">
        <f>IFERROR(IF(SUMIFS(tblDaily[MalariaCases],tblDaily[EntryDate],DATE(2026,11,2),tblDaily[WardCode],"BH")=0,"",SUMIFS(tblDaily[MalariaCases],tblDaily[EntryDate],DATE(2026,11,2),tblDaily[WardCode],"BH")),"")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  <c r="I399" s="5" t="str">
        <f>IFERROR(IF(SUMIFS(tblDaily[MalariaCases],tblDaily[EntryDate],DATE(2026,11,3),tblDaily[WardCode],"BH")=0,"",SUMIFS(tblDaily[MalariaCases],tblDaily[EntryDate],DATE(2026,11,3),tblDaily[WardCode],"BH")),"")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  <c r="I400" s="5" t="str">
        <f>IFERROR(IF(SUMIFS(tblDaily[MalariaCases],tblDaily[EntryDate],DATE(2026,11,4),tblDaily[WardCode],"BH")=0,"",SUMIFS(tblDaily[MalariaCases],tblDaily[EntryDate],DATE(2026,11,4),tblDaily[WardCode],"BH")),"")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  <c r="I401" s="5" t="str">
        <f>IFERROR(IF(SUMIFS(tblDaily[MalariaCases],tblDaily[EntryDate],DATE(2026,11,5),tblDaily[WardCode],"BH")=0,"",SUMIFS(tblDaily[MalariaCases],tblDaily[EntryDate],DATE(2026,11,5),tblDaily[WardCode],"BH")),"")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  <c r="I402" s="5" t="str">
        <f>IFERROR(IF(SUMIFS(tblDaily[MalariaCases],tblDaily[EntryDate],DATE(2026,11,6),tblDaily[WardCode],"BH")=0,"",SUMIFS(tblDaily[MalariaCases],tblDaily[EntryDate],DATE(2026,11,6),tblDaily[WardCode],"BH")),"")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  <c r="I403" s="5" t="str">
        <f>IFERROR(IF(SUMIFS(tblDaily[MalariaCases],tblDaily[EntryDate],DATE(2026,11,7),tblDaily[WardCode],"BH")=0,"",SUMIFS(tblDaily[MalariaCases],tblDaily[EntryDate],DATE(2026,11,7),tblDaily[WardCode],"BH")),"")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  <c r="I404" s="5" t="str">
        <f>IFERROR(IF(SUMIFS(tblDaily[MalariaCases],tblDaily[EntryDate],DATE(2026,11,8),tblDaily[WardCode],"BH")=0,"",SUMIFS(tblDaily[MalariaCases],tblDaily[EntryDate],DATE(2026,11,8),tblDaily[WardCode],"BH")),"")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  <c r="I405" s="5" t="str">
        <f>IFERROR(IF(SUMIFS(tblDaily[MalariaCases],tblDaily[EntryDate],DATE(2026,11,9),tblDaily[WardCode],"BH")=0,"",SUMIFS(tblDaily[MalariaCases],tblDaily[EntryDate],DATE(2026,11,9),tblDaily[WardCode],"BH")),"")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  <c r="I406" s="5" t="str">
        <f>IFERROR(IF(SUMIFS(tblDaily[MalariaCases],tblDaily[EntryDate],DATE(2026,11,10),tblDaily[WardCode],"BH")=0,"",SUMIFS(tblDaily[MalariaCases],tblDaily[EntryDate],DATE(2026,11,10),tblDaily[WardCode],"BH")),"")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  <c r="I407" s="5" t="str">
        <f>IFERROR(IF(SUMIFS(tblDaily[MalariaCases],tblDaily[EntryDate],DATE(2026,11,11),tblDaily[WardCode],"BH")=0,"",SUMIFS(tblDaily[MalariaCases],tblDaily[EntryDate],DATE(2026,11,11),tblDaily[WardCode],"BH")),"")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  <c r="I408" s="5" t="str">
        <f>IFERROR(IF(SUMIFS(tblDaily[MalariaCases],tblDaily[EntryDate],DATE(2026,11,12),tblDaily[WardCode],"BH")=0,"",SUMIFS(tblDaily[MalariaCases],tblDaily[EntryDate],DATE(2026,11,12),tblDaily[WardCode],"BH")),"")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  <c r="I409" s="5" t="str">
        <f>IFERROR(IF(SUMIFS(tblDaily[MalariaCases],tblDaily[EntryDate],DATE(2026,11,13),tblDaily[WardCode],"BH")=0,"",SUMIFS(tblDaily[MalariaCases],tblDaily[EntryDate],DATE(2026,11,13),tblDaily[WardCode],"BH")),"")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  <c r="I410" s="5" t="str">
        <f>IFERROR(IF(SUMIFS(tblDaily[MalariaCases],tblDaily[EntryDate],DATE(2026,11,14),tblDaily[WardCode],"BH")=0,"",SUMIFS(tblDaily[MalariaCases],tblDaily[EntryDate],DATE(2026,11,14),tblDaily[WardCode],"BH")),"")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  <c r="I411" s="5" t="str">
        <f>IFERROR(IF(SUMIFS(tblDaily[MalariaCases],tblDaily[EntryDate],DATE(2026,11,15),tblDaily[WardCode],"BH")=0,"",SUMIFS(tblDaily[MalariaCases],tblDaily[EntryDate],DATE(2026,11,15),tblDaily[WardCode],"BH")),"")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  <c r="I412" s="5" t="str">
        <f>IFERROR(IF(SUMIFS(tblDaily[MalariaCases],tblDaily[EntryDate],DATE(2026,11,16),tblDaily[WardCode],"BH")=0,"",SUMIFS(tblDaily[MalariaCases],tblDaily[EntryDate],DATE(2026,11,16),tblDaily[WardCode],"BH")),"")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  <c r="I413" s="5" t="str">
        <f>IFERROR(IF(SUMIFS(tblDaily[MalariaCases],tblDaily[EntryDate],DATE(2026,11,17),tblDaily[WardCode],"BH")=0,"",SUMIFS(tblDaily[MalariaCases],tblDaily[EntryDate],DATE(2026,11,17),tblDaily[WardCode],"BH")),"")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  <c r="I414" s="5" t="str">
        <f>IFERROR(IF(SUMIFS(tblDaily[MalariaCases],tblDaily[EntryDate],DATE(2026,11,18),tblDaily[WardCode],"BH")=0,"",SUMIFS(tblDaily[MalariaCases],tblDaily[EntryDate],DATE(2026,11,18),tblDaily[WardCode],"BH")),"")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  <c r="I415" s="5" t="str">
        <f>IFERROR(IF(SUMIFS(tblDaily[MalariaCases],tblDaily[EntryDate],DATE(2026,11,19),tblDaily[WardCode],"BH")=0,"",SUMIFS(tblDaily[MalariaCases],tblDaily[EntryDate],DATE(2026,11,19),tblDaily[WardCode],"BH")),"")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  <c r="I416" s="5" t="str">
        <f>IFERROR(IF(SUMIFS(tblDaily[MalariaCases],tblDaily[EntryDate],DATE(2026,11,20),tblDaily[WardCode],"BH")=0,"",SUMIFS(tblDaily[MalariaCases],tblDaily[EntryDate],DATE(2026,11,20),tblDaily[WardCode],"BH")),"")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  <c r="I417" s="5" t="str">
        <f>IFERROR(IF(SUMIFS(tblDaily[MalariaCases],tblDaily[EntryDate],DATE(2026,11,21),tblDaily[WardCode],"BH")=0,"",SUMIFS(tblDaily[MalariaCases],tblDaily[EntryDate],DATE(2026,11,21),tblDaily[WardCode],"BH")),"")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  <c r="I418" s="5" t="str">
        <f>IFERROR(IF(SUMIFS(tblDaily[MalariaCases],tblDaily[EntryDate],DATE(2026,11,22),tblDaily[WardCode],"BH")=0,"",SUMIFS(tblDaily[MalariaCases],tblDaily[EntryDate],DATE(2026,11,22),tblDaily[WardCode],"BH")),"")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  <c r="I419" s="5" t="str">
        <f>IFERROR(IF(SUMIFS(tblDaily[MalariaCases],tblDaily[EntryDate],DATE(2026,11,23),tblDaily[WardCode],"BH")=0,"",SUMIFS(tblDaily[MalariaCases],tblDaily[EntryDate],DATE(2026,11,23),tblDaily[WardCode],"BH")),"")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  <c r="I420" s="5" t="str">
        <f>IFERROR(IF(SUMIFS(tblDaily[MalariaCases],tblDaily[EntryDate],DATE(2026,11,24),tblDaily[WardCode],"BH")=0,"",SUMIFS(tblDaily[MalariaCases],tblDaily[EntryDate],DATE(2026,11,24),tblDaily[WardCode],"BH")),"")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  <c r="I421" s="5" t="str">
        <f>IFERROR(IF(SUMIFS(tblDaily[MalariaCases],tblDaily[EntryDate],DATE(2026,11,25),tblDaily[WardCode],"BH")=0,"",SUMIFS(tblDaily[MalariaCases],tblDaily[EntryDate],DATE(2026,11,25),tblDaily[WardCode],"BH")),"")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  <c r="I422" s="5" t="str">
        <f>IFERROR(IF(SUMIFS(tblDaily[MalariaCases],tblDaily[EntryDate],DATE(2026,11,26),tblDaily[WardCode],"BH")=0,"",SUMIFS(tblDaily[MalariaCases],tblDaily[EntryDate],DATE(2026,11,26),tblDaily[WardCode],"BH")),"")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  <c r="I423" s="5" t="str">
        <f>IFERROR(IF(SUMIFS(tblDaily[MalariaCases],tblDaily[EntryDate],DATE(2026,11,27),tblDaily[WardCode],"BH")=0,"",SUMIFS(tblDaily[MalariaCases],tblDaily[EntryDate],DATE(2026,11,27),tblDaily[WardCode],"BH")),"")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  <c r="I424" s="5" t="str">
        <f>IFERROR(IF(SUMIFS(tblDaily[MalariaCases],tblDaily[EntryDate],DATE(2026,11,28),tblDaily[WardCode],"BH")=0,"",SUMIFS(tblDaily[MalariaCases],tblDaily[EntryDate],DATE(2026,11,28),tblDaily[WardCode],"BH")),"")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  <c r="I425" s="5" t="str">
        <f>IFERROR(IF(SUMIFS(tblDaily[MalariaCases],tblDaily[EntryDate],DATE(2026,11,29),tblDaily[WardCode],"BH")=0,"",SUMIFS(tblDaily[MalariaCases],tblDaily[EntryDate],DATE(2026,11,29),tblDaily[WardCode],"BH")),"")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  <c r="I426" s="5" t="str">
        <f>IFERROR(IF(SUMIFS(tblDaily[MalariaCases],tblDaily[EntryDate],DATE(2026,11,30),tblDaily[WardCode],"BH")=0,"",SUMIFS(tblDaily[MalariaCases],tblDaily[EntryDate],DATE(2026,11,30),tblDaily[WardCode],"BH")),"")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99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IFERROR(SUMIFS(tblDaily[Remaining],tblDaily[EntryDate],DATE(2026,11,30),tblDaily[WardCode],"BH"),0)</f>
        <v>0</v>
      </c>
    </row>
    <row r="434" spans="1:9" x14ac:dyDescent="0.25">
      <c r="A434" s="1" t="s">
        <v>87</v>
      </c>
      <c r="H434" s="7">
        <f>IFERROR(INDEX(tblWardConfig[BedComplement],MATCH("BH",tblWardConfig[Export Year-End],0)),0)</f>
        <v>22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  <c r="I436" s="5" t="str">
        <f>IFERROR(IF(SUMIFS(tblDaily[MalariaCases],tblDaily[EntryDate],DATE(2026,12,1),tblDaily[WardCode],"BH")=0,"",SUMIFS(tblDaily[MalariaCases],tblDaily[EntryDate],DATE(2026,12,1),tblDaily[WardCode],"BH")),"")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  <c r="I437" s="5" t="str">
        <f>IFERROR(IF(SUMIFS(tblDaily[MalariaCases],tblDaily[EntryDate],DATE(2026,12,2),tblDaily[WardCode],"BH")=0,"",SUMIFS(tblDaily[MalariaCases],tblDaily[EntryDate],DATE(2026,12,2),tblDaily[WardCode],"BH")),"")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  <c r="I438" s="5" t="str">
        <f>IFERROR(IF(SUMIFS(tblDaily[MalariaCases],tblDaily[EntryDate],DATE(2026,12,3),tblDaily[WardCode],"BH")=0,"",SUMIFS(tblDaily[MalariaCases],tblDaily[EntryDate],DATE(2026,12,3),tblDaily[WardCode],"BH")),"")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  <c r="I439" s="5" t="str">
        <f>IFERROR(IF(SUMIFS(tblDaily[MalariaCases],tblDaily[EntryDate],DATE(2026,12,4),tblDaily[WardCode],"BH")=0,"",SUMIFS(tblDaily[MalariaCases],tblDaily[EntryDate],DATE(2026,12,4),tblDaily[WardCode],"BH")),"")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  <c r="I440" s="5" t="str">
        <f>IFERROR(IF(SUMIFS(tblDaily[MalariaCases],tblDaily[EntryDate],DATE(2026,12,5),tblDaily[WardCode],"BH")=0,"",SUMIFS(tblDaily[MalariaCases],tblDaily[EntryDate],DATE(2026,12,5),tblDaily[WardCode],"BH")),"")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  <c r="I441" s="5" t="str">
        <f>IFERROR(IF(SUMIFS(tblDaily[MalariaCases],tblDaily[EntryDate],DATE(2026,12,6),tblDaily[WardCode],"BH")=0,"",SUMIFS(tblDaily[MalariaCases],tblDaily[EntryDate],DATE(2026,12,6),tblDaily[WardCode],"BH")),"")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  <c r="I442" s="5" t="str">
        <f>IFERROR(IF(SUMIFS(tblDaily[MalariaCases],tblDaily[EntryDate],DATE(2026,12,7),tblDaily[WardCode],"BH")=0,"",SUMIFS(tblDaily[MalariaCases],tblDaily[EntryDate],DATE(2026,12,7),tblDaily[WardCode],"BH")),"")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  <c r="I443" s="5" t="str">
        <f>IFERROR(IF(SUMIFS(tblDaily[MalariaCases],tblDaily[EntryDate],DATE(2026,12,8),tblDaily[WardCode],"BH")=0,"",SUMIFS(tblDaily[MalariaCases],tblDaily[EntryDate],DATE(2026,12,8),tblDaily[WardCode],"BH")),"")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  <c r="I444" s="5" t="str">
        <f>IFERROR(IF(SUMIFS(tblDaily[MalariaCases],tblDaily[EntryDate],DATE(2026,12,9),tblDaily[WardCode],"BH")=0,"",SUMIFS(tblDaily[MalariaCases],tblDaily[EntryDate],DATE(2026,12,9),tblDaily[WardCode],"BH")),"")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  <c r="I445" s="5" t="str">
        <f>IFERROR(IF(SUMIFS(tblDaily[MalariaCases],tblDaily[EntryDate],DATE(2026,12,10),tblDaily[WardCode],"BH")=0,"",SUMIFS(tblDaily[MalariaCases],tblDaily[EntryDate],DATE(2026,12,10),tblDaily[WardCode],"BH")),"")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  <c r="I446" s="5" t="str">
        <f>IFERROR(IF(SUMIFS(tblDaily[MalariaCases],tblDaily[EntryDate],DATE(2026,12,11),tblDaily[WardCode],"BH")=0,"",SUMIFS(tblDaily[MalariaCases],tblDaily[EntryDate],DATE(2026,12,11),tblDaily[WardCode],"BH")),"")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  <c r="I447" s="5" t="str">
        <f>IFERROR(IF(SUMIFS(tblDaily[MalariaCases],tblDaily[EntryDate],DATE(2026,12,12),tblDaily[WardCode],"BH")=0,"",SUMIFS(tblDaily[MalariaCases],tblDaily[EntryDate],DATE(2026,12,12),tblDaily[WardCode],"BH")),"")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  <c r="I448" s="5" t="str">
        <f>IFERROR(IF(SUMIFS(tblDaily[MalariaCases],tblDaily[EntryDate],DATE(2026,12,13),tblDaily[WardCode],"BH")=0,"",SUMIFS(tblDaily[MalariaCases],tblDaily[EntryDate],DATE(2026,12,13),tblDaily[WardCode],"BH")),"")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  <c r="I449" s="5" t="str">
        <f>IFERROR(IF(SUMIFS(tblDaily[MalariaCases],tblDaily[EntryDate],DATE(2026,12,14),tblDaily[WardCode],"BH")=0,"",SUMIFS(tblDaily[MalariaCases],tblDaily[EntryDate],DATE(2026,12,14),tblDaily[WardCode],"BH")),"")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  <c r="I450" s="5" t="str">
        <f>IFERROR(IF(SUMIFS(tblDaily[MalariaCases],tblDaily[EntryDate],DATE(2026,12,15),tblDaily[WardCode],"BH")=0,"",SUMIFS(tblDaily[MalariaCases],tblDaily[EntryDate],DATE(2026,12,15),tblDaily[WardCode],"BH")),"")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  <c r="I451" s="5" t="str">
        <f>IFERROR(IF(SUMIFS(tblDaily[MalariaCases],tblDaily[EntryDate],DATE(2026,12,16),tblDaily[WardCode],"BH")=0,"",SUMIFS(tblDaily[MalariaCases],tblDaily[EntryDate],DATE(2026,12,16),tblDaily[WardCode],"BH")),"")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  <c r="I452" s="5" t="str">
        <f>IFERROR(IF(SUMIFS(tblDaily[MalariaCases],tblDaily[EntryDate],DATE(2026,12,17),tblDaily[WardCode],"BH")=0,"",SUMIFS(tblDaily[MalariaCases],tblDaily[EntryDate],DATE(2026,12,17),tblDaily[WardCode],"BH")),"")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  <c r="I453" s="5" t="str">
        <f>IFERROR(IF(SUMIFS(tblDaily[MalariaCases],tblDaily[EntryDate],DATE(2026,12,18),tblDaily[WardCode],"BH")=0,"",SUMIFS(tblDaily[MalariaCases],tblDaily[EntryDate],DATE(2026,12,18),tblDaily[WardCode],"BH")),"")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  <c r="I454" s="5" t="str">
        <f>IFERROR(IF(SUMIFS(tblDaily[MalariaCases],tblDaily[EntryDate],DATE(2026,12,19),tblDaily[WardCode],"BH")=0,"",SUMIFS(tblDaily[MalariaCases],tblDaily[EntryDate],DATE(2026,12,19),tblDaily[WardCode],"BH")),"")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  <c r="I455" s="5" t="str">
        <f>IFERROR(IF(SUMIFS(tblDaily[MalariaCases],tblDaily[EntryDate],DATE(2026,12,20),tblDaily[WardCode],"BH")=0,"",SUMIFS(tblDaily[MalariaCases],tblDaily[EntryDate],DATE(2026,12,20),tblDaily[WardCode],"BH")),"")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  <c r="I456" s="5" t="str">
        <f>IFERROR(IF(SUMIFS(tblDaily[MalariaCases],tblDaily[EntryDate],DATE(2026,12,21),tblDaily[WardCode],"BH")=0,"",SUMIFS(tblDaily[MalariaCases],tblDaily[EntryDate],DATE(2026,12,21),tblDaily[WardCode],"BH")),"")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  <c r="I457" s="5" t="str">
        <f>IFERROR(IF(SUMIFS(tblDaily[MalariaCases],tblDaily[EntryDate],DATE(2026,12,22),tblDaily[WardCode],"BH")=0,"",SUMIFS(tblDaily[MalariaCases],tblDaily[EntryDate],DATE(2026,12,22),tblDaily[WardCode],"BH")),"")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  <c r="I458" s="5" t="str">
        <f>IFERROR(IF(SUMIFS(tblDaily[MalariaCases],tblDaily[EntryDate],DATE(2026,12,23),tblDaily[WardCode],"BH")=0,"",SUMIFS(tblDaily[MalariaCases],tblDaily[EntryDate],DATE(2026,12,23),tblDaily[WardCode],"BH")),"")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  <c r="I459" s="5" t="str">
        <f>IFERROR(IF(SUMIFS(tblDaily[MalariaCases],tblDaily[EntryDate],DATE(2026,12,24),tblDaily[WardCode],"BH")=0,"",SUMIFS(tblDaily[MalariaCases],tblDaily[EntryDate],DATE(2026,12,24),tblDaily[WardCode],"BH")),"")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  <c r="I460" s="5" t="str">
        <f>IFERROR(IF(SUMIFS(tblDaily[MalariaCases],tblDaily[EntryDate],DATE(2026,12,25),tblDaily[WardCode],"BH")=0,"",SUMIFS(tblDaily[MalariaCases],tblDaily[EntryDate],DATE(2026,12,25),tblDaily[WardCode],"BH")),"")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  <c r="I461" s="5" t="str">
        <f>IFERROR(IF(SUMIFS(tblDaily[MalariaCases],tblDaily[EntryDate],DATE(2026,12,26),tblDaily[WardCode],"BH")=0,"",SUMIFS(tblDaily[MalariaCases],tblDaily[EntryDate],DATE(2026,12,26),tblDaily[WardCode],"BH")),"")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  <c r="I462" s="5" t="str">
        <f>IFERROR(IF(SUMIFS(tblDaily[MalariaCases],tblDaily[EntryDate],DATE(2026,12,27),tblDaily[WardCode],"BH")=0,"",SUMIFS(tblDaily[MalariaCases],tblDaily[EntryDate],DATE(2026,12,27),tblDaily[WardCode],"BH")),"")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  <c r="I463" s="5" t="str">
        <f>IFERROR(IF(SUMIFS(tblDaily[MalariaCases],tblDaily[EntryDate],DATE(2026,12,28),tblDaily[WardCode],"BH")=0,"",SUMIFS(tblDaily[MalariaCases],tblDaily[EntryDate],DATE(2026,12,28),tblDaily[WardCode],"BH")),"")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  <c r="I464" s="5" t="str">
        <f>IFERROR(IF(SUMIFS(tblDaily[MalariaCases],tblDaily[EntryDate],DATE(2026,12,29),tblDaily[WardCode],"BH")=0,"",SUMIFS(tblDaily[MalariaCases],tblDaily[EntryDate],DATE(2026,12,29),tblDaily[WardCode],"BH")),"")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  <c r="I465" s="5" t="str">
        <f>IFERROR(IF(SUMIFS(tblDaily[MalariaCases],tblDaily[EntryDate],DATE(2026,12,30),tblDaily[WardCode],"BH")=0,"",SUMIFS(tblDaily[MalariaCases],tblDaily[EntryDate],DATE(2026,12,30),tblDaily[WardCode],"BH")),"")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  <c r="I466" s="5" t="str">
        <f>IFERROR(IF(SUMIFS(tblDaily[MalariaCases],tblDaily[EntryDate],DATE(2026,12,31),tblDaily[WardCode],"BH")=0,"",SUMIFS(tblDaily[MalariaCases],tblDaily[EntryDate],DATE(2026,12,31),tblDaily[WardCode],"BH")),"")</f>
        <v/>
      </c>
    </row>
    <row r="467" spans="1:9" x14ac:dyDescent="0.25">
      <c r="A467" s="9" t="s">
        <v>94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100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IFERROR(INDEX(tblWardConfig[PrevYearRemaining],MATCH("NICU",tblWardConfig[Export Year-End],0)),0)</f>
        <v>0</v>
      </c>
    </row>
    <row r="5" spans="1:9" x14ac:dyDescent="0.25">
      <c r="A5" s="1" t="s">
        <v>87</v>
      </c>
      <c r="H5" s="7">
        <f>IFERROR(INDEX(tblWardConfig[BedComplement],MATCH("NICU",tblWardConfig[Export Year-End],0)),0)</f>
        <v>15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 t="str">
        <f>IFERROR(IF(SUMIFS(tblDaily[Discharges],tblDaily[EntryDate],DATE(2026,1,1),tblDaily[WardCode],"NICU")=0,"",SUMIFS(tblDaily[Discharges],tblDaily[EntryDate],DATE(2026,1,1),tblDaily[WardCode],"NICU")),"")</f>
        <v/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 t="str">
        <f>IFERROR(IF(SUMIFS(tblDaily[Remaining],tblDaily[EntryDate],DATE(2026,1,1),tblDaily[WardCode],"NICU")=0,"",SUMIFS(tblDaily[Remaining],tblDaily[EntryDate],DATE(2026,1,1),tblDaily[WardCode],"NICU")),"")</f>
        <v/>
      </c>
      <c r="I7" s="5" t="str">
        <f>IFERROR(IF(SUMIFS(tblDaily[MalariaCases],tblDaily[EntryDate],DATE(2026,1,1),tblDaily[WardCode],"NICU")=0,"",SUMIFS(tblDaily[MalariaCases],tblDaily[EntryDate],DATE(2026,1,1),tblDaily[WardCode],"NICU")),"")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 t="str">
        <f>IFERROR(IF(SUMIFS(tblDaily[Discharges],tblDaily[EntryDate],DATE(2026,1,2),tblDaily[WardCode],"NICU")=0,"",SUMIFS(tblDaily[Discharges],tblDaily[EntryDate],DATE(2026,1,2),tblDaily[WardCode],"NICU")),"")</f>
        <v/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 t="str">
        <f>IFERROR(IF(SUMIFS(tblDaily[Remaining],tblDaily[EntryDate],DATE(2026,1,2),tblDaily[WardCode],"NICU")=0,"",SUMIFS(tblDaily[Remaining],tblDaily[EntryDate],DATE(2026,1,2),tblDaily[WardCode],"NICU")),"")</f>
        <v/>
      </c>
      <c r="I8" s="5" t="str">
        <f>IFERROR(IF(SUMIFS(tblDaily[MalariaCases],tblDaily[EntryDate],DATE(2026,1,2),tblDaily[WardCode],"NICU")=0,"",SUMIFS(tblDaily[MalariaCases],tblDaily[EntryDate],DATE(2026,1,2),tblDaily[WardCode],"NICU")),"")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IFERROR(IF(SUMIFS(tblDaily[Admissions],tblDaily[EntryDate],DATE(2026,1,3),tblDaily[WardCode],"NICU")=0,"",SUMIFS(tblDaily[Admissions],tblDaily[EntryDate],DATE(2026,1,3),tblDaily[WardCode],"NICU")),"")</f>
        <v/>
      </c>
      <c r="C9" s="5" t="str">
        <f>IFERROR(IF(SUMIFS(tblDaily[Discharges],tblDaily[EntryDate],DATE(2026,1,3),tblDaily[WardCode],"NICU")=0,"",SUMIFS(tblDaily[Discharges],tblDaily[EntryDate],DATE(2026,1,3),tblDaily[WardCode],"NICU")),"")</f>
        <v/>
      </c>
      <c r="D9" s="5" t="str">
        <f>IFERROR(IF(SUMIFS(tblDaily[Deaths],tblDaily[EntryDate],DATE(2026,1,3),tblDaily[WardCode],"NICU")=0,"",SUMIFS(tblDaily[Deaths],tblDaily[EntryDate],DATE(2026,1,3),tblDaily[WardCode],"NICU")),"")</f>
        <v/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 t="str">
        <f>IFERROR(IF(SUMIFS(tblDaily[Remaining],tblDaily[EntryDate],DATE(2026,1,3),tblDaily[WardCode],"NICU")=0,"",SUMIFS(tblDaily[Remaining],tblDaily[EntryDate],DATE(2026,1,3),tblDaily[WardCode],"NICU")),"")</f>
        <v/>
      </c>
      <c r="I9" s="5" t="str">
        <f>IFERROR(IF(SUMIFS(tblDaily[MalariaCases],tblDaily[EntryDate],DATE(2026,1,3),tblDaily[WardCode],"NICU")=0,"",SUMIFS(tblDaily[MalariaCases],tblDaily[EntryDate],DATE(2026,1,3),tblDaily[WardCode],"NICU")),"")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 t="str">
        <f>IFERROR(IF(SUMIFS(tblDaily[Deaths],tblDaily[EntryDate],DATE(2026,1,4),tblDaily[WardCode],"NICU")=0,"",SUMIFS(tblDaily[Deaths],tblDaily[EntryDate],DATE(2026,1,4),tblDaily[WardCode],"NICU")),"")</f>
        <v/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 t="str">
        <f>IFERROR(IF(SUMIFS(tblDaily[Remaining],tblDaily[EntryDate],DATE(2026,1,4),tblDaily[WardCode],"NICU")=0,"",SUMIFS(tblDaily[Remaining],tblDaily[EntryDate],DATE(2026,1,4),tblDaily[WardCode],"NICU")),"")</f>
        <v/>
      </c>
      <c r="I10" s="5" t="str">
        <f>IFERROR(IF(SUMIFS(tblDaily[MalariaCases],tblDaily[EntryDate],DATE(2026,1,4),tblDaily[WardCode],"NICU")=0,"",SUMIFS(tblDaily[MalariaCases],tblDaily[EntryDate],DATE(2026,1,4),tblDaily[WardCode],"NICU")),"")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IFERROR(IF(SUMIFS(tblDaily[Admissions],tblDaily[EntryDate],DATE(2026,1,5),tblDaily[WardCode],"NICU")=0,"",SUMIFS(tblDaily[Admissions],tblDaily[EntryDate],DATE(2026,1,5),tblDaily[WardCode],"NICU")),"")</f>
        <v/>
      </c>
      <c r="C11" s="5" t="str">
        <f>IFERROR(IF(SUMIFS(tblDaily[Discharges],tblDaily[EntryDate],DATE(2026,1,5),tblDaily[WardCode],"NICU")=0,"",SUMIFS(tblDaily[Discharges],tblDaily[EntryDate],DATE(2026,1,5),tblDaily[WardCode],"NICU")),"")</f>
        <v/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 t="str">
        <f>IFERROR(IF(SUMIFS(tblDaily[Remaining],tblDaily[EntryDate],DATE(2026,1,5),tblDaily[WardCode],"NICU")=0,"",SUMIFS(tblDaily[Remaining],tblDaily[EntryDate],DATE(2026,1,5),tblDaily[WardCode],"NICU")),"")</f>
        <v/>
      </c>
      <c r="I11" s="5" t="str">
        <f>IFERROR(IF(SUMIFS(tblDaily[MalariaCases],tblDaily[EntryDate],DATE(2026,1,5),tblDaily[WardCode],"NICU")=0,"",SUMIFS(tblDaily[MalariaCases],tblDaily[EntryDate],DATE(2026,1,5),tblDaily[WardCode],"NICU")),"")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IFERROR(IF(SUMIFS(tblDaily[Admissions],tblDaily[EntryDate],DATE(2026,1,6),tblDaily[WardCode],"NICU")=0,"",SUMIFS(tblDaily[Admissions],tblDaily[EntryDate],DATE(2026,1,6),tblDaily[WardCode],"NICU")),"")</f>
        <v/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 t="str">
        <f>IFERROR(IF(SUMIFS(tblDaily[Remaining],tblDaily[EntryDate],DATE(2026,1,6),tblDaily[WardCode],"NICU")=0,"",SUMIFS(tblDaily[Remaining],tblDaily[EntryDate],DATE(2026,1,6),tblDaily[WardCode],"NICU")),"")</f>
        <v/>
      </c>
      <c r="I12" s="5" t="str">
        <f>IFERROR(IF(SUMIFS(tblDaily[MalariaCases],tblDaily[EntryDate],DATE(2026,1,6),tblDaily[WardCode],"NICU")=0,"",SUMIFS(tblDaily[MalariaCases],tblDaily[EntryDate],DATE(2026,1,6),tblDaily[WardCode],"NICU")),"")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IFERROR(IF(SUMIFS(tblDaily[Admissions],tblDaily[EntryDate],DATE(2026,1,7),tblDaily[WardCode],"NICU")=0,"",SUMIFS(tblDaily[Admissions],tblDaily[EntryDate],DATE(2026,1,7),tblDaily[WardCode],"NICU")),"")</f>
        <v/>
      </c>
      <c r="C13" s="5" t="str">
        <f>IFERROR(IF(SUMIFS(tblDaily[Discharges],tblDaily[EntryDate],DATE(2026,1,7),tblDaily[WardCode],"NICU")=0,"",SUMIFS(tblDaily[Discharges],tblDaily[EntryDate],DATE(2026,1,7),tblDaily[WardCode],"NICU")),"")</f>
        <v/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 t="str">
        <f>IFERROR(IF(SUMIFS(tblDaily[Remaining],tblDaily[EntryDate],DATE(2026,1,7),tblDaily[WardCode],"NICU")=0,"",SUMIFS(tblDaily[Remaining],tblDaily[EntryDate],DATE(2026,1,7),tblDaily[WardCode],"NICU")),"")</f>
        <v/>
      </c>
      <c r="I13" s="5" t="str">
        <f>IFERROR(IF(SUMIFS(tblDaily[MalariaCases],tblDaily[EntryDate],DATE(2026,1,7),tblDaily[WardCode],"NICU")=0,"",SUMIFS(tblDaily[MalariaCases],tblDaily[EntryDate],DATE(2026,1,7),tblDaily[WardCode],"NICU")),"")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IFERROR(IF(SUMIFS(tblDaily[Admissions],tblDaily[EntryDate],DATE(2026,1,8),tblDaily[WardCode],"NICU")=0,"",SUMIFS(tblDaily[Admissions],tblDaily[EntryDate],DATE(2026,1,8),tblDaily[WardCode],"NICU")),"")</f>
        <v/>
      </c>
      <c r="C14" s="5" t="str">
        <f>IFERROR(IF(SUMIFS(tblDaily[Discharges],tblDaily[EntryDate],DATE(2026,1,8),tblDaily[WardCode],"NICU")=0,"",SUMIFS(tblDaily[Discharges],tblDaily[EntryDate],DATE(2026,1,8),tblDaily[WardCode],"NICU")),"")</f>
        <v/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 t="str">
        <f>IFERROR(IF(SUMIFS(tblDaily[Remaining],tblDaily[EntryDate],DATE(2026,1,8),tblDaily[WardCode],"NICU")=0,"",SUMIFS(tblDaily[Remaining],tblDaily[EntryDate],DATE(2026,1,8),tblDaily[WardCode],"NICU")),"")</f>
        <v/>
      </c>
      <c r="I14" s="5" t="str">
        <f>IFERROR(IF(SUMIFS(tblDaily[MalariaCases],tblDaily[EntryDate],DATE(2026,1,8),tblDaily[WardCode],"NICU")=0,"",SUMIFS(tblDaily[MalariaCases],tblDaily[EntryDate],DATE(2026,1,8),tblDaily[WardCode],"NICU")),"")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IFERROR(IF(SUMIFS(tblDaily[Admissions],tblDaily[EntryDate],DATE(2026,1,9),tblDaily[WardCode],"NICU")=0,"",SUMIFS(tblDaily[Admissions],tblDaily[EntryDate],DATE(2026,1,9),tblDaily[WardCode],"NICU")),"")</f>
        <v/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 t="str">
        <f>IFERROR(IF(SUMIFS(tblDaily[Remaining],tblDaily[EntryDate],DATE(2026,1,9),tblDaily[WardCode],"NICU")=0,"",SUMIFS(tblDaily[Remaining],tblDaily[EntryDate],DATE(2026,1,9),tblDaily[WardCode],"NICU")),"")</f>
        <v/>
      </c>
      <c r="I15" s="5" t="str">
        <f>IFERROR(IF(SUMIFS(tblDaily[MalariaCases],tblDaily[EntryDate],DATE(2026,1,9),tblDaily[WardCode],"NICU")=0,"",SUMIFS(tblDaily[MalariaCases],tblDaily[EntryDate],DATE(2026,1,9),tblDaily[WardCode],"NICU")),"")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IFERROR(IF(SUMIFS(tblDaily[Admissions],tblDaily[EntryDate],DATE(2026,1,10),tblDaily[WardCode],"NICU")=0,"",SUMIFS(tblDaily[Admissions],tblDaily[EntryDate],DATE(2026,1,10),tblDaily[WardCode],"NICU")),"")</f>
        <v/>
      </c>
      <c r="C16" s="5" t="str">
        <f>IFERROR(IF(SUMIFS(tblDaily[Discharges],tblDaily[EntryDate],DATE(2026,1,10),tblDaily[WardCode],"NICU")=0,"",SUMIFS(tblDaily[Discharges],tblDaily[EntryDate],DATE(2026,1,10),tblDaily[WardCode],"NICU")),"")</f>
        <v/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 t="str">
        <f>IFERROR(IF(SUMIFS(tblDaily[Remaining],tblDaily[EntryDate],DATE(2026,1,10),tblDaily[WardCode],"NICU")=0,"",SUMIFS(tblDaily[Remaining],tblDaily[EntryDate],DATE(2026,1,10),tblDaily[WardCode],"NICU")),"")</f>
        <v/>
      </c>
      <c r="I16" s="5" t="str">
        <f>IFERROR(IF(SUMIFS(tblDaily[MalariaCases],tblDaily[EntryDate],DATE(2026,1,10),tblDaily[WardCode],"NICU")=0,"",SUMIFS(tblDaily[MalariaCases],tblDaily[EntryDate],DATE(2026,1,10),tblDaily[WardCode],"NICU")),"")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 t="str">
        <f>IFERROR(IF(SUMIFS(tblDaily[Remaining],tblDaily[EntryDate],DATE(2026,1,11),tblDaily[WardCode],"NICU")=0,"",SUMIFS(tblDaily[Remaining],tblDaily[EntryDate],DATE(2026,1,11),tblDaily[WardCode],"NICU")),"")</f>
        <v/>
      </c>
      <c r="I17" s="5" t="str">
        <f>IFERROR(IF(SUMIFS(tblDaily[MalariaCases],tblDaily[EntryDate],DATE(2026,1,11),tblDaily[WardCode],"NICU")=0,"",SUMIFS(tblDaily[MalariaCases],tblDaily[EntryDate],DATE(2026,1,11),tblDaily[WardCode],"NICU")),"")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IFERROR(IF(SUMIFS(tblDaily[Admissions],tblDaily[EntryDate],DATE(2026,1,12),tblDaily[WardCode],"NICU")=0,"",SUMIFS(tblDaily[Admissions],tblDaily[EntryDate],DATE(2026,1,12),tblDaily[WardCode],"NICU")),"")</f>
        <v/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 t="str">
        <f>IFERROR(IF(SUMIFS(tblDaily[Remaining],tblDaily[EntryDate],DATE(2026,1,12),tblDaily[WardCode],"NICU")=0,"",SUMIFS(tblDaily[Remaining],tblDaily[EntryDate],DATE(2026,1,12),tblDaily[WardCode],"NICU")),"")</f>
        <v/>
      </c>
      <c r="I18" s="5" t="str">
        <f>IFERROR(IF(SUMIFS(tblDaily[MalariaCases],tblDaily[EntryDate],DATE(2026,1,12),tblDaily[WardCode],"NICU")=0,"",SUMIFS(tblDaily[MalariaCases],tblDaily[EntryDate],DATE(2026,1,12),tblDaily[WardCode],"NICU")),"")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IFERROR(IF(SUMIFS(tblDaily[Admissions],tblDaily[EntryDate],DATE(2026,1,13),tblDaily[WardCode],"NICU")=0,"",SUMIFS(tblDaily[Admissions],tblDaily[EntryDate],DATE(2026,1,13),tblDaily[WardCode],"NICU")),"")</f>
        <v/>
      </c>
      <c r="C19" s="5" t="str">
        <f>IFERROR(IF(SUMIFS(tblDaily[Discharges],tblDaily[EntryDate],DATE(2026,1,13),tblDaily[WardCode],"NICU")=0,"",SUMIFS(tblDaily[Discharges],tblDaily[EntryDate],DATE(2026,1,13),tblDaily[WardCode],"NICU")),"")</f>
        <v/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 t="str">
        <f>IFERROR(IF(SUMIFS(tblDaily[Remaining],tblDaily[EntryDate],DATE(2026,1,13),tblDaily[WardCode],"NICU")=0,"",SUMIFS(tblDaily[Remaining],tblDaily[EntryDate],DATE(2026,1,13),tblDaily[WardCode],"NICU")),"")</f>
        <v/>
      </c>
      <c r="I19" s="5" t="str">
        <f>IFERROR(IF(SUMIFS(tblDaily[MalariaCases],tblDaily[EntryDate],DATE(2026,1,13),tblDaily[WardCode],"NICU")=0,"",SUMIFS(tblDaily[MalariaCases],tblDaily[EntryDate],DATE(2026,1,13),tblDaily[WardCode],"NICU")),"")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IFERROR(IF(SUMIFS(tblDaily[Admissions],tblDaily[EntryDate],DATE(2026,1,14),tblDaily[WardCode],"NICU")=0,"",SUMIFS(tblDaily[Admissions],tblDaily[EntryDate],DATE(2026,1,14),tblDaily[WardCode],"NICU")),"")</f>
        <v/>
      </c>
      <c r="C20" s="5" t="str">
        <f>IFERROR(IF(SUMIFS(tblDaily[Discharges],tblDaily[EntryDate],DATE(2026,1,14),tblDaily[WardCode],"NICU")=0,"",SUMIFS(tblDaily[Discharges],tblDaily[EntryDate],DATE(2026,1,14),tblDaily[WardCode],"NICU")),"")</f>
        <v/>
      </c>
      <c r="D20" s="5" t="str">
        <f>IFERROR(IF(SUMIFS(tblDaily[Deaths],tblDaily[EntryDate],DATE(2026,1,14),tblDaily[WardCode],"NICU")=0,"",SUMIFS(tblDaily[Deaths],tblDaily[EntryDate],DATE(2026,1,14),tblDaily[WardCode],"NICU")),"")</f>
        <v/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 t="str">
        <f>IFERROR(IF(SUMIFS(tblDaily[Remaining],tblDaily[EntryDate],DATE(2026,1,14),tblDaily[WardCode],"NICU")=0,"",SUMIFS(tblDaily[Remaining],tblDaily[EntryDate],DATE(2026,1,14),tblDaily[WardCode],"NICU")),"")</f>
        <v/>
      </c>
      <c r="I20" s="5" t="str">
        <f>IFERROR(IF(SUMIFS(tblDaily[MalariaCases],tblDaily[EntryDate],DATE(2026,1,14),tblDaily[WardCode],"NICU")=0,"",SUMIFS(tblDaily[MalariaCases],tblDaily[EntryDate],DATE(2026,1,14),tblDaily[WardCode],"NICU")),"")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 t="str">
        <f>IFERROR(IF(SUMIFS(tblDaily[Discharges],tblDaily[EntryDate],DATE(2026,1,15),tblDaily[WardCode],"NICU")=0,"",SUMIFS(tblDaily[Discharges],tblDaily[EntryDate],DATE(2026,1,15),tblDaily[WardCode],"NICU")),"")</f>
        <v/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 t="str">
        <f>IFERROR(IF(SUMIFS(tblDaily[Remaining],tblDaily[EntryDate],DATE(2026,1,15),tblDaily[WardCode],"NICU")=0,"",SUMIFS(tblDaily[Remaining],tblDaily[EntryDate],DATE(2026,1,15),tblDaily[WardCode],"NICU")),"")</f>
        <v/>
      </c>
      <c r="I21" s="5" t="str">
        <f>IFERROR(IF(SUMIFS(tblDaily[MalariaCases],tblDaily[EntryDate],DATE(2026,1,15),tblDaily[WardCode],"NICU")=0,"",SUMIFS(tblDaily[MalariaCases],tblDaily[EntryDate],DATE(2026,1,15),tblDaily[WardCode],"NICU")),"")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 t="str">
        <f>IFERROR(IF(SUMIFS(tblDaily[Discharges],tblDaily[EntryDate],DATE(2026,1,16),tblDaily[WardCode],"NICU")=0,"",SUMIFS(tblDaily[Discharges],tblDaily[EntryDate],DATE(2026,1,16),tblDaily[WardCode],"NICU")),"")</f>
        <v/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 t="str">
        <f>IFERROR(IF(SUMIFS(tblDaily[Remaining],tblDaily[EntryDate],DATE(2026,1,16),tblDaily[WardCode],"NICU")=0,"",SUMIFS(tblDaily[Remaining],tblDaily[EntryDate],DATE(2026,1,16),tblDaily[WardCode],"NICU")),"")</f>
        <v/>
      </c>
      <c r="I22" s="5" t="str">
        <f>IFERROR(IF(SUMIFS(tblDaily[MalariaCases],tblDaily[EntryDate],DATE(2026,1,16),tblDaily[WardCode],"NICU")=0,"",SUMIFS(tblDaily[MalariaCases],tblDaily[EntryDate],DATE(2026,1,16),tblDaily[WardCode],"NICU")),"")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IFERROR(IF(SUMIFS(tblDaily[Admissions],tblDaily[EntryDate],DATE(2026,1,17),tblDaily[WardCode],"NICU")=0,"",SUMIFS(tblDaily[Admissions],tblDaily[EntryDate],DATE(2026,1,17),tblDaily[WardCode],"NICU")),"")</f>
        <v/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 t="str">
        <f>IFERROR(IF(SUMIFS(tblDaily[Remaining],tblDaily[EntryDate],DATE(2026,1,17),tblDaily[WardCode],"NICU")=0,"",SUMIFS(tblDaily[Remaining],tblDaily[EntryDate],DATE(2026,1,17),tblDaily[WardCode],"NICU")),"")</f>
        <v/>
      </c>
      <c r="I23" s="5" t="str">
        <f>IFERROR(IF(SUMIFS(tblDaily[MalariaCases],tblDaily[EntryDate],DATE(2026,1,17),tblDaily[WardCode],"NICU")=0,"",SUMIFS(tblDaily[MalariaCases],tblDaily[EntryDate],DATE(2026,1,17),tblDaily[WardCode],"NICU")),"")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IFERROR(IF(SUMIFS(tblDaily[Admissions],tblDaily[EntryDate],DATE(2026,1,18),tblDaily[WardCode],"NICU")=0,"",SUMIFS(tblDaily[Admissions],tblDaily[EntryDate],DATE(2026,1,18),tblDaily[WardCode],"NICU")),"")</f>
        <v/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 t="str">
        <f>IFERROR(IF(SUMIFS(tblDaily[Deaths],tblDaily[EntryDate],DATE(2026,1,18),tblDaily[WardCode],"NICU")=0,"",SUMIFS(tblDaily[Deaths],tblDaily[EntryDate],DATE(2026,1,18),tblDaily[WardCode],"NICU")),"")</f>
        <v/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 t="str">
        <f>IFERROR(IF(SUMIFS(tblDaily[Remaining],tblDaily[EntryDate],DATE(2026,1,18),tblDaily[WardCode],"NICU")=0,"",SUMIFS(tblDaily[Remaining],tblDaily[EntryDate],DATE(2026,1,18),tblDaily[WardCode],"NICU")),"")</f>
        <v/>
      </c>
      <c r="I24" s="5" t="str">
        <f>IFERROR(IF(SUMIFS(tblDaily[MalariaCases],tblDaily[EntryDate],DATE(2026,1,18),tblDaily[WardCode],"NICU")=0,"",SUMIFS(tblDaily[MalariaCases],tblDaily[EntryDate],DATE(2026,1,18),tblDaily[WardCode],"NICU")),"")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IFERROR(IF(SUMIFS(tblDaily[Admissions],tblDaily[EntryDate],DATE(2026,1,19),tblDaily[WardCode],"NICU")=0,"",SUMIFS(tblDaily[Admissions],tblDaily[EntryDate],DATE(2026,1,19),tblDaily[WardCode],"NICU")),"")</f>
        <v/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 t="str">
        <f>IFERROR(IF(SUMIFS(tblDaily[Remaining],tblDaily[EntryDate],DATE(2026,1,19),tblDaily[WardCode],"NICU")=0,"",SUMIFS(tblDaily[Remaining],tblDaily[EntryDate],DATE(2026,1,19),tblDaily[WardCode],"NICU")),"")</f>
        <v/>
      </c>
      <c r="I25" s="5" t="str">
        <f>IFERROR(IF(SUMIFS(tblDaily[MalariaCases],tblDaily[EntryDate],DATE(2026,1,19),tblDaily[WardCode],"NICU")=0,"",SUMIFS(tblDaily[MalariaCases],tblDaily[EntryDate],DATE(2026,1,19),tblDaily[WardCode],"NICU")),"")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IFERROR(IF(SUMIFS(tblDaily[Admissions],tblDaily[EntryDate],DATE(2026,1,20),tblDaily[WardCode],"NICU")=0,"",SUMIFS(tblDaily[Admissions],tblDaily[EntryDate],DATE(2026,1,20),tblDaily[WardCode],"NICU")),"")</f>
        <v/>
      </c>
      <c r="C26" s="5" t="str">
        <f>IFERROR(IF(SUMIFS(tblDaily[Discharges],tblDaily[EntryDate],DATE(2026,1,20),tblDaily[WardCode],"NICU")=0,"",SUMIFS(tblDaily[Discharges],tblDaily[EntryDate],DATE(2026,1,20),tblDaily[WardCode],"NICU")),"")</f>
        <v/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 t="str">
        <f>IFERROR(IF(SUMIFS(tblDaily[Remaining],tblDaily[EntryDate],DATE(2026,1,20),tblDaily[WardCode],"NICU")=0,"",SUMIFS(tblDaily[Remaining],tblDaily[EntryDate],DATE(2026,1,20),tblDaily[WardCode],"NICU")),"")</f>
        <v/>
      </c>
      <c r="I26" s="5" t="str">
        <f>IFERROR(IF(SUMIFS(tblDaily[MalariaCases],tblDaily[EntryDate],DATE(2026,1,20),tblDaily[WardCode],"NICU")=0,"",SUMIFS(tblDaily[MalariaCases],tblDaily[EntryDate],DATE(2026,1,20),tblDaily[WardCode],"NICU")),"")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IFERROR(IF(SUMIFS(tblDaily[Admissions],tblDaily[EntryDate],DATE(2026,1,21),tblDaily[WardCode],"NICU")=0,"",SUMIFS(tblDaily[Admissions],tblDaily[EntryDate],DATE(2026,1,21),tblDaily[WardCode],"NICU")),"")</f>
        <v/>
      </c>
      <c r="C27" s="5" t="str">
        <f>IFERROR(IF(SUMIFS(tblDaily[Discharges],tblDaily[EntryDate],DATE(2026,1,21),tblDaily[WardCode],"NICU")=0,"",SUMIFS(tblDaily[Discharges],tblDaily[EntryDate],DATE(2026,1,21),tblDaily[WardCode],"NICU")),"")</f>
        <v/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 t="str">
        <f>IFERROR(IF(SUMIFS(tblDaily[Remaining],tblDaily[EntryDate],DATE(2026,1,21),tblDaily[WardCode],"NICU")=0,"",SUMIFS(tblDaily[Remaining],tblDaily[EntryDate],DATE(2026,1,21),tblDaily[WardCode],"NICU")),"")</f>
        <v/>
      </c>
      <c r="I27" s="5" t="str">
        <f>IFERROR(IF(SUMIFS(tblDaily[MalariaCases],tblDaily[EntryDate],DATE(2026,1,21),tblDaily[WardCode],"NICU")=0,"",SUMIFS(tblDaily[MalariaCases],tblDaily[EntryDate],DATE(2026,1,21),tblDaily[WardCode],"NICU")),"")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IFERROR(IF(SUMIFS(tblDaily[Admissions],tblDaily[EntryDate],DATE(2026,1,22),tblDaily[WardCode],"NICU")=0,"",SUMIFS(tblDaily[Admissions],tblDaily[EntryDate],DATE(2026,1,22),tblDaily[WardCode],"NICU")),"")</f>
        <v/>
      </c>
      <c r="C28" s="5" t="str">
        <f>IFERROR(IF(SUMIFS(tblDaily[Discharges],tblDaily[EntryDate],DATE(2026,1,22),tblDaily[WardCode],"NICU")=0,"",SUMIFS(tblDaily[Discharges],tblDaily[EntryDate],DATE(2026,1,22),tblDaily[WardCode],"NICU")),"")</f>
        <v/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 t="str">
        <f>IFERROR(IF(SUMIFS(tblDaily[Remaining],tblDaily[EntryDate],DATE(2026,1,22),tblDaily[WardCode],"NICU")=0,"",SUMIFS(tblDaily[Remaining],tblDaily[EntryDate],DATE(2026,1,22),tblDaily[WardCode],"NICU")),"")</f>
        <v/>
      </c>
      <c r="I28" s="5" t="str">
        <f>IFERROR(IF(SUMIFS(tblDaily[MalariaCases],tblDaily[EntryDate],DATE(2026,1,22),tblDaily[WardCode],"NICU")=0,"",SUMIFS(tblDaily[MalariaCases],tblDaily[EntryDate],DATE(2026,1,22),tblDaily[WardCode],"NICU")),"")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IFERROR(IF(SUMIFS(tblDaily[Admissions],tblDaily[EntryDate],DATE(2026,1,23),tblDaily[WardCode],"NICU")=0,"",SUMIFS(tblDaily[Admissions],tblDaily[EntryDate],DATE(2026,1,23),tblDaily[WardCode],"NICU")),"")</f>
        <v/>
      </c>
      <c r="C29" s="5" t="str">
        <f>IFERROR(IF(SUMIFS(tblDaily[Discharges],tblDaily[EntryDate],DATE(2026,1,23),tblDaily[WardCode],"NICU")=0,"",SUMIFS(tblDaily[Discharges],tblDaily[EntryDate],DATE(2026,1,23),tblDaily[WardCode],"NICU")),"")</f>
        <v/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 t="str">
        <f>IFERROR(IF(SUMIFS(tblDaily[Remaining],tblDaily[EntryDate],DATE(2026,1,23),tblDaily[WardCode],"NICU")=0,"",SUMIFS(tblDaily[Remaining],tblDaily[EntryDate],DATE(2026,1,23),tblDaily[WardCode],"NICU")),"")</f>
        <v/>
      </c>
      <c r="I29" s="5" t="str">
        <f>IFERROR(IF(SUMIFS(tblDaily[MalariaCases],tblDaily[EntryDate],DATE(2026,1,23),tblDaily[WardCode],"NICU")=0,"",SUMIFS(tblDaily[MalariaCases],tblDaily[EntryDate],DATE(2026,1,23),tblDaily[WardCode],"NICU")),"")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 t="str">
        <f>IFERROR(IF(SUMIFS(tblDaily[Discharges],tblDaily[EntryDate],DATE(2026,1,24),tblDaily[WardCode],"NICU")=0,"",SUMIFS(tblDaily[Discharges],tblDaily[EntryDate],DATE(2026,1,24),tblDaily[WardCode],"NICU")),"")</f>
        <v/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 t="str">
        <f>IFERROR(IF(SUMIFS(tblDaily[Remaining],tblDaily[EntryDate],DATE(2026,1,24),tblDaily[WardCode],"NICU")=0,"",SUMIFS(tblDaily[Remaining],tblDaily[EntryDate],DATE(2026,1,24),tblDaily[WardCode],"NICU")),"")</f>
        <v/>
      </c>
      <c r="I30" s="5" t="str">
        <f>IFERROR(IF(SUMIFS(tblDaily[MalariaCases],tblDaily[EntryDate],DATE(2026,1,24),tblDaily[WardCode],"NICU")=0,"",SUMIFS(tblDaily[MalariaCases],tblDaily[EntryDate],DATE(2026,1,24),tblDaily[WardCode],"NICU")),"")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 t="str">
        <f>IFERROR(IF(SUMIFS(tblDaily[Deaths],tblDaily[EntryDate],DATE(2026,1,25),tblDaily[WardCode],"NICU")=0,"",SUMIFS(tblDaily[Deaths],tblDaily[EntryDate],DATE(2026,1,25),tblDaily[WardCode],"NICU")),"")</f>
        <v/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 t="str">
        <f>IFERROR(IF(SUMIFS(tblDaily[Remaining],tblDaily[EntryDate],DATE(2026,1,25),tblDaily[WardCode],"NICU")=0,"",SUMIFS(tblDaily[Remaining],tblDaily[EntryDate],DATE(2026,1,25),tblDaily[WardCode],"NICU")),"")</f>
        <v/>
      </c>
      <c r="I31" s="5" t="str">
        <f>IFERROR(IF(SUMIFS(tblDaily[MalariaCases],tblDaily[EntryDate],DATE(2026,1,25),tblDaily[WardCode],"NICU")=0,"",SUMIFS(tblDaily[MalariaCases],tblDaily[EntryDate],DATE(2026,1,25),tblDaily[WardCode],"NICU")),"")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IFERROR(IF(SUMIFS(tblDaily[Admissions],tblDaily[EntryDate],DATE(2026,1,26),tblDaily[WardCode],"NICU")=0,"",SUMIFS(tblDaily[Admissions],tblDaily[EntryDate],DATE(2026,1,26),tblDaily[WardCode],"NICU")),"")</f>
        <v/>
      </c>
      <c r="C32" s="5" t="str">
        <f>IFERROR(IF(SUMIFS(tblDaily[Discharges],tblDaily[EntryDate],DATE(2026,1,26),tblDaily[WardCode],"NICU")=0,"",SUMIFS(tblDaily[Discharges],tblDaily[EntryDate],DATE(2026,1,26),tblDaily[WardCode],"NICU")),"")</f>
        <v/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 t="str">
        <f>IFERROR(IF(SUMIFS(tblDaily[Remaining],tblDaily[EntryDate],DATE(2026,1,26),tblDaily[WardCode],"NICU")=0,"",SUMIFS(tblDaily[Remaining],tblDaily[EntryDate],DATE(2026,1,26),tblDaily[WardCode],"NICU")),"")</f>
        <v/>
      </c>
      <c r="I32" s="5" t="str">
        <f>IFERROR(IF(SUMIFS(tblDaily[MalariaCases],tblDaily[EntryDate],DATE(2026,1,26),tblDaily[WardCode],"NICU")=0,"",SUMIFS(tblDaily[MalariaCases],tblDaily[EntryDate],DATE(2026,1,26),tblDaily[WardCode],"NICU")),"")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IFERROR(IF(SUMIFS(tblDaily[Admissions],tblDaily[EntryDate],DATE(2026,1,27),tblDaily[WardCode],"NICU")=0,"",SUMIFS(tblDaily[Admissions],tblDaily[EntryDate],DATE(2026,1,27),tblDaily[WardCode],"NICU")),"")</f>
        <v/>
      </c>
      <c r="C33" s="5" t="str">
        <f>IFERROR(IF(SUMIFS(tblDaily[Discharges],tblDaily[EntryDate],DATE(2026,1,27),tblDaily[WardCode],"NICU")=0,"",SUMIFS(tblDaily[Discharges],tblDaily[EntryDate],DATE(2026,1,27),tblDaily[WardCode],"NICU")),"")</f>
        <v/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 t="str">
        <f>IFERROR(IF(SUMIFS(tblDaily[Remaining],tblDaily[EntryDate],DATE(2026,1,27),tblDaily[WardCode],"NICU")=0,"",SUMIFS(tblDaily[Remaining],tblDaily[EntryDate],DATE(2026,1,27),tblDaily[WardCode],"NICU")),"")</f>
        <v/>
      </c>
      <c r="I33" s="5" t="str">
        <f>IFERROR(IF(SUMIFS(tblDaily[MalariaCases],tblDaily[EntryDate],DATE(2026,1,27),tblDaily[WardCode],"NICU")=0,"",SUMIFS(tblDaily[MalariaCases],tblDaily[EntryDate],DATE(2026,1,27),tblDaily[WardCode],"NICU")),"")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IFERROR(IF(SUMIFS(tblDaily[Admissions],tblDaily[EntryDate],DATE(2026,1,28),tblDaily[WardCode],"NICU")=0,"",SUMIFS(tblDaily[Admissions],tblDaily[EntryDate],DATE(2026,1,28),tblDaily[WardCode],"NICU")),"")</f>
        <v/>
      </c>
      <c r="C34" s="5" t="str">
        <f>IFERROR(IF(SUMIFS(tblDaily[Discharges],tblDaily[EntryDate],DATE(2026,1,28),tblDaily[WardCode],"NICU")=0,"",SUMIFS(tblDaily[Discharges],tblDaily[EntryDate],DATE(2026,1,28),tblDaily[WardCode],"NICU")),"")</f>
        <v/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 t="str">
        <f>IFERROR(IF(SUMIFS(tblDaily[Remaining],tblDaily[EntryDate],DATE(2026,1,28),tblDaily[WardCode],"NICU")=0,"",SUMIFS(tblDaily[Remaining],tblDaily[EntryDate],DATE(2026,1,28),tblDaily[WardCode],"NICU")),"")</f>
        <v/>
      </c>
      <c r="I34" s="5" t="str">
        <f>IFERROR(IF(SUMIFS(tblDaily[MalariaCases],tblDaily[EntryDate],DATE(2026,1,28),tblDaily[WardCode],"NICU")=0,"",SUMIFS(tblDaily[MalariaCases],tblDaily[EntryDate],DATE(2026,1,28),tblDaily[WardCode],"NICU")),"")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 t="str">
        <f>IFERROR(IF(SUMIFS(tblDaily[Deaths],tblDaily[EntryDate],DATE(2026,1,29),tblDaily[WardCode],"NICU")=0,"",SUMIFS(tblDaily[Deaths],tblDaily[EntryDate],DATE(2026,1,29),tblDaily[WardCode],"NICU")),"")</f>
        <v/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 t="str">
        <f>IFERROR(IF(SUMIFS(tblDaily[Remaining],tblDaily[EntryDate],DATE(2026,1,29),tblDaily[WardCode],"NICU")=0,"",SUMIFS(tblDaily[Remaining],tblDaily[EntryDate],DATE(2026,1,29),tblDaily[WardCode],"NICU")),"")</f>
        <v/>
      </c>
      <c r="I35" s="5" t="str">
        <f>IFERROR(IF(SUMIFS(tblDaily[MalariaCases],tblDaily[EntryDate],DATE(2026,1,29),tblDaily[WardCode],"NICU")=0,"",SUMIFS(tblDaily[MalariaCases],tblDaily[EntryDate],DATE(2026,1,29),tblDaily[WardCode],"NICU")),"")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IFERROR(IF(SUMIFS(tblDaily[Admissions],tblDaily[EntryDate],DATE(2026,1,30),tblDaily[WardCode],"NICU")=0,"",SUMIFS(tblDaily[Admissions],tblDaily[EntryDate],DATE(2026,1,30),tblDaily[WardCode],"NICU")),"")</f>
        <v/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 t="str">
        <f>IFERROR(IF(SUMIFS(tblDaily[Remaining],tblDaily[EntryDate],DATE(2026,1,30),tblDaily[WardCode],"NICU")=0,"",SUMIFS(tblDaily[Remaining],tblDaily[EntryDate],DATE(2026,1,30),tblDaily[WardCode],"NICU")),"")</f>
        <v/>
      </c>
      <c r="I36" s="5" t="str">
        <f>IFERROR(IF(SUMIFS(tblDaily[MalariaCases],tblDaily[EntryDate],DATE(2026,1,30),tblDaily[WardCode],"NICU")=0,"",SUMIFS(tblDaily[MalariaCases],tblDaily[EntryDate],DATE(2026,1,30),tblDaily[WardCode],"NICU")),"")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 t="str">
        <f>IFERROR(IF(SUMIFS(tblDaily[Remaining],tblDaily[EntryDate],DATE(2026,1,31),tblDaily[WardCode],"NICU")=0,"",SUMIFS(tblDaily[Remaining],tblDaily[EntryDate],DATE(2026,1,31),tblDaily[WardCode],"NICU")),"")</f>
        <v/>
      </c>
      <c r="I37" s="5" t="str">
        <f>IFERROR(IF(SUMIFS(tblDaily[MalariaCases],tblDaily[EntryDate],DATE(2026,1,31),tblDaily[WardCode],"NICU")=0,"",SUMIFS(tblDaily[MalariaCases],tblDaily[EntryDate],DATE(2026,1,31),tblDaily[WardCode],"NICU")),"")</f>
        <v/>
      </c>
    </row>
    <row r="38" spans="1:9" x14ac:dyDescent="0.25">
      <c r="A38" s="9" t="s">
        <v>94</v>
      </c>
      <c r="B38" s="9">
        <f>SUMIFS(tblDaily[Admissions],tblDaily[Month],1,tblDaily[WardCode],"NICU")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100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IFERROR(SUMIFS(tblDaily[Remaining],tblDaily[EntryDate],DATE(2026,1,31),tblDaily[WardCode],"NICU"),0)</f>
        <v>0</v>
      </c>
    </row>
    <row r="44" spans="1:9" x14ac:dyDescent="0.25">
      <c r="A44" s="1" t="s">
        <v>87</v>
      </c>
      <c r="H44" s="7">
        <f>IFERROR(INDEX(tblWardConfig[BedComplement],MATCH("NICU",tblWardConfig[Export Year-End],0)),0)</f>
        <v>15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  <c r="I46" s="5" t="str">
        <f>IFERROR(IF(SUMIFS(tblDaily[MalariaCases],tblDaily[EntryDate],DATE(2026,2,1),tblDaily[WardCode],"NICU")=0,"",SUMIFS(tblDaily[MalariaCases],tblDaily[EntryDate],DATE(2026,2,1),tblDaily[WardCode],"NICU")),"")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  <c r="I47" s="5" t="str">
        <f>IFERROR(IF(SUMIFS(tblDaily[MalariaCases],tblDaily[EntryDate],DATE(2026,2,2),tblDaily[WardCode],"NICU")=0,"",SUMIFS(tblDaily[MalariaCases],tblDaily[EntryDate],DATE(2026,2,2),tblDaily[WardCode],"NICU")),"")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 t="str">
        <f>IFERROR(IF(SUMIFS(tblDaily[Discharges],tblDaily[EntryDate],DATE(2026,2,3),tblDaily[WardCode],"NICU")=0,"",SUMIFS(tblDaily[Discharges],tblDaily[EntryDate],DATE(2026,2,3),tblDaily[WardCode],"NICU")),"")</f>
        <v/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 t="str">
        <f>IFERROR(IF(SUMIFS(tblDaily[Remaining],tblDaily[EntryDate],DATE(2026,2,3),tblDaily[WardCode],"NICU")=0,"",SUMIFS(tblDaily[Remaining],tblDaily[EntryDate],DATE(2026,2,3),tblDaily[WardCode],"NICU")),"")</f>
        <v/>
      </c>
      <c r="I48" s="5" t="str">
        <f>IFERROR(IF(SUMIFS(tblDaily[MalariaCases],tblDaily[EntryDate],DATE(2026,2,3),tblDaily[WardCode],"NICU")=0,"",SUMIFS(tblDaily[MalariaCases],tblDaily[EntryDate],DATE(2026,2,3),tblDaily[WardCode],"NICU")),"")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 t="str">
        <f>IFERROR(IF(SUMIFS(tblDaily[Discharges],tblDaily[EntryDate],DATE(2026,2,4),tblDaily[WardCode],"NICU")=0,"",SUMIFS(tblDaily[Discharges],tblDaily[EntryDate],DATE(2026,2,4),tblDaily[WardCode],"NICU")),"")</f>
        <v/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 t="str">
        <f>IFERROR(IF(SUMIFS(tblDaily[Remaining],tblDaily[EntryDate],DATE(2026,2,4),tblDaily[WardCode],"NICU")=0,"",SUMIFS(tblDaily[Remaining],tblDaily[EntryDate],DATE(2026,2,4),tblDaily[WardCode],"NICU")),"")</f>
        <v/>
      </c>
      <c r="I49" s="5" t="str">
        <f>IFERROR(IF(SUMIFS(tblDaily[MalariaCases],tblDaily[EntryDate],DATE(2026,2,4),tblDaily[WardCode],"NICU")=0,"",SUMIFS(tblDaily[MalariaCases],tblDaily[EntryDate],DATE(2026,2,4),tblDaily[WardCode],"NICU")),"")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  <c r="I50" s="5" t="str">
        <f>IFERROR(IF(SUMIFS(tblDaily[MalariaCases],tblDaily[EntryDate],DATE(2026,2,5),tblDaily[WardCode],"NICU")=0,"",SUMIFS(tblDaily[MalariaCases],tblDaily[EntryDate],DATE(2026,2,5),tblDaily[WardCode],"NICU")),"")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  <c r="I51" s="5" t="str">
        <f>IFERROR(IF(SUMIFS(tblDaily[MalariaCases],tblDaily[EntryDate],DATE(2026,2,6),tblDaily[WardCode],"NICU")=0,"",SUMIFS(tblDaily[MalariaCases],tblDaily[EntryDate],DATE(2026,2,6),tblDaily[WardCode],"NICU")),"")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  <c r="I52" s="5" t="str">
        <f>IFERROR(IF(SUMIFS(tblDaily[MalariaCases],tblDaily[EntryDate],DATE(2026,2,7),tblDaily[WardCode],"NICU")=0,"",SUMIFS(tblDaily[MalariaCases],tblDaily[EntryDate],DATE(2026,2,7),tblDaily[WardCode],"NICU")),"")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  <c r="I53" s="5" t="str">
        <f>IFERROR(IF(SUMIFS(tblDaily[MalariaCases],tblDaily[EntryDate],DATE(2026,2,8),tblDaily[WardCode],"NICU")=0,"",SUMIFS(tblDaily[MalariaCases],tblDaily[EntryDate],DATE(2026,2,8),tblDaily[WardCode],"NICU")),"")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  <c r="I54" s="5" t="str">
        <f>IFERROR(IF(SUMIFS(tblDaily[MalariaCases],tblDaily[EntryDate],DATE(2026,2,9),tblDaily[WardCode],"NICU")=0,"",SUMIFS(tblDaily[MalariaCases],tblDaily[EntryDate],DATE(2026,2,9),tblDaily[WardCode],"NICU")),"")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  <c r="I55" s="5" t="str">
        <f>IFERROR(IF(SUMIFS(tblDaily[MalariaCases],tblDaily[EntryDate],DATE(2026,2,10),tblDaily[WardCode],"NICU")=0,"",SUMIFS(tblDaily[MalariaCases],tblDaily[EntryDate],DATE(2026,2,10),tblDaily[WardCode],"NICU")),"")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  <c r="I56" s="5" t="str">
        <f>IFERROR(IF(SUMIFS(tblDaily[MalariaCases],tblDaily[EntryDate],DATE(2026,2,11),tblDaily[WardCode],"NICU")=0,"",SUMIFS(tblDaily[MalariaCases],tblDaily[EntryDate],DATE(2026,2,11),tblDaily[WardCode],"NICU")),"")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  <c r="I57" s="5" t="str">
        <f>IFERROR(IF(SUMIFS(tblDaily[MalariaCases],tblDaily[EntryDate],DATE(2026,2,12),tblDaily[WardCode],"NICU")=0,"",SUMIFS(tblDaily[MalariaCases],tblDaily[EntryDate],DATE(2026,2,12),tblDaily[WardCode],"NICU")),"")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  <c r="I58" s="5" t="str">
        <f>IFERROR(IF(SUMIFS(tblDaily[MalariaCases],tblDaily[EntryDate],DATE(2026,2,13),tblDaily[WardCode],"NICU")=0,"",SUMIFS(tblDaily[MalariaCases],tblDaily[EntryDate],DATE(2026,2,13),tblDaily[WardCode],"NICU")),"")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  <c r="I59" s="5" t="str">
        <f>IFERROR(IF(SUMIFS(tblDaily[MalariaCases],tblDaily[EntryDate],DATE(2026,2,14),tblDaily[WardCode],"NICU")=0,"",SUMIFS(tblDaily[MalariaCases],tblDaily[EntryDate],DATE(2026,2,14),tblDaily[WardCode],"NICU")),"")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  <c r="I60" s="5" t="str">
        <f>IFERROR(IF(SUMIFS(tblDaily[MalariaCases],tblDaily[EntryDate],DATE(2026,2,15),tblDaily[WardCode],"NICU")=0,"",SUMIFS(tblDaily[MalariaCases],tblDaily[EntryDate],DATE(2026,2,15),tblDaily[WardCode],"NICU")),"")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  <c r="I61" s="5" t="str">
        <f>IFERROR(IF(SUMIFS(tblDaily[MalariaCases],tblDaily[EntryDate],DATE(2026,2,16),tblDaily[WardCode],"NICU")=0,"",SUMIFS(tblDaily[MalariaCases],tblDaily[EntryDate],DATE(2026,2,16),tblDaily[WardCode],"NICU")),"")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  <c r="I62" s="5" t="str">
        <f>IFERROR(IF(SUMIFS(tblDaily[MalariaCases],tblDaily[EntryDate],DATE(2026,2,17),tblDaily[WardCode],"NICU")=0,"",SUMIFS(tblDaily[MalariaCases],tblDaily[EntryDate],DATE(2026,2,17),tblDaily[WardCode],"NICU")),"")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  <c r="I63" s="5" t="str">
        <f>IFERROR(IF(SUMIFS(tblDaily[MalariaCases],tblDaily[EntryDate],DATE(2026,2,18),tblDaily[WardCode],"NICU")=0,"",SUMIFS(tblDaily[MalariaCases],tblDaily[EntryDate],DATE(2026,2,18),tblDaily[WardCode],"NICU")),"")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  <c r="I64" s="5" t="str">
        <f>IFERROR(IF(SUMIFS(tblDaily[MalariaCases],tblDaily[EntryDate],DATE(2026,2,19),tblDaily[WardCode],"NICU")=0,"",SUMIFS(tblDaily[MalariaCases],tblDaily[EntryDate],DATE(2026,2,19),tblDaily[WardCode],"NICU")),"")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  <c r="I65" s="5" t="str">
        <f>IFERROR(IF(SUMIFS(tblDaily[MalariaCases],tblDaily[EntryDate],DATE(2026,2,20),tblDaily[WardCode],"NICU")=0,"",SUMIFS(tblDaily[MalariaCases],tblDaily[EntryDate],DATE(2026,2,20),tblDaily[WardCode],"NICU")),"")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  <c r="I66" s="5" t="str">
        <f>IFERROR(IF(SUMIFS(tblDaily[MalariaCases],tblDaily[EntryDate],DATE(2026,2,21),tblDaily[WardCode],"NICU")=0,"",SUMIFS(tblDaily[MalariaCases],tblDaily[EntryDate],DATE(2026,2,21),tblDaily[WardCode],"NICU")),"")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  <c r="I67" s="5" t="str">
        <f>IFERROR(IF(SUMIFS(tblDaily[MalariaCases],tblDaily[EntryDate],DATE(2026,2,22),tblDaily[WardCode],"NICU")=0,"",SUMIFS(tblDaily[MalariaCases],tblDaily[EntryDate],DATE(2026,2,22),tblDaily[WardCode],"NICU")),"")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  <c r="I68" s="5" t="str">
        <f>IFERROR(IF(SUMIFS(tblDaily[MalariaCases],tblDaily[EntryDate],DATE(2026,2,23),tblDaily[WardCode],"NICU")=0,"",SUMIFS(tblDaily[MalariaCases],tblDaily[EntryDate],DATE(2026,2,23),tblDaily[WardCode],"NICU")),"")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  <c r="I69" s="5" t="str">
        <f>IFERROR(IF(SUMIFS(tblDaily[MalariaCases],tblDaily[EntryDate],DATE(2026,2,24),tblDaily[WardCode],"NICU")=0,"",SUMIFS(tblDaily[MalariaCases],tblDaily[EntryDate],DATE(2026,2,24),tblDaily[WardCode],"NICU")),"")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  <c r="I70" s="5" t="str">
        <f>IFERROR(IF(SUMIFS(tblDaily[MalariaCases],tblDaily[EntryDate],DATE(2026,2,25),tblDaily[WardCode],"NICU")=0,"",SUMIFS(tblDaily[MalariaCases],tblDaily[EntryDate],DATE(2026,2,25),tblDaily[WardCode],"NICU")),"")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  <c r="I71" s="5" t="str">
        <f>IFERROR(IF(SUMIFS(tblDaily[MalariaCases],tblDaily[EntryDate],DATE(2026,2,26),tblDaily[WardCode],"NICU")=0,"",SUMIFS(tblDaily[MalariaCases],tblDaily[EntryDate],DATE(2026,2,26),tblDaily[WardCode],"NICU")),"")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  <c r="I72" s="5" t="str">
        <f>IFERROR(IF(SUMIFS(tblDaily[MalariaCases],tblDaily[EntryDate],DATE(2026,2,27),tblDaily[WardCode],"NICU")=0,"",SUMIFS(tblDaily[MalariaCases],tblDaily[EntryDate],DATE(2026,2,27),tblDaily[WardCode],"NICU")),"")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  <c r="I73" s="5" t="str">
        <f>IFERROR(IF(SUMIFS(tblDaily[MalariaCases],tblDaily[EntryDate],DATE(2026,2,28),tblDaily[WardCode],"NICU")=0,"",SUMIFS(tblDaily[MalariaCases],tblDaily[EntryDate],DATE(2026,2,28),tblDaily[WardCode],"NICU")),"")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100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IFERROR(SUMIFS(tblDaily[Remaining],tblDaily[EntryDate],DATE(2026,2,28),tblDaily[WardCode],"NICU"),0)</f>
        <v>0</v>
      </c>
    </row>
    <row r="83" spans="1:9" x14ac:dyDescent="0.25">
      <c r="A83" s="1" t="s">
        <v>87</v>
      </c>
      <c r="H83" s="7">
        <f>IFERROR(INDEX(tblWardConfig[BedComplement],MATCH("NICU",tblWardConfig[Export Year-End],0)),0)</f>
        <v>15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  <c r="I85" s="5" t="str">
        <f>IFERROR(IF(SUMIFS(tblDaily[MalariaCases],tblDaily[EntryDate],DATE(2026,3,1),tblDaily[WardCode],"NICU")=0,"",SUMIFS(tblDaily[MalariaCases],tblDaily[EntryDate],DATE(2026,3,1),tblDaily[WardCode],"NICU")),"")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  <c r="I86" s="5" t="str">
        <f>IFERROR(IF(SUMIFS(tblDaily[MalariaCases],tblDaily[EntryDate],DATE(2026,3,2),tblDaily[WardCode],"NICU")=0,"",SUMIFS(tblDaily[MalariaCases],tblDaily[EntryDate],DATE(2026,3,2),tblDaily[WardCode],"NICU")),"")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  <c r="I87" s="5" t="str">
        <f>IFERROR(IF(SUMIFS(tblDaily[MalariaCases],tblDaily[EntryDate],DATE(2026,3,3),tblDaily[WardCode],"NICU")=0,"",SUMIFS(tblDaily[MalariaCases],tblDaily[EntryDate],DATE(2026,3,3),tblDaily[WardCode],"NICU")),"")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  <c r="I88" s="5" t="str">
        <f>IFERROR(IF(SUMIFS(tblDaily[MalariaCases],tblDaily[EntryDate],DATE(2026,3,4),tblDaily[WardCode],"NICU")=0,"",SUMIFS(tblDaily[MalariaCases],tblDaily[EntryDate],DATE(2026,3,4),tblDaily[WardCode],"NICU")),"")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  <c r="I89" s="5" t="str">
        <f>IFERROR(IF(SUMIFS(tblDaily[MalariaCases],tblDaily[EntryDate],DATE(2026,3,5),tblDaily[WardCode],"NICU")=0,"",SUMIFS(tblDaily[MalariaCases],tblDaily[EntryDate],DATE(2026,3,5),tblDaily[WardCode],"NICU")),"")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  <c r="I90" s="5" t="str">
        <f>IFERROR(IF(SUMIFS(tblDaily[MalariaCases],tblDaily[EntryDate],DATE(2026,3,6),tblDaily[WardCode],"NICU")=0,"",SUMIFS(tblDaily[MalariaCases],tblDaily[EntryDate],DATE(2026,3,6),tblDaily[WardCode],"NICU")),"")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  <c r="I91" s="5" t="str">
        <f>IFERROR(IF(SUMIFS(tblDaily[MalariaCases],tblDaily[EntryDate],DATE(2026,3,7),tblDaily[WardCode],"NICU")=0,"",SUMIFS(tblDaily[MalariaCases],tblDaily[EntryDate],DATE(2026,3,7),tblDaily[WardCode],"NICU")),"")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  <c r="I92" s="5" t="str">
        <f>IFERROR(IF(SUMIFS(tblDaily[MalariaCases],tblDaily[EntryDate],DATE(2026,3,8),tblDaily[WardCode],"NICU")=0,"",SUMIFS(tblDaily[MalariaCases],tblDaily[EntryDate],DATE(2026,3,8),tblDaily[WardCode],"NICU")),"")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  <c r="I93" s="5" t="str">
        <f>IFERROR(IF(SUMIFS(tblDaily[MalariaCases],tblDaily[EntryDate],DATE(2026,3,9),tblDaily[WardCode],"NICU")=0,"",SUMIFS(tblDaily[MalariaCases],tblDaily[EntryDate],DATE(2026,3,9),tblDaily[WardCode],"NICU")),"")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  <c r="I94" s="5" t="str">
        <f>IFERROR(IF(SUMIFS(tblDaily[MalariaCases],tblDaily[EntryDate],DATE(2026,3,10),tblDaily[WardCode],"NICU")=0,"",SUMIFS(tblDaily[MalariaCases],tblDaily[EntryDate],DATE(2026,3,10),tblDaily[WardCode],"NICU")),"")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  <c r="I95" s="5" t="str">
        <f>IFERROR(IF(SUMIFS(tblDaily[MalariaCases],tblDaily[EntryDate],DATE(2026,3,11),tblDaily[WardCode],"NICU")=0,"",SUMIFS(tblDaily[MalariaCases],tblDaily[EntryDate],DATE(2026,3,11),tblDaily[WardCode],"NICU")),"")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  <c r="I96" s="5" t="str">
        <f>IFERROR(IF(SUMIFS(tblDaily[MalariaCases],tblDaily[EntryDate],DATE(2026,3,12),tblDaily[WardCode],"NICU")=0,"",SUMIFS(tblDaily[MalariaCases],tblDaily[EntryDate],DATE(2026,3,12),tblDaily[WardCode],"NICU")),"")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  <c r="I97" s="5" t="str">
        <f>IFERROR(IF(SUMIFS(tblDaily[MalariaCases],tblDaily[EntryDate],DATE(2026,3,13),tblDaily[WardCode],"NICU")=0,"",SUMIFS(tblDaily[MalariaCases],tblDaily[EntryDate],DATE(2026,3,13),tblDaily[WardCode],"NICU")),"")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  <c r="I98" s="5" t="str">
        <f>IFERROR(IF(SUMIFS(tblDaily[MalariaCases],tblDaily[EntryDate],DATE(2026,3,14),tblDaily[WardCode],"NICU")=0,"",SUMIFS(tblDaily[MalariaCases],tblDaily[EntryDate],DATE(2026,3,14),tblDaily[WardCode],"NICU")),"")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  <c r="I99" s="5" t="str">
        <f>IFERROR(IF(SUMIFS(tblDaily[MalariaCases],tblDaily[EntryDate],DATE(2026,3,15),tblDaily[WardCode],"NICU")=0,"",SUMIFS(tblDaily[MalariaCases],tblDaily[EntryDate],DATE(2026,3,15),tblDaily[WardCode],"NICU")),"")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  <c r="I100" s="5" t="str">
        <f>IFERROR(IF(SUMIFS(tblDaily[MalariaCases],tblDaily[EntryDate],DATE(2026,3,16),tblDaily[WardCode],"NICU")=0,"",SUMIFS(tblDaily[MalariaCases],tblDaily[EntryDate],DATE(2026,3,16),tblDaily[WardCode],"NICU")),"")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  <c r="I101" s="5" t="str">
        <f>IFERROR(IF(SUMIFS(tblDaily[MalariaCases],tblDaily[EntryDate],DATE(2026,3,17),tblDaily[WardCode],"NICU")=0,"",SUMIFS(tblDaily[MalariaCases],tblDaily[EntryDate],DATE(2026,3,17),tblDaily[WardCode],"NICU")),"")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  <c r="I102" s="5" t="str">
        <f>IFERROR(IF(SUMIFS(tblDaily[MalariaCases],tblDaily[EntryDate],DATE(2026,3,18),tblDaily[WardCode],"NICU")=0,"",SUMIFS(tblDaily[MalariaCases],tblDaily[EntryDate],DATE(2026,3,18),tblDaily[WardCode],"NICU")),"")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  <c r="I103" s="5" t="str">
        <f>IFERROR(IF(SUMIFS(tblDaily[MalariaCases],tblDaily[EntryDate],DATE(2026,3,19),tblDaily[WardCode],"NICU")=0,"",SUMIFS(tblDaily[MalariaCases],tblDaily[EntryDate],DATE(2026,3,19),tblDaily[WardCode],"NICU")),"")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  <c r="I104" s="5" t="str">
        <f>IFERROR(IF(SUMIFS(tblDaily[MalariaCases],tblDaily[EntryDate],DATE(2026,3,20),tblDaily[WardCode],"NICU")=0,"",SUMIFS(tblDaily[MalariaCases],tblDaily[EntryDate],DATE(2026,3,20),tblDaily[WardCode],"NICU")),"")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  <c r="I105" s="5" t="str">
        <f>IFERROR(IF(SUMIFS(tblDaily[MalariaCases],tblDaily[EntryDate],DATE(2026,3,21),tblDaily[WardCode],"NICU")=0,"",SUMIFS(tblDaily[MalariaCases],tblDaily[EntryDate],DATE(2026,3,21),tblDaily[WardCode],"NICU")),"")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  <c r="I106" s="5" t="str">
        <f>IFERROR(IF(SUMIFS(tblDaily[MalariaCases],tblDaily[EntryDate],DATE(2026,3,22),tblDaily[WardCode],"NICU")=0,"",SUMIFS(tblDaily[MalariaCases],tblDaily[EntryDate],DATE(2026,3,22),tblDaily[WardCode],"NICU")),"")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  <c r="I107" s="5" t="str">
        <f>IFERROR(IF(SUMIFS(tblDaily[MalariaCases],tblDaily[EntryDate],DATE(2026,3,23),tblDaily[WardCode],"NICU")=0,"",SUMIFS(tblDaily[MalariaCases],tblDaily[EntryDate],DATE(2026,3,23),tblDaily[WardCode],"NICU")),"")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  <c r="I108" s="5" t="str">
        <f>IFERROR(IF(SUMIFS(tblDaily[MalariaCases],tblDaily[EntryDate],DATE(2026,3,24),tblDaily[WardCode],"NICU")=0,"",SUMIFS(tblDaily[MalariaCases],tblDaily[EntryDate],DATE(2026,3,24),tblDaily[WardCode],"NICU")),"")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  <c r="I109" s="5" t="str">
        <f>IFERROR(IF(SUMIFS(tblDaily[MalariaCases],tblDaily[EntryDate],DATE(2026,3,25),tblDaily[WardCode],"NICU")=0,"",SUMIFS(tblDaily[MalariaCases],tblDaily[EntryDate],DATE(2026,3,25),tblDaily[WardCode],"NICU")),"")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  <c r="I110" s="5" t="str">
        <f>IFERROR(IF(SUMIFS(tblDaily[MalariaCases],tblDaily[EntryDate],DATE(2026,3,26),tblDaily[WardCode],"NICU")=0,"",SUMIFS(tblDaily[MalariaCases],tblDaily[EntryDate],DATE(2026,3,26),tblDaily[WardCode],"NICU")),"")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  <c r="I111" s="5" t="str">
        <f>IFERROR(IF(SUMIFS(tblDaily[MalariaCases],tblDaily[EntryDate],DATE(2026,3,27),tblDaily[WardCode],"NICU")=0,"",SUMIFS(tblDaily[MalariaCases],tblDaily[EntryDate],DATE(2026,3,27),tblDaily[WardCode],"NICU")),"")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  <c r="I112" s="5" t="str">
        <f>IFERROR(IF(SUMIFS(tblDaily[MalariaCases],tblDaily[EntryDate],DATE(2026,3,28),tblDaily[WardCode],"NICU")=0,"",SUMIFS(tblDaily[MalariaCases],tblDaily[EntryDate],DATE(2026,3,28),tblDaily[WardCode],"NICU")),"")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  <c r="I113" s="5" t="str">
        <f>IFERROR(IF(SUMIFS(tblDaily[MalariaCases],tblDaily[EntryDate],DATE(2026,3,29),tblDaily[WardCode],"NICU")=0,"",SUMIFS(tblDaily[MalariaCases],tblDaily[EntryDate],DATE(2026,3,29),tblDaily[WardCode],"NICU")),"")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  <c r="I114" s="5" t="str">
        <f>IFERROR(IF(SUMIFS(tblDaily[MalariaCases],tblDaily[EntryDate],DATE(2026,3,30),tblDaily[WardCode],"NICU")=0,"",SUMIFS(tblDaily[MalariaCases],tblDaily[EntryDate],DATE(2026,3,30),tblDaily[WardCode],"NICU")),"")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  <c r="I115" s="5" t="str">
        <f>IFERROR(IF(SUMIFS(tblDaily[MalariaCases],tblDaily[EntryDate],DATE(2026,3,31),tblDaily[WardCode],"NICU")=0,"",SUMIFS(tblDaily[MalariaCases],tblDaily[EntryDate],DATE(2026,3,31),tblDaily[WardCode],"NICU")),"")</f>
        <v/>
      </c>
    </row>
    <row r="116" spans="1:9" x14ac:dyDescent="0.25">
      <c r="A116" s="9" t="s">
        <v>94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100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IFERROR(SUMIFS(tblDaily[Remaining],tblDaily[EntryDate],DATE(2026,3,31),tblDaily[WardCode],"NICU"),0)</f>
        <v>0</v>
      </c>
    </row>
    <row r="122" spans="1:9" x14ac:dyDescent="0.25">
      <c r="A122" s="1" t="s">
        <v>87</v>
      </c>
      <c r="H122" s="7">
        <f>IFERROR(INDEX(tblWardConfig[BedComplement],MATCH("NICU",tblWardConfig[Export Year-End],0)),0)</f>
        <v>15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  <c r="I124" s="5" t="str">
        <f>IFERROR(IF(SUMIFS(tblDaily[MalariaCases],tblDaily[EntryDate],DATE(2026,4,1),tblDaily[WardCode],"NICU")=0,"",SUMIFS(tblDaily[MalariaCases],tblDaily[EntryDate],DATE(2026,4,1),tblDaily[WardCode],"NICU")),"")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  <c r="I125" s="5" t="str">
        <f>IFERROR(IF(SUMIFS(tblDaily[MalariaCases],tblDaily[EntryDate],DATE(2026,4,2),tblDaily[WardCode],"NICU")=0,"",SUMIFS(tblDaily[MalariaCases],tblDaily[EntryDate],DATE(2026,4,2),tblDaily[WardCode],"NICU")),"")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  <c r="I126" s="5" t="str">
        <f>IFERROR(IF(SUMIFS(tblDaily[MalariaCases],tblDaily[EntryDate],DATE(2026,4,3),tblDaily[WardCode],"NICU")=0,"",SUMIFS(tblDaily[MalariaCases],tblDaily[EntryDate],DATE(2026,4,3),tblDaily[WardCode],"NICU")),"")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  <c r="I127" s="5" t="str">
        <f>IFERROR(IF(SUMIFS(tblDaily[MalariaCases],tblDaily[EntryDate],DATE(2026,4,4),tblDaily[WardCode],"NICU")=0,"",SUMIFS(tblDaily[MalariaCases],tblDaily[EntryDate],DATE(2026,4,4),tblDaily[WardCode],"NICU")),"")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  <c r="I128" s="5" t="str">
        <f>IFERROR(IF(SUMIFS(tblDaily[MalariaCases],tblDaily[EntryDate],DATE(2026,4,5),tblDaily[WardCode],"NICU")=0,"",SUMIFS(tblDaily[MalariaCases],tblDaily[EntryDate],DATE(2026,4,5),tblDaily[WardCode],"NICU")),"")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  <c r="I129" s="5" t="str">
        <f>IFERROR(IF(SUMIFS(tblDaily[MalariaCases],tblDaily[EntryDate],DATE(2026,4,6),tblDaily[WardCode],"NICU")=0,"",SUMIFS(tblDaily[MalariaCases],tblDaily[EntryDate],DATE(2026,4,6),tblDaily[WardCode],"NICU")),"")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  <c r="I130" s="5" t="str">
        <f>IFERROR(IF(SUMIFS(tblDaily[MalariaCases],tblDaily[EntryDate],DATE(2026,4,7),tblDaily[WardCode],"NICU")=0,"",SUMIFS(tblDaily[MalariaCases],tblDaily[EntryDate],DATE(2026,4,7),tblDaily[WardCode],"NICU")),"")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  <c r="I131" s="5" t="str">
        <f>IFERROR(IF(SUMIFS(tblDaily[MalariaCases],tblDaily[EntryDate],DATE(2026,4,8),tblDaily[WardCode],"NICU")=0,"",SUMIFS(tblDaily[MalariaCases],tblDaily[EntryDate],DATE(2026,4,8),tblDaily[WardCode],"NICU")),"")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  <c r="I132" s="5" t="str">
        <f>IFERROR(IF(SUMIFS(tblDaily[MalariaCases],tblDaily[EntryDate],DATE(2026,4,9),tblDaily[WardCode],"NICU")=0,"",SUMIFS(tblDaily[MalariaCases],tblDaily[EntryDate],DATE(2026,4,9),tblDaily[WardCode],"NICU")),"")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  <c r="I133" s="5" t="str">
        <f>IFERROR(IF(SUMIFS(tblDaily[MalariaCases],tblDaily[EntryDate],DATE(2026,4,10),tblDaily[WardCode],"NICU")=0,"",SUMIFS(tblDaily[MalariaCases],tblDaily[EntryDate],DATE(2026,4,10),tblDaily[WardCode],"NICU")),"")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  <c r="I134" s="5" t="str">
        <f>IFERROR(IF(SUMIFS(tblDaily[MalariaCases],tblDaily[EntryDate],DATE(2026,4,11),tblDaily[WardCode],"NICU")=0,"",SUMIFS(tblDaily[MalariaCases],tblDaily[EntryDate],DATE(2026,4,11),tblDaily[WardCode],"NICU")),"")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  <c r="I135" s="5" t="str">
        <f>IFERROR(IF(SUMIFS(tblDaily[MalariaCases],tblDaily[EntryDate],DATE(2026,4,12),tblDaily[WardCode],"NICU")=0,"",SUMIFS(tblDaily[MalariaCases],tblDaily[EntryDate],DATE(2026,4,12),tblDaily[WardCode],"NICU")),"")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  <c r="I136" s="5" t="str">
        <f>IFERROR(IF(SUMIFS(tblDaily[MalariaCases],tblDaily[EntryDate],DATE(2026,4,13),tblDaily[WardCode],"NICU")=0,"",SUMIFS(tblDaily[MalariaCases],tblDaily[EntryDate],DATE(2026,4,13),tblDaily[WardCode],"NICU")),"")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  <c r="I137" s="5" t="str">
        <f>IFERROR(IF(SUMIFS(tblDaily[MalariaCases],tblDaily[EntryDate],DATE(2026,4,14),tblDaily[WardCode],"NICU")=0,"",SUMIFS(tblDaily[MalariaCases],tblDaily[EntryDate],DATE(2026,4,14),tblDaily[WardCode],"NICU")),"")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  <c r="I138" s="5" t="str">
        <f>IFERROR(IF(SUMIFS(tblDaily[MalariaCases],tblDaily[EntryDate],DATE(2026,4,15),tblDaily[WardCode],"NICU")=0,"",SUMIFS(tblDaily[MalariaCases],tblDaily[EntryDate],DATE(2026,4,15),tblDaily[WardCode],"NICU")),"")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  <c r="I139" s="5" t="str">
        <f>IFERROR(IF(SUMIFS(tblDaily[MalariaCases],tblDaily[EntryDate],DATE(2026,4,16),tblDaily[WardCode],"NICU")=0,"",SUMIFS(tblDaily[MalariaCases],tblDaily[EntryDate],DATE(2026,4,16),tblDaily[WardCode],"NICU")),"")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  <c r="I140" s="5" t="str">
        <f>IFERROR(IF(SUMIFS(tblDaily[MalariaCases],tblDaily[EntryDate],DATE(2026,4,17),tblDaily[WardCode],"NICU")=0,"",SUMIFS(tblDaily[MalariaCases],tblDaily[EntryDate],DATE(2026,4,17),tblDaily[WardCode],"NICU")),"")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  <c r="I141" s="5" t="str">
        <f>IFERROR(IF(SUMIFS(tblDaily[MalariaCases],tblDaily[EntryDate],DATE(2026,4,18),tblDaily[WardCode],"NICU")=0,"",SUMIFS(tblDaily[MalariaCases],tblDaily[EntryDate],DATE(2026,4,18),tblDaily[WardCode],"NICU")),"")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  <c r="I142" s="5" t="str">
        <f>IFERROR(IF(SUMIFS(tblDaily[MalariaCases],tblDaily[EntryDate],DATE(2026,4,19),tblDaily[WardCode],"NICU")=0,"",SUMIFS(tblDaily[MalariaCases],tblDaily[EntryDate],DATE(2026,4,19),tblDaily[WardCode],"NICU")),"")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  <c r="I143" s="5" t="str">
        <f>IFERROR(IF(SUMIFS(tblDaily[MalariaCases],tblDaily[EntryDate],DATE(2026,4,20),tblDaily[WardCode],"NICU")=0,"",SUMIFS(tblDaily[MalariaCases],tblDaily[EntryDate],DATE(2026,4,20),tblDaily[WardCode],"NICU")),"")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  <c r="I144" s="5" t="str">
        <f>IFERROR(IF(SUMIFS(tblDaily[MalariaCases],tblDaily[EntryDate],DATE(2026,4,21),tblDaily[WardCode],"NICU")=0,"",SUMIFS(tblDaily[MalariaCases],tblDaily[EntryDate],DATE(2026,4,21),tblDaily[WardCode],"NICU")),"")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  <c r="I145" s="5" t="str">
        <f>IFERROR(IF(SUMIFS(tblDaily[MalariaCases],tblDaily[EntryDate],DATE(2026,4,22),tblDaily[WardCode],"NICU")=0,"",SUMIFS(tblDaily[MalariaCases],tblDaily[EntryDate],DATE(2026,4,22),tblDaily[WardCode],"NICU")),"")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  <c r="I146" s="5" t="str">
        <f>IFERROR(IF(SUMIFS(tblDaily[MalariaCases],tblDaily[EntryDate],DATE(2026,4,23),tblDaily[WardCode],"NICU")=0,"",SUMIFS(tblDaily[MalariaCases],tblDaily[EntryDate],DATE(2026,4,23),tblDaily[WardCode],"NICU")),"")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  <c r="I147" s="5" t="str">
        <f>IFERROR(IF(SUMIFS(tblDaily[MalariaCases],tblDaily[EntryDate],DATE(2026,4,24),tblDaily[WardCode],"NICU")=0,"",SUMIFS(tblDaily[MalariaCases],tblDaily[EntryDate],DATE(2026,4,24),tblDaily[WardCode],"NICU")),"")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  <c r="I148" s="5" t="str">
        <f>IFERROR(IF(SUMIFS(tblDaily[MalariaCases],tblDaily[EntryDate],DATE(2026,4,25),tblDaily[WardCode],"NICU")=0,"",SUMIFS(tblDaily[MalariaCases],tblDaily[EntryDate],DATE(2026,4,25),tblDaily[WardCode],"NICU")),"")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  <c r="I149" s="5" t="str">
        <f>IFERROR(IF(SUMIFS(tblDaily[MalariaCases],tblDaily[EntryDate],DATE(2026,4,26),tblDaily[WardCode],"NICU")=0,"",SUMIFS(tblDaily[MalariaCases],tblDaily[EntryDate],DATE(2026,4,26),tblDaily[WardCode],"NICU")),"")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  <c r="I150" s="5" t="str">
        <f>IFERROR(IF(SUMIFS(tblDaily[MalariaCases],tblDaily[EntryDate],DATE(2026,4,27),tblDaily[WardCode],"NICU")=0,"",SUMIFS(tblDaily[MalariaCases],tblDaily[EntryDate],DATE(2026,4,27),tblDaily[WardCode],"NICU")),"")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  <c r="I151" s="5" t="str">
        <f>IFERROR(IF(SUMIFS(tblDaily[MalariaCases],tblDaily[EntryDate],DATE(2026,4,28),tblDaily[WardCode],"NICU")=0,"",SUMIFS(tblDaily[MalariaCases],tblDaily[EntryDate],DATE(2026,4,28),tblDaily[WardCode],"NICU")),"")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  <c r="I152" s="5" t="str">
        <f>IFERROR(IF(SUMIFS(tblDaily[MalariaCases],tblDaily[EntryDate],DATE(2026,4,29),tblDaily[WardCode],"NICU")=0,"",SUMIFS(tblDaily[MalariaCases],tblDaily[EntryDate],DATE(2026,4,29),tblDaily[WardCode],"NICU")),"")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  <c r="I153" s="5" t="str">
        <f>IFERROR(IF(SUMIFS(tblDaily[MalariaCases],tblDaily[EntryDate],DATE(2026,4,30),tblDaily[WardCode],"NICU")=0,"",SUMIFS(tblDaily[MalariaCases],tblDaily[EntryDate],DATE(2026,4,30),tblDaily[WardCode],"NICU")),"")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100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IFERROR(SUMIFS(tblDaily[Remaining],tblDaily[EntryDate],DATE(2026,4,30),tblDaily[WardCode],"NICU"),0)</f>
        <v>0</v>
      </c>
    </row>
    <row r="161" spans="1:9" x14ac:dyDescent="0.25">
      <c r="A161" s="1" t="s">
        <v>87</v>
      </c>
      <c r="H161" s="7">
        <f>IFERROR(INDEX(tblWardConfig[BedComplement],MATCH("NICU",tblWardConfig[Export Year-End],0)),0)</f>
        <v>15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  <c r="I163" s="5" t="str">
        <f>IFERROR(IF(SUMIFS(tblDaily[MalariaCases],tblDaily[EntryDate],DATE(2026,5,1),tblDaily[WardCode],"NICU")=0,"",SUMIFS(tblDaily[MalariaCases],tblDaily[EntryDate],DATE(2026,5,1),tblDaily[WardCode],"NICU")),"")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  <c r="I164" s="5" t="str">
        <f>IFERROR(IF(SUMIFS(tblDaily[MalariaCases],tblDaily[EntryDate],DATE(2026,5,2),tblDaily[WardCode],"NICU")=0,"",SUMIFS(tblDaily[MalariaCases],tblDaily[EntryDate],DATE(2026,5,2),tblDaily[WardCode],"NICU")),"")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  <c r="I165" s="5" t="str">
        <f>IFERROR(IF(SUMIFS(tblDaily[MalariaCases],tblDaily[EntryDate],DATE(2026,5,3),tblDaily[WardCode],"NICU")=0,"",SUMIFS(tblDaily[MalariaCases],tblDaily[EntryDate],DATE(2026,5,3),tblDaily[WardCode],"NICU")),"")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  <c r="I166" s="5" t="str">
        <f>IFERROR(IF(SUMIFS(tblDaily[MalariaCases],tblDaily[EntryDate],DATE(2026,5,4),tblDaily[WardCode],"NICU")=0,"",SUMIFS(tblDaily[MalariaCases],tblDaily[EntryDate],DATE(2026,5,4),tblDaily[WardCode],"NICU")),"")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  <c r="I167" s="5" t="str">
        <f>IFERROR(IF(SUMIFS(tblDaily[MalariaCases],tblDaily[EntryDate],DATE(2026,5,5),tblDaily[WardCode],"NICU")=0,"",SUMIFS(tblDaily[MalariaCases],tblDaily[EntryDate],DATE(2026,5,5),tblDaily[WardCode],"NICU")),"")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  <c r="I168" s="5" t="str">
        <f>IFERROR(IF(SUMIFS(tblDaily[MalariaCases],tblDaily[EntryDate],DATE(2026,5,6),tblDaily[WardCode],"NICU")=0,"",SUMIFS(tblDaily[MalariaCases],tblDaily[EntryDate],DATE(2026,5,6),tblDaily[WardCode],"NICU")),"")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  <c r="I169" s="5" t="str">
        <f>IFERROR(IF(SUMIFS(tblDaily[MalariaCases],tblDaily[EntryDate],DATE(2026,5,7),tblDaily[WardCode],"NICU")=0,"",SUMIFS(tblDaily[MalariaCases],tblDaily[EntryDate],DATE(2026,5,7),tblDaily[WardCode],"NICU")),"")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  <c r="I170" s="5" t="str">
        <f>IFERROR(IF(SUMIFS(tblDaily[MalariaCases],tblDaily[EntryDate],DATE(2026,5,8),tblDaily[WardCode],"NICU")=0,"",SUMIFS(tblDaily[MalariaCases],tblDaily[EntryDate],DATE(2026,5,8),tblDaily[WardCode],"NICU")),"")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  <c r="I171" s="5" t="str">
        <f>IFERROR(IF(SUMIFS(tblDaily[MalariaCases],tblDaily[EntryDate],DATE(2026,5,9),tblDaily[WardCode],"NICU")=0,"",SUMIFS(tblDaily[MalariaCases],tblDaily[EntryDate],DATE(2026,5,9),tblDaily[WardCode],"NICU")),"")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  <c r="I172" s="5" t="str">
        <f>IFERROR(IF(SUMIFS(tblDaily[MalariaCases],tblDaily[EntryDate],DATE(2026,5,10),tblDaily[WardCode],"NICU")=0,"",SUMIFS(tblDaily[MalariaCases],tblDaily[EntryDate],DATE(2026,5,10),tblDaily[WardCode],"NICU")),"")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  <c r="I173" s="5" t="str">
        <f>IFERROR(IF(SUMIFS(tblDaily[MalariaCases],tblDaily[EntryDate],DATE(2026,5,11),tblDaily[WardCode],"NICU")=0,"",SUMIFS(tblDaily[MalariaCases],tblDaily[EntryDate],DATE(2026,5,11),tblDaily[WardCode],"NICU")),"")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  <c r="I174" s="5" t="str">
        <f>IFERROR(IF(SUMIFS(tblDaily[MalariaCases],tblDaily[EntryDate],DATE(2026,5,12),tblDaily[WardCode],"NICU")=0,"",SUMIFS(tblDaily[MalariaCases],tblDaily[EntryDate],DATE(2026,5,12),tblDaily[WardCode],"NICU")),"")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  <c r="I175" s="5" t="str">
        <f>IFERROR(IF(SUMIFS(tblDaily[MalariaCases],tblDaily[EntryDate],DATE(2026,5,13),tblDaily[WardCode],"NICU")=0,"",SUMIFS(tblDaily[MalariaCases],tblDaily[EntryDate],DATE(2026,5,13),tblDaily[WardCode],"NICU")),"")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  <c r="I176" s="5" t="str">
        <f>IFERROR(IF(SUMIFS(tblDaily[MalariaCases],tblDaily[EntryDate],DATE(2026,5,14),tblDaily[WardCode],"NICU")=0,"",SUMIFS(tblDaily[MalariaCases],tblDaily[EntryDate],DATE(2026,5,14),tblDaily[WardCode],"NICU")),"")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  <c r="I177" s="5" t="str">
        <f>IFERROR(IF(SUMIFS(tblDaily[MalariaCases],tblDaily[EntryDate],DATE(2026,5,15),tblDaily[WardCode],"NICU")=0,"",SUMIFS(tblDaily[MalariaCases],tblDaily[EntryDate],DATE(2026,5,15),tblDaily[WardCode],"NICU")),"")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  <c r="I178" s="5" t="str">
        <f>IFERROR(IF(SUMIFS(tblDaily[MalariaCases],tblDaily[EntryDate],DATE(2026,5,16),tblDaily[WardCode],"NICU")=0,"",SUMIFS(tblDaily[MalariaCases],tblDaily[EntryDate],DATE(2026,5,16),tblDaily[WardCode],"NICU")),"")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  <c r="I179" s="5" t="str">
        <f>IFERROR(IF(SUMIFS(tblDaily[MalariaCases],tblDaily[EntryDate],DATE(2026,5,17),tblDaily[WardCode],"NICU")=0,"",SUMIFS(tblDaily[MalariaCases],tblDaily[EntryDate],DATE(2026,5,17),tblDaily[WardCode],"NICU")),"")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  <c r="I180" s="5" t="str">
        <f>IFERROR(IF(SUMIFS(tblDaily[MalariaCases],tblDaily[EntryDate],DATE(2026,5,18),tblDaily[WardCode],"NICU")=0,"",SUMIFS(tblDaily[MalariaCases],tblDaily[EntryDate],DATE(2026,5,18),tblDaily[WardCode],"NICU")),"")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  <c r="I181" s="5" t="str">
        <f>IFERROR(IF(SUMIFS(tblDaily[MalariaCases],tblDaily[EntryDate],DATE(2026,5,19),tblDaily[WardCode],"NICU")=0,"",SUMIFS(tblDaily[MalariaCases],tblDaily[EntryDate],DATE(2026,5,19),tblDaily[WardCode],"NICU")),"")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  <c r="I182" s="5" t="str">
        <f>IFERROR(IF(SUMIFS(tblDaily[MalariaCases],tblDaily[EntryDate],DATE(2026,5,20),tblDaily[WardCode],"NICU")=0,"",SUMIFS(tblDaily[MalariaCases],tblDaily[EntryDate],DATE(2026,5,20),tblDaily[WardCode],"NICU")),"")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  <c r="I183" s="5" t="str">
        <f>IFERROR(IF(SUMIFS(tblDaily[MalariaCases],tblDaily[EntryDate],DATE(2026,5,21),tblDaily[WardCode],"NICU")=0,"",SUMIFS(tblDaily[MalariaCases],tblDaily[EntryDate],DATE(2026,5,21),tblDaily[WardCode],"NICU")),"")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  <c r="I184" s="5" t="str">
        <f>IFERROR(IF(SUMIFS(tblDaily[MalariaCases],tblDaily[EntryDate],DATE(2026,5,22),tblDaily[WardCode],"NICU")=0,"",SUMIFS(tblDaily[MalariaCases],tblDaily[EntryDate],DATE(2026,5,22),tblDaily[WardCode],"NICU")),"")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  <c r="I185" s="5" t="str">
        <f>IFERROR(IF(SUMIFS(tblDaily[MalariaCases],tblDaily[EntryDate],DATE(2026,5,23),tblDaily[WardCode],"NICU")=0,"",SUMIFS(tblDaily[MalariaCases],tblDaily[EntryDate],DATE(2026,5,23),tblDaily[WardCode],"NICU")),"")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  <c r="I186" s="5" t="str">
        <f>IFERROR(IF(SUMIFS(tblDaily[MalariaCases],tblDaily[EntryDate],DATE(2026,5,24),tblDaily[WardCode],"NICU")=0,"",SUMIFS(tblDaily[MalariaCases],tblDaily[EntryDate],DATE(2026,5,24),tblDaily[WardCode],"NICU")),"")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  <c r="I187" s="5" t="str">
        <f>IFERROR(IF(SUMIFS(tblDaily[MalariaCases],tblDaily[EntryDate],DATE(2026,5,25),tblDaily[WardCode],"NICU")=0,"",SUMIFS(tblDaily[MalariaCases],tblDaily[EntryDate],DATE(2026,5,25),tblDaily[WardCode],"NICU")),"")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  <c r="I188" s="5" t="str">
        <f>IFERROR(IF(SUMIFS(tblDaily[MalariaCases],tblDaily[EntryDate],DATE(2026,5,26),tblDaily[WardCode],"NICU")=0,"",SUMIFS(tblDaily[MalariaCases],tblDaily[EntryDate],DATE(2026,5,26),tblDaily[WardCode],"NICU")),"")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  <c r="I189" s="5" t="str">
        <f>IFERROR(IF(SUMIFS(tblDaily[MalariaCases],tblDaily[EntryDate],DATE(2026,5,27),tblDaily[WardCode],"NICU")=0,"",SUMIFS(tblDaily[MalariaCases],tblDaily[EntryDate],DATE(2026,5,27),tblDaily[WardCode],"NICU")),"")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  <c r="I190" s="5" t="str">
        <f>IFERROR(IF(SUMIFS(tblDaily[MalariaCases],tblDaily[EntryDate],DATE(2026,5,28),tblDaily[WardCode],"NICU")=0,"",SUMIFS(tblDaily[MalariaCases],tblDaily[EntryDate],DATE(2026,5,28),tblDaily[WardCode],"NICU")),"")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  <c r="I191" s="5" t="str">
        <f>IFERROR(IF(SUMIFS(tblDaily[MalariaCases],tblDaily[EntryDate],DATE(2026,5,29),tblDaily[WardCode],"NICU")=0,"",SUMIFS(tblDaily[MalariaCases],tblDaily[EntryDate],DATE(2026,5,29),tblDaily[WardCode],"NICU")),"")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  <c r="I192" s="5" t="str">
        <f>IFERROR(IF(SUMIFS(tblDaily[MalariaCases],tblDaily[EntryDate],DATE(2026,5,30),tblDaily[WardCode],"NICU")=0,"",SUMIFS(tblDaily[MalariaCases],tblDaily[EntryDate],DATE(2026,5,30),tblDaily[WardCode],"NICU")),"")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  <c r="I193" s="5" t="str">
        <f>IFERROR(IF(SUMIFS(tblDaily[MalariaCases],tblDaily[EntryDate],DATE(2026,5,31),tblDaily[WardCode],"NICU")=0,"",SUMIFS(tblDaily[MalariaCases],tblDaily[EntryDate],DATE(2026,5,31),tblDaily[WardCode],"NICU")),"")</f>
        <v/>
      </c>
    </row>
    <row r="194" spans="1:9" x14ac:dyDescent="0.25">
      <c r="A194" s="9" t="s">
        <v>94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100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IFERROR(SUMIFS(tblDaily[Remaining],tblDaily[EntryDate],DATE(2026,5,31),tblDaily[WardCode],"NICU"),0)</f>
        <v>0</v>
      </c>
    </row>
    <row r="200" spans="1:9" x14ac:dyDescent="0.25">
      <c r="A200" s="1" t="s">
        <v>87</v>
      </c>
      <c r="H200" s="7">
        <f>IFERROR(INDEX(tblWardConfig[BedComplement],MATCH("NICU",tblWardConfig[Export Year-End],0)),0)</f>
        <v>15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  <c r="I202" s="5" t="str">
        <f>IFERROR(IF(SUMIFS(tblDaily[MalariaCases],tblDaily[EntryDate],DATE(2026,6,1),tblDaily[WardCode],"NICU")=0,"",SUMIFS(tblDaily[MalariaCases],tblDaily[EntryDate],DATE(2026,6,1),tblDaily[WardCode],"NICU")),"")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  <c r="I203" s="5" t="str">
        <f>IFERROR(IF(SUMIFS(tblDaily[MalariaCases],tblDaily[EntryDate],DATE(2026,6,2),tblDaily[WardCode],"NICU")=0,"",SUMIFS(tblDaily[MalariaCases],tblDaily[EntryDate],DATE(2026,6,2),tblDaily[WardCode],"NICU")),"")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  <c r="I204" s="5" t="str">
        <f>IFERROR(IF(SUMIFS(tblDaily[MalariaCases],tblDaily[EntryDate],DATE(2026,6,3),tblDaily[WardCode],"NICU")=0,"",SUMIFS(tblDaily[MalariaCases],tblDaily[EntryDate],DATE(2026,6,3),tblDaily[WardCode],"NICU")),"")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  <c r="I205" s="5" t="str">
        <f>IFERROR(IF(SUMIFS(tblDaily[MalariaCases],tblDaily[EntryDate],DATE(2026,6,4),tblDaily[WardCode],"NICU")=0,"",SUMIFS(tblDaily[MalariaCases],tblDaily[EntryDate],DATE(2026,6,4),tblDaily[WardCode],"NICU")),"")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  <c r="I206" s="5" t="str">
        <f>IFERROR(IF(SUMIFS(tblDaily[MalariaCases],tblDaily[EntryDate],DATE(2026,6,5),tblDaily[WardCode],"NICU")=0,"",SUMIFS(tblDaily[MalariaCases],tblDaily[EntryDate],DATE(2026,6,5),tblDaily[WardCode],"NICU")),"")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  <c r="I207" s="5" t="str">
        <f>IFERROR(IF(SUMIFS(tblDaily[MalariaCases],tblDaily[EntryDate],DATE(2026,6,6),tblDaily[WardCode],"NICU")=0,"",SUMIFS(tblDaily[MalariaCases],tblDaily[EntryDate],DATE(2026,6,6),tblDaily[WardCode],"NICU")),"")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  <c r="I208" s="5" t="str">
        <f>IFERROR(IF(SUMIFS(tblDaily[MalariaCases],tblDaily[EntryDate],DATE(2026,6,7),tblDaily[WardCode],"NICU")=0,"",SUMIFS(tblDaily[MalariaCases],tblDaily[EntryDate],DATE(2026,6,7),tblDaily[WardCode],"NICU")),"")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  <c r="I209" s="5" t="str">
        <f>IFERROR(IF(SUMIFS(tblDaily[MalariaCases],tblDaily[EntryDate],DATE(2026,6,8),tblDaily[WardCode],"NICU")=0,"",SUMIFS(tblDaily[MalariaCases],tblDaily[EntryDate],DATE(2026,6,8),tblDaily[WardCode],"NICU")),"")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  <c r="I210" s="5" t="str">
        <f>IFERROR(IF(SUMIFS(tblDaily[MalariaCases],tblDaily[EntryDate],DATE(2026,6,9),tblDaily[WardCode],"NICU")=0,"",SUMIFS(tblDaily[MalariaCases],tblDaily[EntryDate],DATE(2026,6,9),tblDaily[WardCode],"NICU")),"")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  <c r="I211" s="5" t="str">
        <f>IFERROR(IF(SUMIFS(tblDaily[MalariaCases],tblDaily[EntryDate],DATE(2026,6,10),tblDaily[WardCode],"NICU")=0,"",SUMIFS(tblDaily[MalariaCases],tblDaily[EntryDate],DATE(2026,6,10),tblDaily[WardCode],"NICU")),"")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  <c r="I212" s="5" t="str">
        <f>IFERROR(IF(SUMIFS(tblDaily[MalariaCases],tblDaily[EntryDate],DATE(2026,6,11),tblDaily[WardCode],"NICU")=0,"",SUMIFS(tblDaily[MalariaCases],tblDaily[EntryDate],DATE(2026,6,11),tblDaily[WardCode],"NICU")),"")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  <c r="I213" s="5" t="str">
        <f>IFERROR(IF(SUMIFS(tblDaily[MalariaCases],tblDaily[EntryDate],DATE(2026,6,12),tblDaily[WardCode],"NICU")=0,"",SUMIFS(tblDaily[MalariaCases],tblDaily[EntryDate],DATE(2026,6,12),tblDaily[WardCode],"NICU")),"")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  <c r="I214" s="5" t="str">
        <f>IFERROR(IF(SUMIFS(tblDaily[MalariaCases],tblDaily[EntryDate],DATE(2026,6,13),tblDaily[WardCode],"NICU")=0,"",SUMIFS(tblDaily[MalariaCases],tblDaily[EntryDate],DATE(2026,6,13),tblDaily[WardCode],"NICU")),"")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  <c r="I215" s="5" t="str">
        <f>IFERROR(IF(SUMIFS(tblDaily[MalariaCases],tblDaily[EntryDate],DATE(2026,6,14),tblDaily[WardCode],"NICU")=0,"",SUMIFS(tblDaily[MalariaCases],tblDaily[EntryDate],DATE(2026,6,14),tblDaily[WardCode],"NICU")),"")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  <c r="I216" s="5" t="str">
        <f>IFERROR(IF(SUMIFS(tblDaily[MalariaCases],tblDaily[EntryDate],DATE(2026,6,15),tblDaily[WardCode],"NICU")=0,"",SUMIFS(tblDaily[MalariaCases],tblDaily[EntryDate],DATE(2026,6,15),tblDaily[WardCode],"NICU")),"")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  <c r="I217" s="5" t="str">
        <f>IFERROR(IF(SUMIFS(tblDaily[MalariaCases],tblDaily[EntryDate],DATE(2026,6,16),tblDaily[WardCode],"NICU")=0,"",SUMIFS(tblDaily[MalariaCases],tblDaily[EntryDate],DATE(2026,6,16),tblDaily[WardCode],"NICU")),"")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  <c r="I218" s="5" t="str">
        <f>IFERROR(IF(SUMIFS(tblDaily[MalariaCases],tblDaily[EntryDate],DATE(2026,6,17),tblDaily[WardCode],"NICU")=0,"",SUMIFS(tblDaily[MalariaCases],tblDaily[EntryDate],DATE(2026,6,17),tblDaily[WardCode],"NICU")),"")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  <c r="I219" s="5" t="str">
        <f>IFERROR(IF(SUMIFS(tblDaily[MalariaCases],tblDaily[EntryDate],DATE(2026,6,18),tblDaily[WardCode],"NICU")=0,"",SUMIFS(tblDaily[MalariaCases],tblDaily[EntryDate],DATE(2026,6,18),tblDaily[WardCode],"NICU")),"")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  <c r="I220" s="5" t="str">
        <f>IFERROR(IF(SUMIFS(tblDaily[MalariaCases],tblDaily[EntryDate],DATE(2026,6,19),tblDaily[WardCode],"NICU")=0,"",SUMIFS(tblDaily[MalariaCases],tblDaily[EntryDate],DATE(2026,6,19),tblDaily[WardCode],"NICU")),"")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  <c r="I221" s="5" t="str">
        <f>IFERROR(IF(SUMIFS(tblDaily[MalariaCases],tblDaily[EntryDate],DATE(2026,6,20),tblDaily[WardCode],"NICU")=0,"",SUMIFS(tblDaily[MalariaCases],tblDaily[EntryDate],DATE(2026,6,20),tblDaily[WardCode],"NICU")),"")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  <c r="I222" s="5" t="str">
        <f>IFERROR(IF(SUMIFS(tblDaily[MalariaCases],tblDaily[EntryDate],DATE(2026,6,21),tblDaily[WardCode],"NICU")=0,"",SUMIFS(tblDaily[MalariaCases],tblDaily[EntryDate],DATE(2026,6,21),tblDaily[WardCode],"NICU")),"")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  <c r="I223" s="5" t="str">
        <f>IFERROR(IF(SUMIFS(tblDaily[MalariaCases],tblDaily[EntryDate],DATE(2026,6,22),tblDaily[WardCode],"NICU")=0,"",SUMIFS(tblDaily[MalariaCases],tblDaily[EntryDate],DATE(2026,6,22),tblDaily[WardCode],"NICU")),"")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  <c r="I224" s="5" t="str">
        <f>IFERROR(IF(SUMIFS(tblDaily[MalariaCases],tblDaily[EntryDate],DATE(2026,6,23),tblDaily[WardCode],"NICU")=0,"",SUMIFS(tblDaily[MalariaCases],tblDaily[EntryDate],DATE(2026,6,23),tblDaily[WardCode],"NICU")),"")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  <c r="I225" s="5" t="str">
        <f>IFERROR(IF(SUMIFS(tblDaily[MalariaCases],tblDaily[EntryDate],DATE(2026,6,24),tblDaily[WardCode],"NICU")=0,"",SUMIFS(tblDaily[MalariaCases],tblDaily[EntryDate],DATE(2026,6,24),tblDaily[WardCode],"NICU")),"")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  <c r="I226" s="5" t="str">
        <f>IFERROR(IF(SUMIFS(tblDaily[MalariaCases],tblDaily[EntryDate],DATE(2026,6,25),tblDaily[WardCode],"NICU")=0,"",SUMIFS(tblDaily[MalariaCases],tblDaily[EntryDate],DATE(2026,6,25),tblDaily[WardCode],"NICU")),"")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  <c r="I227" s="5" t="str">
        <f>IFERROR(IF(SUMIFS(tblDaily[MalariaCases],tblDaily[EntryDate],DATE(2026,6,26),tblDaily[WardCode],"NICU")=0,"",SUMIFS(tblDaily[MalariaCases],tblDaily[EntryDate],DATE(2026,6,26),tblDaily[WardCode],"NICU")),"")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  <c r="I228" s="5" t="str">
        <f>IFERROR(IF(SUMIFS(tblDaily[MalariaCases],tblDaily[EntryDate],DATE(2026,6,27),tblDaily[WardCode],"NICU")=0,"",SUMIFS(tblDaily[MalariaCases],tblDaily[EntryDate],DATE(2026,6,27),tblDaily[WardCode],"NICU")),"")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  <c r="I229" s="5" t="str">
        <f>IFERROR(IF(SUMIFS(tblDaily[MalariaCases],tblDaily[EntryDate],DATE(2026,6,28),tblDaily[WardCode],"NICU")=0,"",SUMIFS(tblDaily[MalariaCases],tblDaily[EntryDate],DATE(2026,6,28),tblDaily[WardCode],"NICU")),"")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  <c r="I230" s="5" t="str">
        <f>IFERROR(IF(SUMIFS(tblDaily[MalariaCases],tblDaily[EntryDate],DATE(2026,6,29),tblDaily[WardCode],"NICU")=0,"",SUMIFS(tblDaily[MalariaCases],tblDaily[EntryDate],DATE(2026,6,29),tblDaily[WardCode],"NICU")),"")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  <c r="I231" s="5" t="str">
        <f>IFERROR(IF(SUMIFS(tblDaily[MalariaCases],tblDaily[EntryDate],DATE(2026,6,30),tblDaily[WardCode],"NICU")=0,"",SUMIFS(tblDaily[MalariaCases],tblDaily[EntryDate],DATE(2026,6,30),tblDaily[WardCode],"NICU")),"")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100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IFERROR(SUMIFS(tblDaily[Remaining],tblDaily[EntryDate],DATE(2026,6,30),tblDaily[WardCode],"NICU"),0)</f>
        <v>0</v>
      </c>
    </row>
    <row r="239" spans="1:9" x14ac:dyDescent="0.25">
      <c r="A239" s="1" t="s">
        <v>87</v>
      </c>
      <c r="H239" s="7">
        <f>IFERROR(INDEX(tblWardConfig[BedComplement],MATCH("NICU",tblWardConfig[Export Year-End],0)),0)</f>
        <v>15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  <c r="I241" s="5" t="str">
        <f>IFERROR(IF(SUMIFS(tblDaily[MalariaCases],tblDaily[EntryDate],DATE(2026,7,1),tblDaily[WardCode],"NICU")=0,"",SUMIFS(tblDaily[MalariaCases],tblDaily[EntryDate],DATE(2026,7,1),tblDaily[WardCode],"NICU")),"")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  <c r="I242" s="5" t="str">
        <f>IFERROR(IF(SUMIFS(tblDaily[MalariaCases],tblDaily[EntryDate],DATE(2026,7,2),tblDaily[WardCode],"NICU")=0,"",SUMIFS(tblDaily[MalariaCases],tblDaily[EntryDate],DATE(2026,7,2),tblDaily[WardCode],"NICU")),"")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  <c r="I243" s="5" t="str">
        <f>IFERROR(IF(SUMIFS(tblDaily[MalariaCases],tblDaily[EntryDate],DATE(2026,7,3),tblDaily[WardCode],"NICU")=0,"",SUMIFS(tblDaily[MalariaCases],tblDaily[EntryDate],DATE(2026,7,3),tblDaily[WardCode],"NICU")),"")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  <c r="I244" s="5" t="str">
        <f>IFERROR(IF(SUMIFS(tblDaily[MalariaCases],tblDaily[EntryDate],DATE(2026,7,4),tblDaily[WardCode],"NICU")=0,"",SUMIFS(tblDaily[MalariaCases],tblDaily[EntryDate],DATE(2026,7,4),tblDaily[WardCode],"NICU")),"")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  <c r="I245" s="5" t="str">
        <f>IFERROR(IF(SUMIFS(tblDaily[MalariaCases],tblDaily[EntryDate],DATE(2026,7,5),tblDaily[WardCode],"NICU")=0,"",SUMIFS(tblDaily[MalariaCases],tblDaily[EntryDate],DATE(2026,7,5),tblDaily[WardCode],"NICU")),"")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  <c r="I246" s="5" t="str">
        <f>IFERROR(IF(SUMIFS(tblDaily[MalariaCases],tblDaily[EntryDate],DATE(2026,7,6),tblDaily[WardCode],"NICU")=0,"",SUMIFS(tblDaily[MalariaCases],tblDaily[EntryDate],DATE(2026,7,6),tblDaily[WardCode],"NICU")),"")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  <c r="I247" s="5" t="str">
        <f>IFERROR(IF(SUMIFS(tblDaily[MalariaCases],tblDaily[EntryDate],DATE(2026,7,7),tblDaily[WardCode],"NICU")=0,"",SUMIFS(tblDaily[MalariaCases],tblDaily[EntryDate],DATE(2026,7,7),tblDaily[WardCode],"NICU")),"")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  <c r="I248" s="5" t="str">
        <f>IFERROR(IF(SUMIFS(tblDaily[MalariaCases],tblDaily[EntryDate],DATE(2026,7,8),tblDaily[WardCode],"NICU")=0,"",SUMIFS(tblDaily[MalariaCases],tblDaily[EntryDate],DATE(2026,7,8),tblDaily[WardCode],"NICU")),"")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  <c r="I249" s="5" t="str">
        <f>IFERROR(IF(SUMIFS(tblDaily[MalariaCases],tblDaily[EntryDate],DATE(2026,7,9),tblDaily[WardCode],"NICU")=0,"",SUMIFS(tblDaily[MalariaCases],tblDaily[EntryDate],DATE(2026,7,9),tblDaily[WardCode],"NICU")),"")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  <c r="I250" s="5" t="str">
        <f>IFERROR(IF(SUMIFS(tblDaily[MalariaCases],tblDaily[EntryDate],DATE(2026,7,10),tblDaily[WardCode],"NICU")=0,"",SUMIFS(tblDaily[MalariaCases],tblDaily[EntryDate],DATE(2026,7,10),tblDaily[WardCode],"NICU")),"")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  <c r="I251" s="5" t="str">
        <f>IFERROR(IF(SUMIFS(tblDaily[MalariaCases],tblDaily[EntryDate],DATE(2026,7,11),tblDaily[WardCode],"NICU")=0,"",SUMIFS(tblDaily[MalariaCases],tblDaily[EntryDate],DATE(2026,7,11),tblDaily[WardCode],"NICU")),"")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  <c r="I252" s="5" t="str">
        <f>IFERROR(IF(SUMIFS(tblDaily[MalariaCases],tblDaily[EntryDate],DATE(2026,7,12),tblDaily[WardCode],"NICU")=0,"",SUMIFS(tblDaily[MalariaCases],tblDaily[EntryDate],DATE(2026,7,12),tblDaily[WardCode],"NICU")),"")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  <c r="I253" s="5" t="str">
        <f>IFERROR(IF(SUMIFS(tblDaily[MalariaCases],tblDaily[EntryDate],DATE(2026,7,13),tblDaily[WardCode],"NICU")=0,"",SUMIFS(tblDaily[MalariaCases],tblDaily[EntryDate],DATE(2026,7,13),tblDaily[WardCode],"NICU")),"")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  <c r="I254" s="5" t="str">
        <f>IFERROR(IF(SUMIFS(tblDaily[MalariaCases],tblDaily[EntryDate],DATE(2026,7,14),tblDaily[WardCode],"NICU")=0,"",SUMIFS(tblDaily[MalariaCases],tblDaily[EntryDate],DATE(2026,7,14),tblDaily[WardCode],"NICU")),"")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  <c r="I255" s="5" t="str">
        <f>IFERROR(IF(SUMIFS(tblDaily[MalariaCases],tblDaily[EntryDate],DATE(2026,7,15),tblDaily[WardCode],"NICU")=0,"",SUMIFS(tblDaily[MalariaCases],tblDaily[EntryDate],DATE(2026,7,15),tblDaily[WardCode],"NICU")),"")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  <c r="I256" s="5" t="str">
        <f>IFERROR(IF(SUMIFS(tblDaily[MalariaCases],tblDaily[EntryDate],DATE(2026,7,16),tblDaily[WardCode],"NICU")=0,"",SUMIFS(tblDaily[MalariaCases],tblDaily[EntryDate],DATE(2026,7,16),tblDaily[WardCode],"NICU")),"")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  <c r="I257" s="5" t="str">
        <f>IFERROR(IF(SUMIFS(tblDaily[MalariaCases],tblDaily[EntryDate],DATE(2026,7,17),tblDaily[WardCode],"NICU")=0,"",SUMIFS(tblDaily[MalariaCases],tblDaily[EntryDate],DATE(2026,7,17),tblDaily[WardCode],"NICU")),"")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  <c r="I258" s="5" t="str">
        <f>IFERROR(IF(SUMIFS(tblDaily[MalariaCases],tblDaily[EntryDate],DATE(2026,7,18),tblDaily[WardCode],"NICU")=0,"",SUMIFS(tblDaily[MalariaCases],tblDaily[EntryDate],DATE(2026,7,18),tblDaily[WardCode],"NICU")),"")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  <c r="I259" s="5" t="str">
        <f>IFERROR(IF(SUMIFS(tblDaily[MalariaCases],tblDaily[EntryDate],DATE(2026,7,19),tblDaily[WardCode],"NICU")=0,"",SUMIFS(tblDaily[MalariaCases],tblDaily[EntryDate],DATE(2026,7,19),tblDaily[WardCode],"NICU")),"")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  <c r="I260" s="5" t="str">
        <f>IFERROR(IF(SUMIFS(tblDaily[MalariaCases],tblDaily[EntryDate],DATE(2026,7,20),tblDaily[WardCode],"NICU")=0,"",SUMIFS(tblDaily[MalariaCases],tblDaily[EntryDate],DATE(2026,7,20),tblDaily[WardCode],"NICU")),"")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  <c r="I261" s="5" t="str">
        <f>IFERROR(IF(SUMIFS(tblDaily[MalariaCases],tblDaily[EntryDate],DATE(2026,7,21),tblDaily[WardCode],"NICU")=0,"",SUMIFS(tblDaily[MalariaCases],tblDaily[EntryDate],DATE(2026,7,21),tblDaily[WardCode],"NICU")),"")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  <c r="I262" s="5" t="str">
        <f>IFERROR(IF(SUMIFS(tblDaily[MalariaCases],tblDaily[EntryDate],DATE(2026,7,22),tblDaily[WardCode],"NICU")=0,"",SUMIFS(tblDaily[MalariaCases],tblDaily[EntryDate],DATE(2026,7,22),tblDaily[WardCode],"NICU")),"")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  <c r="I263" s="5" t="str">
        <f>IFERROR(IF(SUMIFS(tblDaily[MalariaCases],tblDaily[EntryDate],DATE(2026,7,23),tblDaily[WardCode],"NICU")=0,"",SUMIFS(tblDaily[MalariaCases],tblDaily[EntryDate],DATE(2026,7,23),tblDaily[WardCode],"NICU")),"")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  <c r="I264" s="5" t="str">
        <f>IFERROR(IF(SUMIFS(tblDaily[MalariaCases],tblDaily[EntryDate],DATE(2026,7,24),tblDaily[WardCode],"NICU")=0,"",SUMIFS(tblDaily[MalariaCases],tblDaily[EntryDate],DATE(2026,7,24),tblDaily[WardCode],"NICU")),"")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  <c r="I265" s="5" t="str">
        <f>IFERROR(IF(SUMIFS(tblDaily[MalariaCases],tblDaily[EntryDate],DATE(2026,7,25),tblDaily[WardCode],"NICU")=0,"",SUMIFS(tblDaily[MalariaCases],tblDaily[EntryDate],DATE(2026,7,25),tblDaily[WardCode],"NICU")),"")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  <c r="I266" s="5" t="str">
        <f>IFERROR(IF(SUMIFS(tblDaily[MalariaCases],tblDaily[EntryDate],DATE(2026,7,26),tblDaily[WardCode],"NICU")=0,"",SUMIFS(tblDaily[MalariaCases],tblDaily[EntryDate],DATE(2026,7,26),tblDaily[WardCode],"NICU")),"")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  <c r="I267" s="5" t="str">
        <f>IFERROR(IF(SUMIFS(tblDaily[MalariaCases],tblDaily[EntryDate],DATE(2026,7,27),tblDaily[WardCode],"NICU")=0,"",SUMIFS(tblDaily[MalariaCases],tblDaily[EntryDate],DATE(2026,7,27),tblDaily[WardCode],"NICU")),"")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  <c r="I268" s="5" t="str">
        <f>IFERROR(IF(SUMIFS(tblDaily[MalariaCases],tblDaily[EntryDate],DATE(2026,7,28),tblDaily[WardCode],"NICU")=0,"",SUMIFS(tblDaily[MalariaCases],tblDaily[EntryDate],DATE(2026,7,28),tblDaily[WardCode],"NICU")),"")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  <c r="I269" s="5" t="str">
        <f>IFERROR(IF(SUMIFS(tblDaily[MalariaCases],tblDaily[EntryDate],DATE(2026,7,29),tblDaily[WardCode],"NICU")=0,"",SUMIFS(tblDaily[MalariaCases],tblDaily[EntryDate],DATE(2026,7,29),tblDaily[WardCode],"NICU")),"")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  <c r="I270" s="5" t="str">
        <f>IFERROR(IF(SUMIFS(tblDaily[MalariaCases],tblDaily[EntryDate],DATE(2026,7,30),tblDaily[WardCode],"NICU")=0,"",SUMIFS(tblDaily[MalariaCases],tblDaily[EntryDate],DATE(2026,7,30),tblDaily[WardCode],"NICU")),"")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  <c r="I271" s="5" t="str">
        <f>IFERROR(IF(SUMIFS(tblDaily[MalariaCases],tblDaily[EntryDate],DATE(2026,7,31),tblDaily[WardCode],"NICU")=0,"",SUMIFS(tblDaily[MalariaCases],tblDaily[EntryDate],DATE(2026,7,31),tblDaily[WardCode],"NICU")),"")</f>
        <v/>
      </c>
    </row>
    <row r="272" spans="1:9" x14ac:dyDescent="0.25">
      <c r="A272" s="9" t="s">
        <v>94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100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IFERROR(SUMIFS(tblDaily[Remaining],tblDaily[EntryDate],DATE(2026,7,31),tblDaily[WardCode],"NICU"),0)</f>
        <v>0</v>
      </c>
    </row>
    <row r="278" spans="1:9" x14ac:dyDescent="0.25">
      <c r="A278" s="1" t="s">
        <v>87</v>
      </c>
      <c r="H278" s="7">
        <f>IFERROR(INDEX(tblWardConfig[BedComplement],MATCH("NICU",tblWardConfig[Export Year-End],0)),0)</f>
        <v>15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  <c r="I280" s="5" t="str">
        <f>IFERROR(IF(SUMIFS(tblDaily[MalariaCases],tblDaily[EntryDate],DATE(2026,8,1),tblDaily[WardCode],"NICU")=0,"",SUMIFS(tblDaily[MalariaCases],tblDaily[EntryDate],DATE(2026,8,1),tblDaily[WardCode],"NICU")),"")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  <c r="I281" s="5" t="str">
        <f>IFERROR(IF(SUMIFS(tblDaily[MalariaCases],tblDaily[EntryDate],DATE(2026,8,2),tblDaily[WardCode],"NICU")=0,"",SUMIFS(tblDaily[MalariaCases],tblDaily[EntryDate],DATE(2026,8,2),tblDaily[WardCode],"NICU")),"")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  <c r="I282" s="5" t="str">
        <f>IFERROR(IF(SUMIFS(tblDaily[MalariaCases],tblDaily[EntryDate],DATE(2026,8,3),tblDaily[WardCode],"NICU")=0,"",SUMIFS(tblDaily[MalariaCases],tblDaily[EntryDate],DATE(2026,8,3),tblDaily[WardCode],"NICU")),"")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  <c r="I283" s="5" t="str">
        <f>IFERROR(IF(SUMIFS(tblDaily[MalariaCases],tblDaily[EntryDate],DATE(2026,8,4),tblDaily[WardCode],"NICU")=0,"",SUMIFS(tblDaily[MalariaCases],tblDaily[EntryDate],DATE(2026,8,4),tblDaily[WardCode],"NICU")),"")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  <c r="I284" s="5" t="str">
        <f>IFERROR(IF(SUMIFS(tblDaily[MalariaCases],tblDaily[EntryDate],DATE(2026,8,5),tblDaily[WardCode],"NICU")=0,"",SUMIFS(tblDaily[MalariaCases],tblDaily[EntryDate],DATE(2026,8,5),tblDaily[WardCode],"NICU")),"")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  <c r="I285" s="5" t="str">
        <f>IFERROR(IF(SUMIFS(tblDaily[MalariaCases],tblDaily[EntryDate],DATE(2026,8,6),tblDaily[WardCode],"NICU")=0,"",SUMIFS(tblDaily[MalariaCases],tblDaily[EntryDate],DATE(2026,8,6),tblDaily[WardCode],"NICU")),"")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  <c r="I286" s="5" t="str">
        <f>IFERROR(IF(SUMIFS(tblDaily[MalariaCases],tblDaily[EntryDate],DATE(2026,8,7),tblDaily[WardCode],"NICU")=0,"",SUMIFS(tblDaily[MalariaCases],tblDaily[EntryDate],DATE(2026,8,7),tblDaily[WardCode],"NICU")),"")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  <c r="I287" s="5" t="str">
        <f>IFERROR(IF(SUMIFS(tblDaily[MalariaCases],tblDaily[EntryDate],DATE(2026,8,8),tblDaily[WardCode],"NICU")=0,"",SUMIFS(tblDaily[MalariaCases],tblDaily[EntryDate],DATE(2026,8,8),tblDaily[WardCode],"NICU")),"")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  <c r="I288" s="5" t="str">
        <f>IFERROR(IF(SUMIFS(tblDaily[MalariaCases],tblDaily[EntryDate],DATE(2026,8,9),tblDaily[WardCode],"NICU")=0,"",SUMIFS(tblDaily[MalariaCases],tblDaily[EntryDate],DATE(2026,8,9),tblDaily[WardCode],"NICU")),"")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  <c r="I289" s="5" t="str">
        <f>IFERROR(IF(SUMIFS(tblDaily[MalariaCases],tblDaily[EntryDate],DATE(2026,8,10),tblDaily[WardCode],"NICU")=0,"",SUMIFS(tblDaily[MalariaCases],tblDaily[EntryDate],DATE(2026,8,10),tblDaily[WardCode],"NICU")),"")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  <c r="I290" s="5" t="str">
        <f>IFERROR(IF(SUMIFS(tblDaily[MalariaCases],tblDaily[EntryDate],DATE(2026,8,11),tblDaily[WardCode],"NICU")=0,"",SUMIFS(tblDaily[MalariaCases],tblDaily[EntryDate],DATE(2026,8,11),tblDaily[WardCode],"NICU")),"")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  <c r="I291" s="5" t="str">
        <f>IFERROR(IF(SUMIFS(tblDaily[MalariaCases],tblDaily[EntryDate],DATE(2026,8,12),tblDaily[WardCode],"NICU")=0,"",SUMIFS(tblDaily[MalariaCases],tblDaily[EntryDate],DATE(2026,8,12),tblDaily[WardCode],"NICU")),"")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  <c r="I292" s="5" t="str">
        <f>IFERROR(IF(SUMIFS(tblDaily[MalariaCases],tblDaily[EntryDate],DATE(2026,8,13),tblDaily[WardCode],"NICU")=0,"",SUMIFS(tblDaily[MalariaCases],tblDaily[EntryDate],DATE(2026,8,13),tblDaily[WardCode],"NICU")),"")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  <c r="I293" s="5" t="str">
        <f>IFERROR(IF(SUMIFS(tblDaily[MalariaCases],tblDaily[EntryDate],DATE(2026,8,14),tblDaily[WardCode],"NICU")=0,"",SUMIFS(tblDaily[MalariaCases],tblDaily[EntryDate],DATE(2026,8,14),tblDaily[WardCode],"NICU")),"")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  <c r="I294" s="5" t="str">
        <f>IFERROR(IF(SUMIFS(tblDaily[MalariaCases],tblDaily[EntryDate],DATE(2026,8,15),tblDaily[WardCode],"NICU")=0,"",SUMIFS(tblDaily[MalariaCases],tblDaily[EntryDate],DATE(2026,8,15),tblDaily[WardCode],"NICU")),"")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  <c r="I295" s="5" t="str">
        <f>IFERROR(IF(SUMIFS(tblDaily[MalariaCases],tblDaily[EntryDate],DATE(2026,8,16),tblDaily[WardCode],"NICU")=0,"",SUMIFS(tblDaily[MalariaCases],tblDaily[EntryDate],DATE(2026,8,16),tblDaily[WardCode],"NICU")),"")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  <c r="I296" s="5" t="str">
        <f>IFERROR(IF(SUMIFS(tblDaily[MalariaCases],tblDaily[EntryDate],DATE(2026,8,17),tblDaily[WardCode],"NICU")=0,"",SUMIFS(tblDaily[MalariaCases],tblDaily[EntryDate],DATE(2026,8,17),tblDaily[WardCode],"NICU")),"")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  <c r="I297" s="5" t="str">
        <f>IFERROR(IF(SUMIFS(tblDaily[MalariaCases],tblDaily[EntryDate],DATE(2026,8,18),tblDaily[WardCode],"NICU")=0,"",SUMIFS(tblDaily[MalariaCases],tblDaily[EntryDate],DATE(2026,8,18),tblDaily[WardCode],"NICU")),"")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  <c r="I298" s="5" t="str">
        <f>IFERROR(IF(SUMIFS(tblDaily[MalariaCases],tblDaily[EntryDate],DATE(2026,8,19),tblDaily[WardCode],"NICU")=0,"",SUMIFS(tblDaily[MalariaCases],tblDaily[EntryDate],DATE(2026,8,19),tblDaily[WardCode],"NICU")),"")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  <c r="I299" s="5" t="str">
        <f>IFERROR(IF(SUMIFS(tblDaily[MalariaCases],tblDaily[EntryDate],DATE(2026,8,20),tblDaily[WardCode],"NICU")=0,"",SUMIFS(tblDaily[MalariaCases],tblDaily[EntryDate],DATE(2026,8,20),tblDaily[WardCode],"NICU")),"")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  <c r="I300" s="5" t="str">
        <f>IFERROR(IF(SUMIFS(tblDaily[MalariaCases],tblDaily[EntryDate],DATE(2026,8,21),tblDaily[WardCode],"NICU")=0,"",SUMIFS(tblDaily[MalariaCases],tblDaily[EntryDate],DATE(2026,8,21),tblDaily[WardCode],"NICU")),"")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  <c r="I301" s="5" t="str">
        <f>IFERROR(IF(SUMIFS(tblDaily[MalariaCases],tblDaily[EntryDate],DATE(2026,8,22),tblDaily[WardCode],"NICU")=0,"",SUMIFS(tblDaily[MalariaCases],tblDaily[EntryDate],DATE(2026,8,22),tblDaily[WardCode],"NICU")),"")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  <c r="I302" s="5" t="str">
        <f>IFERROR(IF(SUMIFS(tblDaily[MalariaCases],tblDaily[EntryDate],DATE(2026,8,23),tblDaily[WardCode],"NICU")=0,"",SUMIFS(tblDaily[MalariaCases],tblDaily[EntryDate],DATE(2026,8,23),tblDaily[WardCode],"NICU")),"")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  <c r="I303" s="5" t="str">
        <f>IFERROR(IF(SUMIFS(tblDaily[MalariaCases],tblDaily[EntryDate],DATE(2026,8,24),tblDaily[WardCode],"NICU")=0,"",SUMIFS(tblDaily[MalariaCases],tblDaily[EntryDate],DATE(2026,8,24),tblDaily[WardCode],"NICU")),"")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  <c r="I304" s="5" t="str">
        <f>IFERROR(IF(SUMIFS(tblDaily[MalariaCases],tblDaily[EntryDate],DATE(2026,8,25),tblDaily[WardCode],"NICU")=0,"",SUMIFS(tblDaily[MalariaCases],tblDaily[EntryDate],DATE(2026,8,25),tblDaily[WardCode],"NICU")),"")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  <c r="I305" s="5" t="str">
        <f>IFERROR(IF(SUMIFS(tblDaily[MalariaCases],tblDaily[EntryDate],DATE(2026,8,26),tblDaily[WardCode],"NICU")=0,"",SUMIFS(tblDaily[MalariaCases],tblDaily[EntryDate],DATE(2026,8,26),tblDaily[WardCode],"NICU")),"")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  <c r="I306" s="5" t="str">
        <f>IFERROR(IF(SUMIFS(tblDaily[MalariaCases],tblDaily[EntryDate],DATE(2026,8,27),tblDaily[WardCode],"NICU")=0,"",SUMIFS(tblDaily[MalariaCases],tblDaily[EntryDate],DATE(2026,8,27),tblDaily[WardCode],"NICU")),"")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  <c r="I307" s="5" t="str">
        <f>IFERROR(IF(SUMIFS(tblDaily[MalariaCases],tblDaily[EntryDate],DATE(2026,8,28),tblDaily[WardCode],"NICU")=0,"",SUMIFS(tblDaily[MalariaCases],tblDaily[EntryDate],DATE(2026,8,28),tblDaily[WardCode],"NICU")),"")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  <c r="I308" s="5" t="str">
        <f>IFERROR(IF(SUMIFS(tblDaily[MalariaCases],tblDaily[EntryDate],DATE(2026,8,29),tblDaily[WardCode],"NICU")=0,"",SUMIFS(tblDaily[MalariaCases],tblDaily[EntryDate],DATE(2026,8,29),tblDaily[WardCode],"NICU")),"")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  <c r="I309" s="5" t="str">
        <f>IFERROR(IF(SUMIFS(tblDaily[MalariaCases],tblDaily[EntryDate],DATE(2026,8,30),tblDaily[WardCode],"NICU")=0,"",SUMIFS(tblDaily[MalariaCases],tblDaily[EntryDate],DATE(2026,8,30),tblDaily[WardCode],"NICU")),"")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  <c r="I310" s="5" t="str">
        <f>IFERROR(IF(SUMIFS(tblDaily[MalariaCases],tblDaily[EntryDate],DATE(2026,8,31),tblDaily[WardCode],"NICU")=0,"",SUMIFS(tblDaily[MalariaCases],tblDaily[EntryDate],DATE(2026,8,31),tblDaily[WardCode],"NICU")),"")</f>
        <v/>
      </c>
    </row>
    <row r="311" spans="1:9" x14ac:dyDescent="0.25">
      <c r="A311" s="9" t="s">
        <v>94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100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IFERROR(SUMIFS(tblDaily[Remaining],tblDaily[EntryDate],DATE(2026,8,31),tblDaily[WardCode],"NICU"),0)</f>
        <v>0</v>
      </c>
    </row>
    <row r="317" spans="1:9" x14ac:dyDescent="0.25">
      <c r="A317" s="1" t="s">
        <v>87</v>
      </c>
      <c r="H317" s="7">
        <f>IFERROR(INDEX(tblWardConfig[BedComplement],MATCH("NICU",tblWardConfig[Export Year-End],0)),0)</f>
        <v>15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  <c r="I319" s="5" t="str">
        <f>IFERROR(IF(SUMIFS(tblDaily[MalariaCases],tblDaily[EntryDate],DATE(2026,9,1),tblDaily[WardCode],"NICU")=0,"",SUMIFS(tblDaily[MalariaCases],tblDaily[EntryDate],DATE(2026,9,1),tblDaily[WardCode],"NICU")),"")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  <c r="I320" s="5" t="str">
        <f>IFERROR(IF(SUMIFS(tblDaily[MalariaCases],tblDaily[EntryDate],DATE(2026,9,2),tblDaily[WardCode],"NICU")=0,"",SUMIFS(tblDaily[MalariaCases],tblDaily[EntryDate],DATE(2026,9,2),tblDaily[WardCode],"NICU")),"")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  <c r="I321" s="5" t="str">
        <f>IFERROR(IF(SUMIFS(tblDaily[MalariaCases],tblDaily[EntryDate],DATE(2026,9,3),tblDaily[WardCode],"NICU")=0,"",SUMIFS(tblDaily[MalariaCases],tblDaily[EntryDate],DATE(2026,9,3),tblDaily[WardCode],"NICU")),"")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  <c r="I322" s="5" t="str">
        <f>IFERROR(IF(SUMIFS(tblDaily[MalariaCases],tblDaily[EntryDate],DATE(2026,9,4),tblDaily[WardCode],"NICU")=0,"",SUMIFS(tblDaily[MalariaCases],tblDaily[EntryDate],DATE(2026,9,4),tblDaily[WardCode],"NICU")),"")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  <c r="I323" s="5" t="str">
        <f>IFERROR(IF(SUMIFS(tblDaily[MalariaCases],tblDaily[EntryDate],DATE(2026,9,5),tblDaily[WardCode],"NICU")=0,"",SUMIFS(tblDaily[MalariaCases],tblDaily[EntryDate],DATE(2026,9,5),tblDaily[WardCode],"NICU")),"")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  <c r="I324" s="5" t="str">
        <f>IFERROR(IF(SUMIFS(tblDaily[MalariaCases],tblDaily[EntryDate],DATE(2026,9,6),tblDaily[WardCode],"NICU")=0,"",SUMIFS(tblDaily[MalariaCases],tblDaily[EntryDate],DATE(2026,9,6),tblDaily[WardCode],"NICU")),"")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  <c r="I325" s="5" t="str">
        <f>IFERROR(IF(SUMIFS(tblDaily[MalariaCases],tblDaily[EntryDate],DATE(2026,9,7),tblDaily[WardCode],"NICU")=0,"",SUMIFS(tblDaily[MalariaCases],tblDaily[EntryDate],DATE(2026,9,7),tblDaily[WardCode],"NICU")),"")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  <c r="I326" s="5" t="str">
        <f>IFERROR(IF(SUMIFS(tblDaily[MalariaCases],tblDaily[EntryDate],DATE(2026,9,8),tblDaily[WardCode],"NICU")=0,"",SUMIFS(tblDaily[MalariaCases],tblDaily[EntryDate],DATE(2026,9,8),tblDaily[WardCode],"NICU")),"")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  <c r="I327" s="5" t="str">
        <f>IFERROR(IF(SUMIFS(tblDaily[MalariaCases],tblDaily[EntryDate],DATE(2026,9,9),tblDaily[WardCode],"NICU")=0,"",SUMIFS(tblDaily[MalariaCases],tblDaily[EntryDate],DATE(2026,9,9),tblDaily[WardCode],"NICU")),"")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  <c r="I328" s="5" t="str">
        <f>IFERROR(IF(SUMIFS(tblDaily[MalariaCases],tblDaily[EntryDate],DATE(2026,9,10),tblDaily[WardCode],"NICU")=0,"",SUMIFS(tblDaily[MalariaCases],tblDaily[EntryDate],DATE(2026,9,10),tblDaily[WardCode],"NICU")),"")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  <c r="I329" s="5" t="str">
        <f>IFERROR(IF(SUMIFS(tblDaily[MalariaCases],tblDaily[EntryDate],DATE(2026,9,11),tblDaily[WardCode],"NICU")=0,"",SUMIFS(tblDaily[MalariaCases],tblDaily[EntryDate],DATE(2026,9,11),tblDaily[WardCode],"NICU")),"")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  <c r="I330" s="5" t="str">
        <f>IFERROR(IF(SUMIFS(tblDaily[MalariaCases],tblDaily[EntryDate],DATE(2026,9,12),tblDaily[WardCode],"NICU")=0,"",SUMIFS(tblDaily[MalariaCases],tblDaily[EntryDate],DATE(2026,9,12),tblDaily[WardCode],"NICU")),"")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  <c r="I331" s="5" t="str">
        <f>IFERROR(IF(SUMIFS(tblDaily[MalariaCases],tblDaily[EntryDate],DATE(2026,9,13),tblDaily[WardCode],"NICU")=0,"",SUMIFS(tblDaily[MalariaCases],tblDaily[EntryDate],DATE(2026,9,13),tblDaily[WardCode],"NICU")),"")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  <c r="I332" s="5" t="str">
        <f>IFERROR(IF(SUMIFS(tblDaily[MalariaCases],tblDaily[EntryDate],DATE(2026,9,14),tblDaily[WardCode],"NICU")=0,"",SUMIFS(tblDaily[MalariaCases],tblDaily[EntryDate],DATE(2026,9,14),tblDaily[WardCode],"NICU")),"")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  <c r="I333" s="5" t="str">
        <f>IFERROR(IF(SUMIFS(tblDaily[MalariaCases],tblDaily[EntryDate],DATE(2026,9,15),tblDaily[WardCode],"NICU")=0,"",SUMIFS(tblDaily[MalariaCases],tblDaily[EntryDate],DATE(2026,9,15),tblDaily[WardCode],"NICU")),"")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  <c r="I334" s="5" t="str">
        <f>IFERROR(IF(SUMIFS(tblDaily[MalariaCases],tblDaily[EntryDate],DATE(2026,9,16),tblDaily[WardCode],"NICU")=0,"",SUMIFS(tblDaily[MalariaCases],tblDaily[EntryDate],DATE(2026,9,16),tblDaily[WardCode],"NICU")),"")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  <c r="I335" s="5" t="str">
        <f>IFERROR(IF(SUMIFS(tblDaily[MalariaCases],tblDaily[EntryDate],DATE(2026,9,17),tblDaily[WardCode],"NICU")=0,"",SUMIFS(tblDaily[MalariaCases],tblDaily[EntryDate],DATE(2026,9,17),tblDaily[WardCode],"NICU")),"")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  <c r="I336" s="5" t="str">
        <f>IFERROR(IF(SUMIFS(tblDaily[MalariaCases],tblDaily[EntryDate],DATE(2026,9,18),tblDaily[WardCode],"NICU")=0,"",SUMIFS(tblDaily[MalariaCases],tblDaily[EntryDate],DATE(2026,9,18),tblDaily[WardCode],"NICU")),"")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  <c r="I337" s="5" t="str">
        <f>IFERROR(IF(SUMIFS(tblDaily[MalariaCases],tblDaily[EntryDate],DATE(2026,9,19),tblDaily[WardCode],"NICU")=0,"",SUMIFS(tblDaily[MalariaCases],tblDaily[EntryDate],DATE(2026,9,19),tblDaily[WardCode],"NICU")),"")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  <c r="I338" s="5" t="str">
        <f>IFERROR(IF(SUMIFS(tblDaily[MalariaCases],tblDaily[EntryDate],DATE(2026,9,20),tblDaily[WardCode],"NICU")=0,"",SUMIFS(tblDaily[MalariaCases],tblDaily[EntryDate],DATE(2026,9,20),tblDaily[WardCode],"NICU")),"")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  <c r="I339" s="5" t="str">
        <f>IFERROR(IF(SUMIFS(tblDaily[MalariaCases],tblDaily[EntryDate],DATE(2026,9,21),tblDaily[WardCode],"NICU")=0,"",SUMIFS(tblDaily[MalariaCases],tblDaily[EntryDate],DATE(2026,9,21),tblDaily[WardCode],"NICU")),"")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  <c r="I340" s="5" t="str">
        <f>IFERROR(IF(SUMIFS(tblDaily[MalariaCases],tblDaily[EntryDate],DATE(2026,9,22),tblDaily[WardCode],"NICU")=0,"",SUMIFS(tblDaily[MalariaCases],tblDaily[EntryDate],DATE(2026,9,22),tblDaily[WardCode],"NICU")),"")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  <c r="I341" s="5" t="str">
        <f>IFERROR(IF(SUMIFS(tblDaily[MalariaCases],tblDaily[EntryDate],DATE(2026,9,23),tblDaily[WardCode],"NICU")=0,"",SUMIFS(tblDaily[MalariaCases],tblDaily[EntryDate],DATE(2026,9,23),tblDaily[WardCode],"NICU")),"")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  <c r="I342" s="5" t="str">
        <f>IFERROR(IF(SUMIFS(tblDaily[MalariaCases],tblDaily[EntryDate],DATE(2026,9,24),tblDaily[WardCode],"NICU")=0,"",SUMIFS(tblDaily[MalariaCases],tblDaily[EntryDate],DATE(2026,9,24),tblDaily[WardCode],"NICU")),"")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  <c r="I343" s="5" t="str">
        <f>IFERROR(IF(SUMIFS(tblDaily[MalariaCases],tblDaily[EntryDate],DATE(2026,9,25),tblDaily[WardCode],"NICU")=0,"",SUMIFS(tblDaily[MalariaCases],tblDaily[EntryDate],DATE(2026,9,25),tblDaily[WardCode],"NICU")),"")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  <c r="I344" s="5" t="str">
        <f>IFERROR(IF(SUMIFS(tblDaily[MalariaCases],tblDaily[EntryDate],DATE(2026,9,26),tblDaily[WardCode],"NICU")=0,"",SUMIFS(tblDaily[MalariaCases],tblDaily[EntryDate],DATE(2026,9,26),tblDaily[WardCode],"NICU")),"")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  <c r="I345" s="5" t="str">
        <f>IFERROR(IF(SUMIFS(tblDaily[MalariaCases],tblDaily[EntryDate],DATE(2026,9,27),tblDaily[WardCode],"NICU")=0,"",SUMIFS(tblDaily[MalariaCases],tblDaily[EntryDate],DATE(2026,9,27),tblDaily[WardCode],"NICU")),"")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  <c r="I346" s="5" t="str">
        <f>IFERROR(IF(SUMIFS(tblDaily[MalariaCases],tblDaily[EntryDate],DATE(2026,9,28),tblDaily[WardCode],"NICU")=0,"",SUMIFS(tblDaily[MalariaCases],tblDaily[EntryDate],DATE(2026,9,28),tblDaily[WardCode],"NICU")),"")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  <c r="I347" s="5" t="str">
        <f>IFERROR(IF(SUMIFS(tblDaily[MalariaCases],tblDaily[EntryDate],DATE(2026,9,29),tblDaily[WardCode],"NICU")=0,"",SUMIFS(tblDaily[MalariaCases],tblDaily[EntryDate],DATE(2026,9,29),tblDaily[WardCode],"NICU")),"")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  <c r="I348" s="5" t="str">
        <f>IFERROR(IF(SUMIFS(tblDaily[MalariaCases],tblDaily[EntryDate],DATE(2026,9,30),tblDaily[WardCode],"NICU")=0,"",SUMIFS(tblDaily[MalariaCases],tblDaily[EntryDate],DATE(2026,9,30),tblDaily[WardCode],"NICU")),"")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100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IFERROR(SUMIFS(tblDaily[Remaining],tblDaily[EntryDate],DATE(2026,9,30),tblDaily[WardCode],"NICU"),0)</f>
        <v>0</v>
      </c>
    </row>
    <row r="356" spans="1:9" x14ac:dyDescent="0.25">
      <c r="A356" s="1" t="s">
        <v>87</v>
      </c>
      <c r="H356" s="7">
        <f>IFERROR(INDEX(tblWardConfig[BedComplement],MATCH("NICU",tblWardConfig[Export Year-End],0)),0)</f>
        <v>15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  <c r="I358" s="5" t="str">
        <f>IFERROR(IF(SUMIFS(tblDaily[MalariaCases],tblDaily[EntryDate],DATE(2026,10,1),tblDaily[WardCode],"NICU")=0,"",SUMIFS(tblDaily[MalariaCases],tblDaily[EntryDate],DATE(2026,10,1),tblDaily[WardCode],"NICU")),"")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  <c r="I359" s="5" t="str">
        <f>IFERROR(IF(SUMIFS(tblDaily[MalariaCases],tblDaily[EntryDate],DATE(2026,10,2),tblDaily[WardCode],"NICU")=0,"",SUMIFS(tblDaily[MalariaCases],tblDaily[EntryDate],DATE(2026,10,2),tblDaily[WardCode],"NICU")),"")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  <c r="I360" s="5" t="str">
        <f>IFERROR(IF(SUMIFS(tblDaily[MalariaCases],tblDaily[EntryDate],DATE(2026,10,3),tblDaily[WardCode],"NICU")=0,"",SUMIFS(tblDaily[MalariaCases],tblDaily[EntryDate],DATE(2026,10,3),tblDaily[WardCode],"NICU")),"")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  <c r="I361" s="5" t="str">
        <f>IFERROR(IF(SUMIFS(tblDaily[MalariaCases],tblDaily[EntryDate],DATE(2026,10,4),tblDaily[WardCode],"NICU")=0,"",SUMIFS(tblDaily[MalariaCases],tblDaily[EntryDate],DATE(2026,10,4),tblDaily[WardCode],"NICU")),"")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  <c r="I362" s="5" t="str">
        <f>IFERROR(IF(SUMIFS(tblDaily[MalariaCases],tblDaily[EntryDate],DATE(2026,10,5),tblDaily[WardCode],"NICU")=0,"",SUMIFS(tblDaily[MalariaCases],tblDaily[EntryDate],DATE(2026,10,5),tblDaily[WardCode],"NICU")),"")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  <c r="I363" s="5" t="str">
        <f>IFERROR(IF(SUMIFS(tblDaily[MalariaCases],tblDaily[EntryDate],DATE(2026,10,6),tblDaily[WardCode],"NICU")=0,"",SUMIFS(tblDaily[MalariaCases],tblDaily[EntryDate],DATE(2026,10,6),tblDaily[WardCode],"NICU")),"")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  <c r="I364" s="5" t="str">
        <f>IFERROR(IF(SUMIFS(tblDaily[MalariaCases],tblDaily[EntryDate],DATE(2026,10,7),tblDaily[WardCode],"NICU")=0,"",SUMIFS(tblDaily[MalariaCases],tblDaily[EntryDate],DATE(2026,10,7),tblDaily[WardCode],"NICU")),"")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  <c r="I365" s="5" t="str">
        <f>IFERROR(IF(SUMIFS(tblDaily[MalariaCases],tblDaily[EntryDate],DATE(2026,10,8),tblDaily[WardCode],"NICU")=0,"",SUMIFS(tblDaily[MalariaCases],tblDaily[EntryDate],DATE(2026,10,8),tblDaily[WardCode],"NICU")),"")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  <c r="I366" s="5" t="str">
        <f>IFERROR(IF(SUMIFS(tblDaily[MalariaCases],tblDaily[EntryDate],DATE(2026,10,9),tblDaily[WardCode],"NICU")=0,"",SUMIFS(tblDaily[MalariaCases],tblDaily[EntryDate],DATE(2026,10,9),tblDaily[WardCode],"NICU")),"")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  <c r="I367" s="5" t="str">
        <f>IFERROR(IF(SUMIFS(tblDaily[MalariaCases],tblDaily[EntryDate],DATE(2026,10,10),tblDaily[WardCode],"NICU")=0,"",SUMIFS(tblDaily[MalariaCases],tblDaily[EntryDate],DATE(2026,10,10),tblDaily[WardCode],"NICU")),"")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  <c r="I368" s="5" t="str">
        <f>IFERROR(IF(SUMIFS(tblDaily[MalariaCases],tblDaily[EntryDate],DATE(2026,10,11),tblDaily[WardCode],"NICU")=0,"",SUMIFS(tblDaily[MalariaCases],tblDaily[EntryDate],DATE(2026,10,11),tblDaily[WardCode],"NICU")),"")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  <c r="I369" s="5" t="str">
        <f>IFERROR(IF(SUMIFS(tblDaily[MalariaCases],tblDaily[EntryDate],DATE(2026,10,12),tblDaily[WardCode],"NICU")=0,"",SUMIFS(tblDaily[MalariaCases],tblDaily[EntryDate],DATE(2026,10,12),tblDaily[WardCode],"NICU")),"")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  <c r="I370" s="5" t="str">
        <f>IFERROR(IF(SUMIFS(tblDaily[MalariaCases],tblDaily[EntryDate],DATE(2026,10,13),tblDaily[WardCode],"NICU")=0,"",SUMIFS(tblDaily[MalariaCases],tblDaily[EntryDate],DATE(2026,10,13),tblDaily[WardCode],"NICU")),"")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  <c r="I371" s="5" t="str">
        <f>IFERROR(IF(SUMIFS(tblDaily[MalariaCases],tblDaily[EntryDate],DATE(2026,10,14),tblDaily[WardCode],"NICU")=0,"",SUMIFS(tblDaily[MalariaCases],tblDaily[EntryDate],DATE(2026,10,14),tblDaily[WardCode],"NICU")),"")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  <c r="I372" s="5" t="str">
        <f>IFERROR(IF(SUMIFS(tblDaily[MalariaCases],tblDaily[EntryDate],DATE(2026,10,15),tblDaily[WardCode],"NICU")=0,"",SUMIFS(tblDaily[MalariaCases],tblDaily[EntryDate],DATE(2026,10,15),tblDaily[WardCode],"NICU")),"")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  <c r="I373" s="5" t="str">
        <f>IFERROR(IF(SUMIFS(tblDaily[MalariaCases],tblDaily[EntryDate],DATE(2026,10,16),tblDaily[WardCode],"NICU")=0,"",SUMIFS(tblDaily[MalariaCases],tblDaily[EntryDate],DATE(2026,10,16),tblDaily[WardCode],"NICU")),"")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  <c r="I374" s="5" t="str">
        <f>IFERROR(IF(SUMIFS(tblDaily[MalariaCases],tblDaily[EntryDate],DATE(2026,10,17),tblDaily[WardCode],"NICU")=0,"",SUMIFS(tblDaily[MalariaCases],tblDaily[EntryDate],DATE(2026,10,17),tblDaily[WardCode],"NICU")),"")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  <c r="I375" s="5" t="str">
        <f>IFERROR(IF(SUMIFS(tblDaily[MalariaCases],tblDaily[EntryDate],DATE(2026,10,18),tblDaily[WardCode],"NICU")=0,"",SUMIFS(tblDaily[MalariaCases],tblDaily[EntryDate],DATE(2026,10,18),tblDaily[WardCode],"NICU")),"")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  <c r="I376" s="5" t="str">
        <f>IFERROR(IF(SUMIFS(tblDaily[MalariaCases],tblDaily[EntryDate],DATE(2026,10,19),tblDaily[WardCode],"NICU")=0,"",SUMIFS(tblDaily[MalariaCases],tblDaily[EntryDate],DATE(2026,10,19),tblDaily[WardCode],"NICU")),"")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  <c r="I377" s="5" t="str">
        <f>IFERROR(IF(SUMIFS(tblDaily[MalariaCases],tblDaily[EntryDate],DATE(2026,10,20),tblDaily[WardCode],"NICU")=0,"",SUMIFS(tblDaily[MalariaCases],tblDaily[EntryDate],DATE(2026,10,20),tblDaily[WardCode],"NICU")),"")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  <c r="I378" s="5" t="str">
        <f>IFERROR(IF(SUMIFS(tblDaily[MalariaCases],tblDaily[EntryDate],DATE(2026,10,21),tblDaily[WardCode],"NICU")=0,"",SUMIFS(tblDaily[MalariaCases],tblDaily[EntryDate],DATE(2026,10,21),tblDaily[WardCode],"NICU")),"")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  <c r="I379" s="5" t="str">
        <f>IFERROR(IF(SUMIFS(tblDaily[MalariaCases],tblDaily[EntryDate],DATE(2026,10,22),tblDaily[WardCode],"NICU")=0,"",SUMIFS(tblDaily[MalariaCases],tblDaily[EntryDate],DATE(2026,10,22),tblDaily[WardCode],"NICU")),"")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  <c r="I380" s="5" t="str">
        <f>IFERROR(IF(SUMIFS(tblDaily[MalariaCases],tblDaily[EntryDate],DATE(2026,10,23),tblDaily[WardCode],"NICU")=0,"",SUMIFS(tblDaily[MalariaCases],tblDaily[EntryDate],DATE(2026,10,23),tblDaily[WardCode],"NICU")),"")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  <c r="I381" s="5" t="str">
        <f>IFERROR(IF(SUMIFS(tblDaily[MalariaCases],tblDaily[EntryDate],DATE(2026,10,24),tblDaily[WardCode],"NICU")=0,"",SUMIFS(tblDaily[MalariaCases],tblDaily[EntryDate],DATE(2026,10,24),tblDaily[WardCode],"NICU")),"")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  <c r="I382" s="5" t="str">
        <f>IFERROR(IF(SUMIFS(tblDaily[MalariaCases],tblDaily[EntryDate],DATE(2026,10,25),tblDaily[WardCode],"NICU")=0,"",SUMIFS(tblDaily[MalariaCases],tblDaily[EntryDate],DATE(2026,10,25),tblDaily[WardCode],"NICU")),"")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  <c r="I383" s="5" t="str">
        <f>IFERROR(IF(SUMIFS(tblDaily[MalariaCases],tblDaily[EntryDate],DATE(2026,10,26),tblDaily[WardCode],"NICU")=0,"",SUMIFS(tblDaily[MalariaCases],tblDaily[EntryDate],DATE(2026,10,26),tblDaily[WardCode],"NICU")),"")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  <c r="I384" s="5" t="str">
        <f>IFERROR(IF(SUMIFS(tblDaily[MalariaCases],tblDaily[EntryDate],DATE(2026,10,27),tblDaily[WardCode],"NICU")=0,"",SUMIFS(tblDaily[MalariaCases],tblDaily[EntryDate],DATE(2026,10,27),tblDaily[WardCode],"NICU")),"")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  <c r="I385" s="5" t="str">
        <f>IFERROR(IF(SUMIFS(tblDaily[MalariaCases],tblDaily[EntryDate],DATE(2026,10,28),tblDaily[WardCode],"NICU")=0,"",SUMIFS(tblDaily[MalariaCases],tblDaily[EntryDate],DATE(2026,10,28),tblDaily[WardCode],"NICU")),"")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  <c r="I386" s="5" t="str">
        <f>IFERROR(IF(SUMIFS(tblDaily[MalariaCases],tblDaily[EntryDate],DATE(2026,10,29),tblDaily[WardCode],"NICU")=0,"",SUMIFS(tblDaily[MalariaCases],tblDaily[EntryDate],DATE(2026,10,29),tblDaily[WardCode],"NICU")),"")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  <c r="I387" s="5" t="str">
        <f>IFERROR(IF(SUMIFS(tblDaily[MalariaCases],tblDaily[EntryDate],DATE(2026,10,30),tblDaily[WardCode],"NICU")=0,"",SUMIFS(tblDaily[MalariaCases],tblDaily[EntryDate],DATE(2026,10,30),tblDaily[WardCode],"NICU")),"")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  <c r="I388" s="5" t="str">
        <f>IFERROR(IF(SUMIFS(tblDaily[MalariaCases],tblDaily[EntryDate],DATE(2026,10,31),tblDaily[WardCode],"NICU")=0,"",SUMIFS(tblDaily[MalariaCases],tblDaily[EntryDate],DATE(2026,10,31),tblDaily[WardCode],"NICU")),"")</f>
        <v/>
      </c>
    </row>
    <row r="389" spans="1:9" x14ac:dyDescent="0.25">
      <c r="A389" s="9" t="s">
        <v>94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100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IFERROR(SUMIFS(tblDaily[Remaining],tblDaily[EntryDate],DATE(2026,10,31),tblDaily[WardCode],"NICU"),0)</f>
        <v>0</v>
      </c>
    </row>
    <row r="395" spans="1:9" x14ac:dyDescent="0.25">
      <c r="A395" s="1" t="s">
        <v>87</v>
      </c>
      <c r="H395" s="7">
        <f>IFERROR(INDEX(tblWardConfig[BedComplement],MATCH("NICU",tblWardConfig[Export Year-End],0)),0)</f>
        <v>15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  <c r="I397" s="5" t="str">
        <f>IFERROR(IF(SUMIFS(tblDaily[MalariaCases],tblDaily[EntryDate],DATE(2026,11,1),tblDaily[WardCode],"NICU")=0,"",SUMIFS(tblDaily[MalariaCases],tblDaily[EntryDate],DATE(2026,11,1),tblDaily[WardCode],"NICU")),"")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  <c r="I398" s="5" t="str">
        <f>IFERROR(IF(SUMIFS(tblDaily[MalariaCases],tblDaily[EntryDate],DATE(2026,11,2),tblDaily[WardCode],"NICU")=0,"",SUMIFS(tblDaily[MalariaCases],tblDaily[EntryDate],DATE(2026,11,2),tblDaily[WardCode],"NICU")),"")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  <c r="I399" s="5" t="str">
        <f>IFERROR(IF(SUMIFS(tblDaily[MalariaCases],tblDaily[EntryDate],DATE(2026,11,3),tblDaily[WardCode],"NICU")=0,"",SUMIFS(tblDaily[MalariaCases],tblDaily[EntryDate],DATE(2026,11,3),tblDaily[WardCode],"NICU")),"")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  <c r="I400" s="5" t="str">
        <f>IFERROR(IF(SUMIFS(tblDaily[MalariaCases],tblDaily[EntryDate],DATE(2026,11,4),tblDaily[WardCode],"NICU")=0,"",SUMIFS(tblDaily[MalariaCases],tblDaily[EntryDate],DATE(2026,11,4),tblDaily[WardCode],"NICU")),"")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  <c r="I401" s="5" t="str">
        <f>IFERROR(IF(SUMIFS(tblDaily[MalariaCases],tblDaily[EntryDate],DATE(2026,11,5),tblDaily[WardCode],"NICU")=0,"",SUMIFS(tblDaily[MalariaCases],tblDaily[EntryDate],DATE(2026,11,5),tblDaily[WardCode],"NICU")),"")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  <c r="I402" s="5" t="str">
        <f>IFERROR(IF(SUMIFS(tblDaily[MalariaCases],tblDaily[EntryDate],DATE(2026,11,6),tblDaily[WardCode],"NICU")=0,"",SUMIFS(tblDaily[MalariaCases],tblDaily[EntryDate],DATE(2026,11,6),tblDaily[WardCode],"NICU")),"")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  <c r="I403" s="5" t="str">
        <f>IFERROR(IF(SUMIFS(tblDaily[MalariaCases],tblDaily[EntryDate],DATE(2026,11,7),tblDaily[WardCode],"NICU")=0,"",SUMIFS(tblDaily[MalariaCases],tblDaily[EntryDate],DATE(2026,11,7),tblDaily[WardCode],"NICU")),"")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  <c r="I404" s="5" t="str">
        <f>IFERROR(IF(SUMIFS(tblDaily[MalariaCases],tblDaily[EntryDate],DATE(2026,11,8),tblDaily[WardCode],"NICU")=0,"",SUMIFS(tblDaily[MalariaCases],tblDaily[EntryDate],DATE(2026,11,8),tblDaily[WardCode],"NICU")),"")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  <c r="I405" s="5" t="str">
        <f>IFERROR(IF(SUMIFS(tblDaily[MalariaCases],tblDaily[EntryDate],DATE(2026,11,9),tblDaily[WardCode],"NICU")=0,"",SUMIFS(tblDaily[MalariaCases],tblDaily[EntryDate],DATE(2026,11,9),tblDaily[WardCode],"NICU")),"")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  <c r="I406" s="5" t="str">
        <f>IFERROR(IF(SUMIFS(tblDaily[MalariaCases],tblDaily[EntryDate],DATE(2026,11,10),tblDaily[WardCode],"NICU")=0,"",SUMIFS(tblDaily[MalariaCases],tblDaily[EntryDate],DATE(2026,11,10),tblDaily[WardCode],"NICU")),"")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  <c r="I407" s="5" t="str">
        <f>IFERROR(IF(SUMIFS(tblDaily[MalariaCases],tblDaily[EntryDate],DATE(2026,11,11),tblDaily[WardCode],"NICU")=0,"",SUMIFS(tblDaily[MalariaCases],tblDaily[EntryDate],DATE(2026,11,11),tblDaily[WardCode],"NICU")),"")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  <c r="I408" s="5" t="str">
        <f>IFERROR(IF(SUMIFS(tblDaily[MalariaCases],tblDaily[EntryDate],DATE(2026,11,12),tblDaily[WardCode],"NICU")=0,"",SUMIFS(tblDaily[MalariaCases],tblDaily[EntryDate],DATE(2026,11,12),tblDaily[WardCode],"NICU")),"")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  <c r="I409" s="5" t="str">
        <f>IFERROR(IF(SUMIFS(tblDaily[MalariaCases],tblDaily[EntryDate],DATE(2026,11,13),tblDaily[WardCode],"NICU")=0,"",SUMIFS(tblDaily[MalariaCases],tblDaily[EntryDate],DATE(2026,11,13),tblDaily[WardCode],"NICU")),"")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  <c r="I410" s="5" t="str">
        <f>IFERROR(IF(SUMIFS(tblDaily[MalariaCases],tblDaily[EntryDate],DATE(2026,11,14),tblDaily[WardCode],"NICU")=0,"",SUMIFS(tblDaily[MalariaCases],tblDaily[EntryDate],DATE(2026,11,14),tblDaily[WardCode],"NICU")),"")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  <c r="I411" s="5" t="str">
        <f>IFERROR(IF(SUMIFS(tblDaily[MalariaCases],tblDaily[EntryDate],DATE(2026,11,15),tblDaily[WardCode],"NICU")=0,"",SUMIFS(tblDaily[MalariaCases],tblDaily[EntryDate],DATE(2026,11,15),tblDaily[WardCode],"NICU")),"")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  <c r="I412" s="5" t="str">
        <f>IFERROR(IF(SUMIFS(tblDaily[MalariaCases],tblDaily[EntryDate],DATE(2026,11,16),tblDaily[WardCode],"NICU")=0,"",SUMIFS(tblDaily[MalariaCases],tblDaily[EntryDate],DATE(2026,11,16),tblDaily[WardCode],"NICU")),"")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  <c r="I413" s="5" t="str">
        <f>IFERROR(IF(SUMIFS(tblDaily[MalariaCases],tblDaily[EntryDate],DATE(2026,11,17),tblDaily[WardCode],"NICU")=0,"",SUMIFS(tblDaily[MalariaCases],tblDaily[EntryDate],DATE(2026,11,17),tblDaily[WardCode],"NICU")),"")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  <c r="I414" s="5" t="str">
        <f>IFERROR(IF(SUMIFS(tblDaily[MalariaCases],tblDaily[EntryDate],DATE(2026,11,18),tblDaily[WardCode],"NICU")=0,"",SUMIFS(tblDaily[MalariaCases],tblDaily[EntryDate],DATE(2026,11,18),tblDaily[WardCode],"NICU")),"")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  <c r="I415" s="5" t="str">
        <f>IFERROR(IF(SUMIFS(tblDaily[MalariaCases],tblDaily[EntryDate],DATE(2026,11,19),tblDaily[WardCode],"NICU")=0,"",SUMIFS(tblDaily[MalariaCases],tblDaily[EntryDate],DATE(2026,11,19),tblDaily[WardCode],"NICU")),"")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  <c r="I416" s="5" t="str">
        <f>IFERROR(IF(SUMIFS(tblDaily[MalariaCases],tblDaily[EntryDate],DATE(2026,11,20),tblDaily[WardCode],"NICU")=0,"",SUMIFS(tblDaily[MalariaCases],tblDaily[EntryDate],DATE(2026,11,20),tblDaily[WardCode],"NICU")),"")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  <c r="I417" s="5" t="str">
        <f>IFERROR(IF(SUMIFS(tblDaily[MalariaCases],tblDaily[EntryDate],DATE(2026,11,21),tblDaily[WardCode],"NICU")=0,"",SUMIFS(tblDaily[MalariaCases],tblDaily[EntryDate],DATE(2026,11,21),tblDaily[WardCode],"NICU")),"")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  <c r="I418" s="5" t="str">
        <f>IFERROR(IF(SUMIFS(tblDaily[MalariaCases],tblDaily[EntryDate],DATE(2026,11,22),tblDaily[WardCode],"NICU")=0,"",SUMIFS(tblDaily[MalariaCases],tblDaily[EntryDate],DATE(2026,11,22),tblDaily[WardCode],"NICU")),"")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  <c r="I419" s="5" t="str">
        <f>IFERROR(IF(SUMIFS(tblDaily[MalariaCases],tblDaily[EntryDate],DATE(2026,11,23),tblDaily[WardCode],"NICU")=0,"",SUMIFS(tblDaily[MalariaCases],tblDaily[EntryDate],DATE(2026,11,23),tblDaily[WardCode],"NICU")),"")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  <c r="I420" s="5" t="str">
        <f>IFERROR(IF(SUMIFS(tblDaily[MalariaCases],tblDaily[EntryDate],DATE(2026,11,24),tblDaily[WardCode],"NICU")=0,"",SUMIFS(tblDaily[MalariaCases],tblDaily[EntryDate],DATE(2026,11,24),tblDaily[WardCode],"NICU")),"")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  <c r="I421" s="5" t="str">
        <f>IFERROR(IF(SUMIFS(tblDaily[MalariaCases],tblDaily[EntryDate],DATE(2026,11,25),tblDaily[WardCode],"NICU")=0,"",SUMIFS(tblDaily[MalariaCases],tblDaily[EntryDate],DATE(2026,11,25),tblDaily[WardCode],"NICU")),"")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  <c r="I422" s="5" t="str">
        <f>IFERROR(IF(SUMIFS(tblDaily[MalariaCases],tblDaily[EntryDate],DATE(2026,11,26),tblDaily[WardCode],"NICU")=0,"",SUMIFS(tblDaily[MalariaCases],tblDaily[EntryDate],DATE(2026,11,26),tblDaily[WardCode],"NICU")),"")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  <c r="I423" s="5" t="str">
        <f>IFERROR(IF(SUMIFS(tblDaily[MalariaCases],tblDaily[EntryDate],DATE(2026,11,27),tblDaily[WardCode],"NICU")=0,"",SUMIFS(tblDaily[MalariaCases],tblDaily[EntryDate],DATE(2026,11,27),tblDaily[WardCode],"NICU")),"")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  <c r="I424" s="5" t="str">
        <f>IFERROR(IF(SUMIFS(tblDaily[MalariaCases],tblDaily[EntryDate],DATE(2026,11,28),tblDaily[WardCode],"NICU")=0,"",SUMIFS(tblDaily[MalariaCases],tblDaily[EntryDate],DATE(2026,11,28),tblDaily[WardCode],"NICU")),"")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  <c r="I425" s="5" t="str">
        <f>IFERROR(IF(SUMIFS(tblDaily[MalariaCases],tblDaily[EntryDate],DATE(2026,11,29),tblDaily[WardCode],"NICU")=0,"",SUMIFS(tblDaily[MalariaCases],tblDaily[EntryDate],DATE(2026,11,29),tblDaily[WardCode],"NICU")),"")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  <c r="I426" s="5" t="str">
        <f>IFERROR(IF(SUMIFS(tblDaily[MalariaCases],tblDaily[EntryDate],DATE(2026,11,30),tblDaily[WardCode],"NICU")=0,"",SUMIFS(tblDaily[MalariaCases],tblDaily[EntryDate],DATE(2026,11,30),tblDaily[WardCode],"NICU")),"")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100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IFERROR(SUMIFS(tblDaily[Remaining],tblDaily[EntryDate],DATE(2026,11,30),tblDaily[WardCode],"NICU"),0)</f>
        <v>0</v>
      </c>
    </row>
    <row r="434" spans="1:9" x14ac:dyDescent="0.25">
      <c r="A434" s="1" t="s">
        <v>87</v>
      </c>
      <c r="H434" s="7">
        <f>IFERROR(INDEX(tblWardConfig[BedComplement],MATCH("NICU",tblWardConfig[Export Year-End],0)),0)</f>
        <v>15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  <c r="I436" s="5" t="str">
        <f>IFERROR(IF(SUMIFS(tblDaily[MalariaCases],tblDaily[EntryDate],DATE(2026,12,1),tblDaily[WardCode],"NICU")=0,"",SUMIFS(tblDaily[MalariaCases],tblDaily[EntryDate],DATE(2026,12,1),tblDaily[WardCode],"NICU")),"")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  <c r="I437" s="5" t="str">
        <f>IFERROR(IF(SUMIFS(tblDaily[MalariaCases],tblDaily[EntryDate],DATE(2026,12,2),tblDaily[WardCode],"NICU")=0,"",SUMIFS(tblDaily[MalariaCases],tblDaily[EntryDate],DATE(2026,12,2),tblDaily[WardCode],"NICU")),"")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  <c r="I438" s="5" t="str">
        <f>IFERROR(IF(SUMIFS(tblDaily[MalariaCases],tblDaily[EntryDate],DATE(2026,12,3),tblDaily[WardCode],"NICU")=0,"",SUMIFS(tblDaily[MalariaCases],tblDaily[EntryDate],DATE(2026,12,3),tblDaily[WardCode],"NICU")),"")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  <c r="I439" s="5" t="str">
        <f>IFERROR(IF(SUMIFS(tblDaily[MalariaCases],tblDaily[EntryDate],DATE(2026,12,4),tblDaily[WardCode],"NICU")=0,"",SUMIFS(tblDaily[MalariaCases],tblDaily[EntryDate],DATE(2026,12,4),tblDaily[WardCode],"NICU")),"")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  <c r="I440" s="5" t="str">
        <f>IFERROR(IF(SUMIFS(tblDaily[MalariaCases],tblDaily[EntryDate],DATE(2026,12,5),tblDaily[WardCode],"NICU")=0,"",SUMIFS(tblDaily[MalariaCases],tblDaily[EntryDate],DATE(2026,12,5),tblDaily[WardCode],"NICU")),"")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  <c r="I441" s="5" t="str">
        <f>IFERROR(IF(SUMIFS(tblDaily[MalariaCases],tblDaily[EntryDate],DATE(2026,12,6),tblDaily[WardCode],"NICU")=0,"",SUMIFS(tblDaily[MalariaCases],tblDaily[EntryDate],DATE(2026,12,6),tblDaily[WardCode],"NICU")),"")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  <c r="I442" s="5" t="str">
        <f>IFERROR(IF(SUMIFS(tblDaily[MalariaCases],tblDaily[EntryDate],DATE(2026,12,7),tblDaily[WardCode],"NICU")=0,"",SUMIFS(tblDaily[MalariaCases],tblDaily[EntryDate],DATE(2026,12,7),tblDaily[WardCode],"NICU")),"")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  <c r="I443" s="5" t="str">
        <f>IFERROR(IF(SUMIFS(tblDaily[MalariaCases],tblDaily[EntryDate],DATE(2026,12,8),tblDaily[WardCode],"NICU")=0,"",SUMIFS(tblDaily[MalariaCases],tblDaily[EntryDate],DATE(2026,12,8),tblDaily[WardCode],"NICU")),"")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  <c r="I444" s="5" t="str">
        <f>IFERROR(IF(SUMIFS(tblDaily[MalariaCases],tblDaily[EntryDate],DATE(2026,12,9),tblDaily[WardCode],"NICU")=0,"",SUMIFS(tblDaily[MalariaCases],tblDaily[EntryDate],DATE(2026,12,9),tblDaily[WardCode],"NICU")),"")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  <c r="I445" s="5" t="str">
        <f>IFERROR(IF(SUMIFS(tblDaily[MalariaCases],tblDaily[EntryDate],DATE(2026,12,10),tblDaily[WardCode],"NICU")=0,"",SUMIFS(tblDaily[MalariaCases],tblDaily[EntryDate],DATE(2026,12,10),tblDaily[WardCode],"NICU")),"")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  <c r="I446" s="5" t="str">
        <f>IFERROR(IF(SUMIFS(tblDaily[MalariaCases],tblDaily[EntryDate],DATE(2026,12,11),tblDaily[WardCode],"NICU")=0,"",SUMIFS(tblDaily[MalariaCases],tblDaily[EntryDate],DATE(2026,12,11),tblDaily[WardCode],"NICU")),"")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  <c r="I447" s="5" t="str">
        <f>IFERROR(IF(SUMIFS(tblDaily[MalariaCases],tblDaily[EntryDate],DATE(2026,12,12),tblDaily[WardCode],"NICU")=0,"",SUMIFS(tblDaily[MalariaCases],tblDaily[EntryDate],DATE(2026,12,12),tblDaily[WardCode],"NICU")),"")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  <c r="I448" s="5" t="str">
        <f>IFERROR(IF(SUMIFS(tblDaily[MalariaCases],tblDaily[EntryDate],DATE(2026,12,13),tblDaily[WardCode],"NICU")=0,"",SUMIFS(tblDaily[MalariaCases],tblDaily[EntryDate],DATE(2026,12,13),tblDaily[WardCode],"NICU")),"")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  <c r="I449" s="5" t="str">
        <f>IFERROR(IF(SUMIFS(tblDaily[MalariaCases],tblDaily[EntryDate],DATE(2026,12,14),tblDaily[WardCode],"NICU")=0,"",SUMIFS(tblDaily[MalariaCases],tblDaily[EntryDate],DATE(2026,12,14),tblDaily[WardCode],"NICU")),"")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  <c r="I450" s="5" t="str">
        <f>IFERROR(IF(SUMIFS(tblDaily[MalariaCases],tblDaily[EntryDate],DATE(2026,12,15),tblDaily[WardCode],"NICU")=0,"",SUMIFS(tblDaily[MalariaCases],tblDaily[EntryDate],DATE(2026,12,15),tblDaily[WardCode],"NICU")),"")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  <c r="I451" s="5" t="str">
        <f>IFERROR(IF(SUMIFS(tblDaily[MalariaCases],tblDaily[EntryDate],DATE(2026,12,16),tblDaily[WardCode],"NICU")=0,"",SUMIFS(tblDaily[MalariaCases],tblDaily[EntryDate],DATE(2026,12,16),tblDaily[WardCode],"NICU")),"")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  <c r="I452" s="5" t="str">
        <f>IFERROR(IF(SUMIFS(tblDaily[MalariaCases],tblDaily[EntryDate],DATE(2026,12,17),tblDaily[WardCode],"NICU")=0,"",SUMIFS(tblDaily[MalariaCases],tblDaily[EntryDate],DATE(2026,12,17),tblDaily[WardCode],"NICU")),"")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  <c r="I453" s="5" t="str">
        <f>IFERROR(IF(SUMIFS(tblDaily[MalariaCases],tblDaily[EntryDate],DATE(2026,12,18),tblDaily[WardCode],"NICU")=0,"",SUMIFS(tblDaily[MalariaCases],tblDaily[EntryDate],DATE(2026,12,18),tblDaily[WardCode],"NICU")),"")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  <c r="I454" s="5" t="str">
        <f>IFERROR(IF(SUMIFS(tblDaily[MalariaCases],tblDaily[EntryDate],DATE(2026,12,19),tblDaily[WardCode],"NICU")=0,"",SUMIFS(tblDaily[MalariaCases],tblDaily[EntryDate],DATE(2026,12,19),tblDaily[WardCode],"NICU")),"")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  <c r="I455" s="5" t="str">
        <f>IFERROR(IF(SUMIFS(tblDaily[MalariaCases],tblDaily[EntryDate],DATE(2026,12,20),tblDaily[WardCode],"NICU")=0,"",SUMIFS(tblDaily[MalariaCases],tblDaily[EntryDate],DATE(2026,12,20),tblDaily[WardCode],"NICU")),"")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  <c r="I456" s="5" t="str">
        <f>IFERROR(IF(SUMIFS(tblDaily[MalariaCases],tblDaily[EntryDate],DATE(2026,12,21),tblDaily[WardCode],"NICU")=0,"",SUMIFS(tblDaily[MalariaCases],tblDaily[EntryDate],DATE(2026,12,21),tblDaily[WardCode],"NICU")),"")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  <c r="I457" s="5" t="str">
        <f>IFERROR(IF(SUMIFS(tblDaily[MalariaCases],tblDaily[EntryDate],DATE(2026,12,22),tblDaily[WardCode],"NICU")=0,"",SUMIFS(tblDaily[MalariaCases],tblDaily[EntryDate],DATE(2026,12,22),tblDaily[WardCode],"NICU")),"")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  <c r="I458" s="5" t="str">
        <f>IFERROR(IF(SUMIFS(tblDaily[MalariaCases],tblDaily[EntryDate],DATE(2026,12,23),tblDaily[WardCode],"NICU")=0,"",SUMIFS(tblDaily[MalariaCases],tblDaily[EntryDate],DATE(2026,12,23),tblDaily[WardCode],"NICU")),"")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  <c r="I459" s="5" t="str">
        <f>IFERROR(IF(SUMIFS(tblDaily[MalariaCases],tblDaily[EntryDate],DATE(2026,12,24),tblDaily[WardCode],"NICU")=0,"",SUMIFS(tblDaily[MalariaCases],tblDaily[EntryDate],DATE(2026,12,24),tblDaily[WardCode],"NICU")),"")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  <c r="I460" s="5" t="str">
        <f>IFERROR(IF(SUMIFS(tblDaily[MalariaCases],tblDaily[EntryDate],DATE(2026,12,25),tblDaily[WardCode],"NICU")=0,"",SUMIFS(tblDaily[MalariaCases],tblDaily[EntryDate],DATE(2026,12,25),tblDaily[WardCode],"NICU")),"")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  <c r="I461" s="5" t="str">
        <f>IFERROR(IF(SUMIFS(tblDaily[MalariaCases],tblDaily[EntryDate],DATE(2026,12,26),tblDaily[WardCode],"NICU")=0,"",SUMIFS(tblDaily[MalariaCases],tblDaily[EntryDate],DATE(2026,12,26),tblDaily[WardCode],"NICU")),"")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  <c r="I462" s="5" t="str">
        <f>IFERROR(IF(SUMIFS(tblDaily[MalariaCases],tblDaily[EntryDate],DATE(2026,12,27),tblDaily[WardCode],"NICU")=0,"",SUMIFS(tblDaily[MalariaCases],tblDaily[EntryDate],DATE(2026,12,27),tblDaily[WardCode],"NICU")),"")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  <c r="I463" s="5" t="str">
        <f>IFERROR(IF(SUMIFS(tblDaily[MalariaCases],tblDaily[EntryDate],DATE(2026,12,28),tblDaily[WardCode],"NICU")=0,"",SUMIFS(tblDaily[MalariaCases],tblDaily[EntryDate],DATE(2026,12,28),tblDaily[WardCode],"NICU")),"")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  <c r="I464" s="5" t="str">
        <f>IFERROR(IF(SUMIFS(tblDaily[MalariaCases],tblDaily[EntryDate],DATE(2026,12,29),tblDaily[WardCode],"NICU")=0,"",SUMIFS(tblDaily[MalariaCases],tblDaily[EntryDate],DATE(2026,12,29),tblDaily[WardCode],"NICU")),"")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  <c r="I465" s="5" t="str">
        <f>IFERROR(IF(SUMIFS(tblDaily[MalariaCases],tblDaily[EntryDate],DATE(2026,12,30),tblDaily[WardCode],"NICU")=0,"",SUMIFS(tblDaily[MalariaCases],tblDaily[EntryDate],DATE(2026,12,30),tblDaily[WardCode],"NICU")),"")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  <c r="I466" s="5" t="str">
        <f>IFERROR(IF(SUMIFS(tblDaily[MalariaCases],tblDaily[EntryDate],DATE(2026,12,31),tblDaily[WardCode],"NICU")=0,"",SUMIFS(tblDaily[MalariaCases],tblDaily[EntryDate],DATE(2026,12,31),tblDaily[WardCode],"NICU")),"")</f>
        <v/>
      </c>
    </row>
    <row r="467" spans="1:9" x14ac:dyDescent="0.25">
      <c r="A467" s="9" t="s">
        <v>94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101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IFERROR(INDEX(tblWardConfig[PrevYearRemaining],MATCH("MAE",tblWardConfig[Export Year-End],0)),0)</f>
        <v>0</v>
      </c>
    </row>
    <row r="5" spans="1:9" x14ac:dyDescent="0.25">
      <c r="A5" s="1" t="s">
        <v>87</v>
      </c>
      <c r="H5" s="7">
        <f>IFERROR(INDEX(tblWardConfig[BedComplement],MATCH("MAE",tblWardConfig[Export Year-End],0)),0)</f>
        <v>10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IFERROR(IF(SUMIFS(tblDaily[Admissions],tblDaily[EntryDate],DATE(2026,1,1),tblDaily[WardCode],"MAE")=0,"",SUMIFS(tblDaily[Admissions],tblDaily[EntryDate],DATE(2026,1,1),tblDaily[WardCode],"MAE")),"")</f>
        <v/>
      </c>
      <c r="C7" s="5" t="str">
        <f>IFERROR(IF(SUMIFS(tblDaily[Discharges],tblDaily[EntryDate],DATE(2026,1,1),tblDaily[WardCode],"MAE")=0,"",SUMIFS(tblDaily[Discharges],tblDaily[EntryDate],DATE(2026,1,1),tblDaily[WardCode],"MAE")),"")</f>
        <v/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 t="str">
        <f>IFERROR(IF(SUMIFS(tblDaily[TransfersOut],tblDaily[EntryDate],DATE(2026,1,1),tblDaily[WardCode],"MAE")=0,"",SUMIFS(tblDaily[TransfersOut],tblDaily[EntryDate],DATE(2026,1,1),tblDaily[WardCode],"MAE")),"")</f>
        <v/>
      </c>
      <c r="H7" s="5" t="str">
        <f>IFERROR(IF(SUMIFS(tblDaily[Remaining],tblDaily[EntryDate],DATE(2026,1,1),tblDaily[WardCode],"MAE")=0,"",SUMIFS(tblDaily[Remaining],tblDaily[EntryDate],DATE(2026,1,1),tblDaily[WardCode],"MAE")),"")</f>
        <v/>
      </c>
      <c r="I7" s="5" t="str">
        <f>IFERROR(IF(SUMIFS(tblDaily[MalariaCases],tblDaily[EntryDate],DATE(2026,1,1),tblDaily[WardCode],"MAE")=0,"",SUMIFS(tblDaily[MalariaCases],tblDaily[EntryDate],DATE(2026,1,1),tblDaily[WardCode],"MAE")),"")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IFERROR(IF(SUMIFS(tblDaily[Admissions],tblDaily[EntryDate],DATE(2026,1,2),tblDaily[WardCode],"MAE")=0,"",SUMIFS(tblDaily[Admissions],tblDaily[EntryDate],DATE(2026,1,2),tblDaily[WardCode],"MAE")),"")</f>
        <v/>
      </c>
      <c r="C8" s="5" t="str">
        <f>IFERROR(IF(SUMIFS(tblDaily[Discharges],tblDaily[EntryDate],DATE(2026,1,2),tblDaily[WardCode],"MAE")=0,"",SUMIFS(tblDaily[Discharges],tblDaily[EntryDate],DATE(2026,1,2),tblDaily[WardCode],"MAE")),"")</f>
        <v/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 t="str">
        <f>IFERROR(IF(SUMIFS(tblDaily[Remaining],tblDaily[EntryDate],DATE(2026,1,2),tblDaily[WardCode],"MAE")=0,"",SUMIFS(tblDaily[Remaining],tblDaily[EntryDate],DATE(2026,1,2),tblDaily[WardCode],"MAE")),"")</f>
        <v/>
      </c>
      <c r="I8" s="5" t="str">
        <f>IFERROR(IF(SUMIFS(tblDaily[MalariaCases],tblDaily[EntryDate],DATE(2026,1,2),tblDaily[WardCode],"MAE")=0,"",SUMIFS(tblDaily[MalariaCases],tblDaily[EntryDate],DATE(2026,1,2),tblDaily[WardCode],"MAE")),"")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IFERROR(IF(SUMIFS(tblDaily[Admissions],tblDaily[EntryDate],DATE(2026,1,3),tblDaily[WardCode],"MAE")=0,"",SUMIFS(tblDaily[Admissions],tblDaily[EntryDate],DATE(2026,1,3),tblDaily[WardCode],"MAE")),"")</f>
        <v/>
      </c>
      <c r="C9" s="5" t="str">
        <f>IFERROR(IF(SUMIFS(tblDaily[Discharges],tblDaily[EntryDate],DATE(2026,1,3),tblDaily[WardCode],"MAE")=0,"",SUMIFS(tblDaily[Discharges],tblDaily[EntryDate],DATE(2026,1,3),tblDaily[WardCode],"MAE")),"")</f>
        <v/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 t="str">
        <f>IFERROR(IF(SUMIFS(tblDaily[TransfersOut],tblDaily[EntryDate],DATE(2026,1,3),tblDaily[WardCode],"MAE")=0,"",SUMIFS(tblDaily[TransfersOut],tblDaily[EntryDate],DATE(2026,1,3),tblDaily[WardCode],"MAE")),"")</f>
        <v/>
      </c>
      <c r="H9" s="5" t="str">
        <f>IFERROR(IF(SUMIFS(tblDaily[Remaining],tblDaily[EntryDate],DATE(2026,1,3),tblDaily[WardCode],"MAE")=0,"",SUMIFS(tblDaily[Remaining],tblDaily[EntryDate],DATE(2026,1,3),tblDaily[WardCode],"MAE")),"")</f>
        <v/>
      </c>
      <c r="I9" s="5" t="str">
        <f>IFERROR(IF(SUMIFS(tblDaily[MalariaCases],tblDaily[EntryDate],DATE(2026,1,3),tblDaily[WardCode],"MAE")=0,"",SUMIFS(tblDaily[MalariaCases],tblDaily[EntryDate],DATE(2026,1,3),tblDaily[WardCode],"MAE")),"")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IFERROR(IF(SUMIFS(tblDaily[Admissions],tblDaily[EntryDate],DATE(2026,1,4),tblDaily[WardCode],"MAE")=0,"",SUMIFS(tblDaily[Admissions],tblDaily[EntryDate],DATE(2026,1,4),tblDaily[WardCode],"MAE")),"")</f>
        <v/>
      </c>
      <c r="C10" s="5" t="str">
        <f>IFERROR(IF(SUMIFS(tblDaily[Discharges],tblDaily[EntryDate],DATE(2026,1,4),tblDaily[WardCode],"MAE")=0,"",SUMIFS(tblDaily[Discharges],tblDaily[EntryDate],DATE(2026,1,4),tblDaily[WardCode],"MAE")),"")</f>
        <v/>
      </c>
      <c r="D10" s="5" t="str">
        <f>IFERROR(IF(SUMIFS(tblDaily[Deaths],tblDaily[EntryDate],DATE(2026,1,4),tblDaily[WardCode],"MAE")=0,"",SUMIFS(tblDaily[Deaths],tblDaily[EntryDate],DATE(2026,1,4),tblDaily[WardCode],"MAE")),"")</f>
        <v/>
      </c>
      <c r="E10" s="5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 t="str">
        <f>IFERROR(IF(SUMIFS(tblDaily[TransfersOut],tblDaily[EntryDate],DATE(2026,1,4),tblDaily[WardCode],"MAE")=0,"",SUMIFS(tblDaily[TransfersOut],tblDaily[EntryDate],DATE(2026,1,4),tblDaily[WardCode],"MAE")),"")</f>
        <v/>
      </c>
      <c r="H10" s="5" t="str">
        <f>IFERROR(IF(SUMIFS(tblDaily[Remaining],tblDaily[EntryDate],DATE(2026,1,4),tblDaily[WardCode],"MAE")=0,"",SUMIFS(tblDaily[Remaining],tblDaily[EntryDate],DATE(2026,1,4),tblDaily[WardCode],"MAE")),"")</f>
        <v/>
      </c>
      <c r="I10" s="5" t="str">
        <f>IFERROR(IF(SUMIFS(tblDaily[MalariaCases],tblDaily[EntryDate],DATE(2026,1,4),tblDaily[WardCode],"MAE")=0,"",SUMIFS(tblDaily[MalariaCases],tblDaily[EntryDate],DATE(2026,1,4),tblDaily[WardCode],"MAE")),"")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IFERROR(IF(SUMIFS(tblDaily[Admissions],tblDaily[EntryDate],DATE(2026,1,5),tblDaily[WardCode],"MAE")=0,"",SUMIFS(tblDaily[Admissions],tblDaily[EntryDate],DATE(2026,1,5),tblDaily[WardCode],"MAE")),"")</f>
        <v/>
      </c>
      <c r="C11" s="5" t="str">
        <f>IFERROR(IF(SUMIFS(tblDaily[Discharges],tblDaily[EntryDate],DATE(2026,1,5),tblDaily[WardCode],"MAE")=0,"",SUMIFS(tblDaily[Discharges],tblDaily[EntryDate],DATE(2026,1,5),tblDaily[WardCode],"MAE")),"")</f>
        <v/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 t="str">
        <f>IFERROR(IF(SUMIFS(tblDaily[Remaining],tblDaily[EntryDate],DATE(2026,1,5),tblDaily[WardCode],"MAE")=0,"",SUMIFS(tblDaily[Remaining],tblDaily[EntryDate],DATE(2026,1,5),tblDaily[WardCode],"MAE")),"")</f>
        <v/>
      </c>
      <c r="I11" s="5" t="str">
        <f>IFERROR(IF(SUMIFS(tblDaily[MalariaCases],tblDaily[EntryDate],DATE(2026,1,5),tblDaily[WardCode],"MAE")=0,"",SUMIFS(tblDaily[MalariaCases],tblDaily[EntryDate],DATE(2026,1,5),tblDaily[WardCode],"MAE")),"")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IFERROR(IF(SUMIFS(tblDaily[Admissions],tblDaily[EntryDate],DATE(2026,1,6),tblDaily[WardCode],"MAE")=0,"",SUMIFS(tblDaily[Admissions],tblDaily[EntryDate],DATE(2026,1,6),tblDaily[WardCode],"MAE")),"")</f>
        <v/>
      </c>
      <c r="C12" s="5" t="str">
        <f>IFERROR(IF(SUMIFS(tblDaily[Discharges],tblDaily[EntryDate],DATE(2026,1,6),tblDaily[WardCode],"MAE")=0,"",SUMIFS(tblDaily[Discharges],tblDaily[EntryDate],DATE(2026,1,6),tblDaily[WardCode],"MAE")),"")</f>
        <v/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 t="str">
        <f>IFERROR(IF(SUMIFS(tblDaily[TransfersOut],tblDaily[EntryDate],DATE(2026,1,6),tblDaily[WardCode],"MAE")=0,"",SUMIFS(tblDaily[TransfersOut],tblDaily[EntryDate],DATE(2026,1,6),tblDaily[WardCode],"MAE")),"")</f>
        <v/>
      </c>
      <c r="H12" s="5" t="str">
        <f>IFERROR(IF(SUMIFS(tblDaily[Remaining],tblDaily[EntryDate],DATE(2026,1,6),tblDaily[WardCode],"MAE")=0,"",SUMIFS(tblDaily[Remaining],tblDaily[EntryDate],DATE(2026,1,6),tblDaily[WardCode],"MAE")),"")</f>
        <v/>
      </c>
      <c r="I12" s="5" t="str">
        <f>IFERROR(IF(SUMIFS(tblDaily[MalariaCases],tblDaily[EntryDate],DATE(2026,1,6),tblDaily[WardCode],"MAE")=0,"",SUMIFS(tblDaily[MalariaCases],tblDaily[EntryDate],DATE(2026,1,6),tblDaily[WardCode],"MAE")),"")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IFERROR(IF(SUMIFS(tblDaily[Admissions],tblDaily[EntryDate],DATE(2026,1,7),tblDaily[WardCode],"MAE")=0,"",SUMIFS(tblDaily[Admissions],tblDaily[EntryDate],DATE(2026,1,7),tblDaily[WardCode],"MAE")),"")</f>
        <v/>
      </c>
      <c r="C13" s="5" t="str">
        <f>IFERROR(IF(SUMIFS(tblDaily[Discharges],tblDaily[EntryDate],DATE(2026,1,7),tblDaily[WardCode],"MAE")=0,"",SUMIFS(tblDaily[Discharges],tblDaily[EntryDate],DATE(2026,1,7),tblDaily[WardCode],"MAE")),"")</f>
        <v/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 t="str">
        <f>IFERROR(IF(SUMIFS(tblDaily[TransfersOut],tblDaily[EntryDate],DATE(2026,1,7),tblDaily[WardCode],"MAE")=0,"",SUMIFS(tblDaily[TransfersOut],tblDaily[EntryDate],DATE(2026,1,7),tblDaily[WardCode],"MAE")),"")</f>
        <v/>
      </c>
      <c r="H13" s="5" t="str">
        <f>IFERROR(IF(SUMIFS(tblDaily[Remaining],tblDaily[EntryDate],DATE(2026,1,7),tblDaily[WardCode],"MAE")=0,"",SUMIFS(tblDaily[Remaining],tblDaily[EntryDate],DATE(2026,1,7),tblDaily[WardCode],"MAE")),"")</f>
        <v/>
      </c>
      <c r="I13" s="5" t="str">
        <f>IFERROR(IF(SUMIFS(tblDaily[MalariaCases],tblDaily[EntryDate],DATE(2026,1,7),tblDaily[WardCode],"MAE")=0,"",SUMIFS(tblDaily[MalariaCases],tblDaily[EntryDate],DATE(2026,1,7),tblDaily[WardCode],"MAE")),"")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IFERROR(IF(SUMIFS(tblDaily[Admissions],tblDaily[EntryDate],DATE(2026,1,8),tblDaily[WardCode],"MAE")=0,"",SUMIFS(tblDaily[Admissions],tblDaily[EntryDate],DATE(2026,1,8),tblDaily[WardCode],"MAE")),"")</f>
        <v/>
      </c>
      <c r="C14" s="5" t="str">
        <f>IFERROR(IF(SUMIFS(tblDaily[Discharges],tblDaily[EntryDate],DATE(2026,1,8),tblDaily[WardCode],"MAE")=0,"",SUMIFS(tblDaily[Discharges],tblDaily[EntryDate],DATE(2026,1,8),tblDaily[WardCode],"MAE")),"")</f>
        <v/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 t="str">
        <f>IFERROR(IF(SUMIFS(tblDaily[Remaining],tblDaily[EntryDate],DATE(2026,1,8),tblDaily[WardCode],"MAE")=0,"",SUMIFS(tblDaily[Remaining],tblDaily[EntryDate],DATE(2026,1,8),tblDaily[WardCode],"MAE")),"")</f>
        <v/>
      </c>
      <c r="I14" s="5" t="str">
        <f>IFERROR(IF(SUMIFS(tblDaily[MalariaCases],tblDaily[EntryDate],DATE(2026,1,8),tblDaily[WardCode],"MAE")=0,"",SUMIFS(tblDaily[MalariaCases],tblDaily[EntryDate],DATE(2026,1,8),tblDaily[WardCode],"MAE")),"")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 t="str">
        <f>IFERROR(IF(SUMIFS(tblDaily[Discharges],tblDaily[EntryDate],DATE(2026,1,9),tblDaily[WardCode],"MAE")=0,"",SUMIFS(tblDaily[Discharges],tblDaily[EntryDate],DATE(2026,1,9),tblDaily[WardCode],"MAE")),"")</f>
        <v/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 t="str">
        <f>IFERROR(IF(SUMIFS(tblDaily[TransfersOut],tblDaily[EntryDate],DATE(2026,1,9),tblDaily[WardCode],"MAE")=0,"",SUMIFS(tblDaily[TransfersOut],tblDaily[EntryDate],DATE(2026,1,9),tblDaily[WardCode],"MAE")),"")</f>
        <v/>
      </c>
      <c r="H15" s="5" t="str">
        <f>IFERROR(IF(SUMIFS(tblDaily[Remaining],tblDaily[EntryDate],DATE(2026,1,9),tblDaily[WardCode],"MAE")=0,"",SUMIFS(tblDaily[Remaining],tblDaily[EntryDate],DATE(2026,1,9),tblDaily[WardCode],"MAE")),"")</f>
        <v/>
      </c>
      <c r="I15" s="5" t="str">
        <f>IFERROR(IF(SUMIFS(tblDaily[MalariaCases],tblDaily[EntryDate],DATE(2026,1,9),tblDaily[WardCode],"MAE")=0,"",SUMIFS(tblDaily[MalariaCases],tblDaily[EntryDate],DATE(2026,1,9),tblDaily[WardCode],"MAE")),"")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IFERROR(IF(SUMIFS(tblDaily[Admissions],tblDaily[EntryDate],DATE(2026,1,10),tblDaily[WardCode],"MAE")=0,"",SUMIFS(tblDaily[Admissions],tblDaily[EntryDate],DATE(2026,1,10),tblDaily[WardCode],"MAE")),"")</f>
        <v/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 t="str">
        <f>IFERROR(IF(SUMIFS(tblDaily[Remaining],tblDaily[EntryDate],DATE(2026,1,10),tblDaily[WardCode],"MAE")=0,"",SUMIFS(tblDaily[Remaining],tblDaily[EntryDate],DATE(2026,1,10),tblDaily[WardCode],"MAE")),"")</f>
        <v/>
      </c>
      <c r="I16" s="5" t="str">
        <f>IFERROR(IF(SUMIFS(tblDaily[MalariaCases],tblDaily[EntryDate],DATE(2026,1,10),tblDaily[WardCode],"MAE")=0,"",SUMIFS(tblDaily[MalariaCases],tblDaily[EntryDate],DATE(2026,1,10),tblDaily[WardCode],"MAE")),"")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IFERROR(IF(SUMIFS(tblDaily[Admissions],tblDaily[EntryDate],DATE(2026,1,11),tblDaily[WardCode],"MAE")=0,"",SUMIFS(tblDaily[Admissions],tblDaily[EntryDate],DATE(2026,1,11),tblDaily[WardCode],"MAE")),"")</f>
        <v/>
      </c>
      <c r="C17" s="5" t="str">
        <f>IFERROR(IF(SUMIFS(tblDaily[Discharges],tblDaily[EntryDate],DATE(2026,1,11),tblDaily[WardCode],"MAE")=0,"",SUMIFS(tblDaily[Discharges],tblDaily[EntryDate],DATE(2026,1,11),tblDaily[WardCode],"MAE")),"")</f>
        <v/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 t="str">
        <f>IFERROR(IF(SUMIFS(tblDaily[TransfersOut],tblDaily[EntryDate],DATE(2026,1,11),tblDaily[WardCode],"MAE")=0,"",SUMIFS(tblDaily[TransfersOut],tblDaily[EntryDate],DATE(2026,1,11),tblDaily[WardCode],"MAE")),"")</f>
        <v/>
      </c>
      <c r="H17" s="5" t="str">
        <f>IFERROR(IF(SUMIFS(tblDaily[Remaining],tblDaily[EntryDate],DATE(2026,1,11),tblDaily[WardCode],"MAE")=0,"",SUMIFS(tblDaily[Remaining],tblDaily[EntryDate],DATE(2026,1,11),tblDaily[WardCode],"MAE")),"")</f>
        <v/>
      </c>
      <c r="I17" s="5" t="str">
        <f>IFERROR(IF(SUMIFS(tblDaily[MalariaCases],tblDaily[EntryDate],DATE(2026,1,11),tblDaily[WardCode],"MAE")=0,"",SUMIFS(tblDaily[MalariaCases],tblDaily[EntryDate],DATE(2026,1,11),tblDaily[WardCode],"MAE")),"")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IFERROR(IF(SUMIFS(tblDaily[Admissions],tblDaily[EntryDate],DATE(2026,1,12),tblDaily[WardCode],"MAE")=0,"",SUMIFS(tblDaily[Admissions],tblDaily[EntryDate],DATE(2026,1,12),tblDaily[WardCode],"MAE")),"")</f>
        <v/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 t="str">
        <f>IFERROR(IF(SUMIFS(tblDaily[TransfersOut],tblDaily[EntryDate],DATE(2026,1,12),tblDaily[WardCode],"MAE")=0,"",SUMIFS(tblDaily[TransfersOut],tblDaily[EntryDate],DATE(2026,1,12),tblDaily[WardCode],"MAE")),"")</f>
        <v/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  <c r="I18" s="5" t="str">
        <f>IFERROR(IF(SUMIFS(tblDaily[MalariaCases],tblDaily[EntryDate],DATE(2026,1,12),tblDaily[WardCode],"MAE")=0,"",SUMIFS(tblDaily[MalariaCases],tblDaily[EntryDate],DATE(2026,1,12),tblDaily[WardCode],"MAE")),"")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IFERROR(IF(SUMIFS(tblDaily[Admissions],tblDaily[EntryDate],DATE(2026,1,13),tblDaily[WardCode],"MAE")=0,"",SUMIFS(tblDaily[Admissions],tblDaily[EntryDate],DATE(2026,1,13),tblDaily[WardCode],"MAE")),"")</f>
        <v/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 t="str">
        <f>IFERROR(IF(SUMIFS(tblDaily[TransfersOut],tblDaily[EntryDate],DATE(2026,1,13),tblDaily[WardCode],"MAE")=0,"",SUMIFS(tblDaily[TransfersOut],tblDaily[EntryDate],DATE(2026,1,13),tblDaily[WardCode],"MAE")),"")</f>
        <v/>
      </c>
      <c r="H19" s="5" t="str">
        <f>IFERROR(IF(SUMIFS(tblDaily[Remaining],tblDaily[EntryDate],DATE(2026,1,13),tblDaily[WardCode],"MAE")=0,"",SUMIFS(tblDaily[Remaining],tblDaily[EntryDate],DATE(2026,1,13),tblDaily[WardCode],"MAE")),"")</f>
        <v/>
      </c>
      <c r="I19" s="5" t="str">
        <f>IFERROR(IF(SUMIFS(tblDaily[MalariaCases],tblDaily[EntryDate],DATE(2026,1,13),tblDaily[WardCode],"MAE")=0,"",SUMIFS(tblDaily[MalariaCases],tblDaily[EntryDate],DATE(2026,1,13),tblDaily[WardCode],"MAE")),"")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IFERROR(IF(SUMIFS(tblDaily[Admissions],tblDaily[EntryDate],DATE(2026,1,14),tblDaily[WardCode],"MAE")=0,"",SUMIFS(tblDaily[Admissions],tblDaily[EntryDate],DATE(2026,1,14),tblDaily[WardCode],"MAE")),"")</f>
        <v/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 t="str">
        <f>IFERROR(IF(SUMIFS(tblDaily[TransfersOut],tblDaily[EntryDate],DATE(2026,1,14),tblDaily[WardCode],"MAE")=0,"",SUMIFS(tblDaily[TransfersOut],tblDaily[EntryDate],DATE(2026,1,14),tblDaily[WardCode],"MAE")),"")</f>
        <v/>
      </c>
      <c r="H20" s="5" t="str">
        <f>IFERROR(IF(SUMIFS(tblDaily[Remaining],tblDaily[EntryDate],DATE(2026,1,14),tblDaily[WardCode],"MAE")=0,"",SUMIFS(tblDaily[Remaining],tblDaily[EntryDate],DATE(2026,1,14),tblDaily[WardCode],"MAE")),"")</f>
        <v/>
      </c>
      <c r="I20" s="5" t="str">
        <f>IFERROR(IF(SUMIFS(tblDaily[MalariaCases],tblDaily[EntryDate],DATE(2026,1,14),tblDaily[WardCode],"MAE")=0,"",SUMIFS(tblDaily[MalariaCases],tblDaily[EntryDate],DATE(2026,1,14),tblDaily[WardCode],"MAE")),"")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IFERROR(IF(SUMIFS(tblDaily[Admissions],tblDaily[EntryDate],DATE(2026,1,15),tblDaily[WardCode],"MAE")=0,"",SUMIFS(tblDaily[Admissions],tblDaily[EntryDate],DATE(2026,1,15),tblDaily[WardCode],"MAE")),"")</f>
        <v/>
      </c>
      <c r="C21" s="5" t="str">
        <f>IFERROR(IF(SUMIFS(tblDaily[Discharges],tblDaily[EntryDate],DATE(2026,1,15),tblDaily[WardCode],"MAE")=0,"",SUMIFS(tblDaily[Discharges],tblDaily[EntryDate],DATE(2026,1,15),tblDaily[WardCode],"MAE")),"")</f>
        <v/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 t="str">
        <f>IFERROR(IF(SUMIFS(tblDaily[Remaining],tblDaily[EntryDate],DATE(2026,1,15),tblDaily[WardCode],"MAE")=0,"",SUMIFS(tblDaily[Remaining],tblDaily[EntryDate],DATE(2026,1,15),tblDaily[WardCode],"MAE")),"")</f>
        <v/>
      </c>
      <c r="I21" s="5" t="str">
        <f>IFERROR(IF(SUMIFS(tblDaily[MalariaCases],tblDaily[EntryDate],DATE(2026,1,15),tblDaily[WardCode],"MAE")=0,"",SUMIFS(tblDaily[MalariaCases],tblDaily[EntryDate],DATE(2026,1,15),tblDaily[WardCode],"MAE")),"")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IFERROR(IF(SUMIFS(tblDaily[Admissions],tblDaily[EntryDate],DATE(2026,1,16),tblDaily[WardCode],"MAE")=0,"",SUMIFS(tblDaily[Admissions],tblDaily[EntryDate],DATE(2026,1,16),tblDaily[WardCode],"MAE")),"")</f>
        <v/>
      </c>
      <c r="C22" s="5" t="str">
        <f>IFERROR(IF(SUMIFS(tblDaily[Discharges],tblDaily[EntryDate],DATE(2026,1,16),tblDaily[WardCode],"MAE")=0,"",SUMIFS(tblDaily[Discharges],tblDaily[EntryDate],DATE(2026,1,16),tblDaily[WardCode],"MAE")),"")</f>
        <v/>
      </c>
      <c r="D22" s="5" t="str">
        <f>IFERROR(IF(SUMIFS(tblDaily[Deaths],tblDaily[EntryDate],DATE(2026,1,16),tblDaily[WardCode],"MAE")=0,"",SUMIFS(tblDaily[Deaths],tblDaily[EntryDate],DATE(2026,1,16),tblDaily[WardCode],"MAE")),"")</f>
        <v/>
      </c>
      <c r="E22" s="5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 t="str">
        <f>IFERROR(IF(SUMIFS(tblDaily[Remaining],tblDaily[EntryDate],DATE(2026,1,16),tblDaily[WardCode],"MAE")=0,"",SUMIFS(tblDaily[Remaining],tblDaily[EntryDate],DATE(2026,1,16),tblDaily[WardCode],"MAE")),"")</f>
        <v/>
      </c>
      <c r="I22" s="5" t="str">
        <f>IFERROR(IF(SUMIFS(tblDaily[MalariaCases],tblDaily[EntryDate],DATE(2026,1,16),tblDaily[WardCode],"MAE")=0,"",SUMIFS(tblDaily[MalariaCases],tblDaily[EntryDate],DATE(2026,1,16),tblDaily[WardCode],"MAE")),"")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IFERROR(IF(SUMIFS(tblDaily[Admissions],tblDaily[EntryDate],DATE(2026,1,17),tblDaily[WardCode],"MAE")=0,"",SUMIFS(tblDaily[Admissions],tblDaily[EntryDate],DATE(2026,1,17),tblDaily[WardCode],"MAE")),"")</f>
        <v/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 t="str">
        <f>IFERROR(IF(SUMIFS(tblDaily[TransfersOut],tblDaily[EntryDate],DATE(2026,1,17),tblDaily[WardCode],"MAE")=0,"",SUMIFS(tblDaily[TransfersOut],tblDaily[EntryDate],DATE(2026,1,17),tblDaily[WardCode],"MAE")),"")</f>
        <v/>
      </c>
      <c r="H23" s="5" t="str">
        <f>IFERROR(IF(SUMIFS(tblDaily[Remaining],tblDaily[EntryDate],DATE(2026,1,17),tblDaily[WardCode],"MAE")=0,"",SUMIFS(tblDaily[Remaining],tblDaily[EntryDate],DATE(2026,1,17),tblDaily[WardCode],"MAE")),"")</f>
        <v/>
      </c>
      <c r="I23" s="5" t="str">
        <f>IFERROR(IF(SUMIFS(tblDaily[MalariaCases],tblDaily[EntryDate],DATE(2026,1,17),tblDaily[WardCode],"MAE")=0,"",SUMIFS(tblDaily[MalariaCases],tblDaily[EntryDate],DATE(2026,1,17),tblDaily[WardCode],"MAE")),"")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 t="str">
        <f>IFERROR(IF(SUMIFS(tblDaily[Discharges],tblDaily[EntryDate],DATE(2026,1,18),tblDaily[WardCode],"MAE")=0,"",SUMIFS(tblDaily[Discharges],tblDaily[EntryDate],DATE(2026,1,18),tblDaily[WardCode],"MAE")),"")</f>
        <v/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 t="str">
        <f>IFERROR(IF(SUMIFS(tblDaily[TransfersOut],tblDaily[EntryDate],DATE(2026,1,18),tblDaily[WardCode],"MAE")=0,"",SUMIFS(tblDaily[TransfersOut],tblDaily[EntryDate],DATE(2026,1,18),tblDaily[WardCode],"MAE")),"")</f>
        <v/>
      </c>
      <c r="H24" s="5" t="str">
        <f>IFERROR(IF(SUMIFS(tblDaily[Remaining],tblDaily[EntryDate],DATE(2026,1,18),tblDaily[WardCode],"MAE")=0,"",SUMIFS(tblDaily[Remaining],tblDaily[EntryDate],DATE(2026,1,18),tblDaily[WardCode],"MAE")),"")</f>
        <v/>
      </c>
      <c r="I24" s="5" t="str">
        <f>IFERROR(IF(SUMIFS(tblDaily[MalariaCases],tblDaily[EntryDate],DATE(2026,1,18),tblDaily[WardCode],"MAE")=0,"",SUMIFS(tblDaily[MalariaCases],tblDaily[EntryDate],DATE(2026,1,18),tblDaily[WardCode],"MAE")),"")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IFERROR(IF(SUMIFS(tblDaily[Admissions],tblDaily[EntryDate],DATE(2026,1,19),tblDaily[WardCode],"MAE")=0,"",SUMIFS(tblDaily[Admissions],tblDaily[EntryDate],DATE(2026,1,19),tblDaily[WardCode],"MAE")),"")</f>
        <v/>
      </c>
      <c r="C25" s="5" t="str">
        <f>IFERROR(IF(SUMIFS(tblDaily[Discharges],tblDaily[EntryDate],DATE(2026,1,19),tblDaily[WardCode],"MAE")=0,"",SUMIFS(tblDaily[Discharges],tblDaily[EntryDate],DATE(2026,1,19),tblDaily[WardCode],"MAE")),"")</f>
        <v/>
      </c>
      <c r="D25" s="5" t="str">
        <f>IFERROR(IF(SUMIFS(tblDaily[Deaths],tblDaily[EntryDate],DATE(2026,1,19),tblDaily[WardCode],"MAE")=0,"",SUMIFS(tblDaily[Deaths],tblDaily[EntryDate],DATE(2026,1,19),tblDaily[WardCode],"MAE")),"")</f>
        <v/>
      </c>
      <c r="E25" s="5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 t="str">
        <f>IFERROR(IF(SUMIFS(tblDaily[Remaining],tblDaily[EntryDate],DATE(2026,1,19),tblDaily[WardCode],"MAE")=0,"",SUMIFS(tblDaily[Remaining],tblDaily[EntryDate],DATE(2026,1,19),tblDaily[WardCode],"MAE")),"")</f>
        <v/>
      </c>
      <c r="I25" s="5" t="str">
        <f>IFERROR(IF(SUMIFS(tblDaily[MalariaCases],tblDaily[EntryDate],DATE(2026,1,19),tblDaily[WardCode],"MAE")=0,"",SUMIFS(tblDaily[MalariaCases],tblDaily[EntryDate],DATE(2026,1,19),tblDaily[WardCode],"MAE")),"")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IFERROR(IF(SUMIFS(tblDaily[Admissions],tblDaily[EntryDate],DATE(2026,1,20),tblDaily[WardCode],"MAE")=0,"",SUMIFS(tblDaily[Admissions],tblDaily[EntryDate],DATE(2026,1,20),tblDaily[WardCode],"MAE")),"")</f>
        <v/>
      </c>
      <c r="C26" s="5" t="str">
        <f>IFERROR(IF(SUMIFS(tblDaily[Discharges],tblDaily[EntryDate],DATE(2026,1,20),tblDaily[WardCode],"MAE")=0,"",SUMIFS(tblDaily[Discharges],tblDaily[EntryDate],DATE(2026,1,20),tblDaily[WardCode],"MAE")),"")</f>
        <v/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 t="str">
        <f>IFERROR(IF(SUMIFS(tblDaily[TransfersOut],tblDaily[EntryDate],DATE(2026,1,20),tblDaily[WardCode],"MAE")=0,"",SUMIFS(tblDaily[TransfersOut],tblDaily[EntryDate],DATE(2026,1,20),tblDaily[WardCode],"MAE")),"")</f>
        <v/>
      </c>
      <c r="H26" s="5" t="str">
        <f>IFERROR(IF(SUMIFS(tblDaily[Remaining],tblDaily[EntryDate],DATE(2026,1,20),tblDaily[WardCode],"MAE")=0,"",SUMIFS(tblDaily[Remaining],tblDaily[EntryDate],DATE(2026,1,20),tblDaily[WardCode],"MAE")),"")</f>
        <v/>
      </c>
      <c r="I26" s="5" t="str">
        <f>IFERROR(IF(SUMIFS(tblDaily[MalariaCases],tblDaily[EntryDate],DATE(2026,1,20),tblDaily[WardCode],"MAE")=0,"",SUMIFS(tblDaily[MalariaCases],tblDaily[EntryDate],DATE(2026,1,20),tblDaily[WardCode],"MAE")),"")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IFERROR(IF(SUMIFS(tblDaily[Admissions],tblDaily[EntryDate],DATE(2026,1,21),tblDaily[WardCode],"MAE")=0,"",SUMIFS(tblDaily[Admissions],tblDaily[EntryDate],DATE(2026,1,21),tblDaily[WardCode],"MAE")),"")</f>
        <v/>
      </c>
      <c r="C27" s="5" t="str">
        <f>IFERROR(IF(SUMIFS(tblDaily[Discharges],tblDaily[EntryDate],DATE(2026,1,21),tblDaily[WardCode],"MAE")=0,"",SUMIFS(tblDaily[Discharges],tblDaily[EntryDate],DATE(2026,1,21),tblDaily[WardCode],"MAE")),"")</f>
        <v/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 t="str">
        <f>IFERROR(IF(SUMIFS(tblDaily[TransfersOut],tblDaily[EntryDate],DATE(2026,1,21),tblDaily[WardCode],"MAE")=0,"",SUMIFS(tblDaily[TransfersOut],tblDaily[EntryDate],DATE(2026,1,21),tblDaily[WardCode],"MAE")),"")</f>
        <v/>
      </c>
      <c r="H27" s="5" t="str">
        <f>IFERROR(IF(SUMIFS(tblDaily[Remaining],tblDaily[EntryDate],DATE(2026,1,21),tblDaily[WardCode],"MAE")=0,"",SUMIFS(tblDaily[Remaining],tblDaily[EntryDate],DATE(2026,1,21),tblDaily[WardCode],"MAE")),"")</f>
        <v/>
      </c>
      <c r="I27" s="5" t="str">
        <f>IFERROR(IF(SUMIFS(tblDaily[MalariaCases],tblDaily[EntryDate],DATE(2026,1,21),tblDaily[WardCode],"MAE")=0,"",SUMIFS(tblDaily[MalariaCases],tblDaily[EntryDate],DATE(2026,1,21),tblDaily[WardCode],"MAE")),"")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IFERROR(IF(SUMIFS(tblDaily[Admissions],tblDaily[EntryDate],DATE(2026,1,22),tblDaily[WardCode],"MAE")=0,"",SUMIFS(tblDaily[Admissions],tblDaily[EntryDate],DATE(2026,1,22),tblDaily[WardCode],"MAE")),"")</f>
        <v/>
      </c>
      <c r="C28" s="5" t="str">
        <f>IFERROR(IF(SUMIFS(tblDaily[Discharges],tblDaily[EntryDate],DATE(2026,1,22),tblDaily[WardCode],"MAE")=0,"",SUMIFS(tblDaily[Discharges],tblDaily[EntryDate],DATE(2026,1,22),tblDaily[WardCode],"MAE")),"")</f>
        <v/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 t="str">
        <f>IFERROR(IF(SUMIFS(tblDaily[TransfersOut],tblDaily[EntryDate],DATE(2026,1,22),tblDaily[WardCode],"MAE")=0,"",SUMIFS(tblDaily[TransfersOut],tblDaily[EntryDate],DATE(2026,1,22),tblDaily[WardCode],"MAE")),"")</f>
        <v/>
      </c>
      <c r="H28" s="5" t="str">
        <f>IFERROR(IF(SUMIFS(tblDaily[Remaining],tblDaily[EntryDate],DATE(2026,1,22),tblDaily[WardCode],"MAE")=0,"",SUMIFS(tblDaily[Remaining],tblDaily[EntryDate],DATE(2026,1,22),tblDaily[WardCode],"MAE")),"")</f>
        <v/>
      </c>
      <c r="I28" s="5" t="str">
        <f>IFERROR(IF(SUMIFS(tblDaily[MalariaCases],tblDaily[EntryDate],DATE(2026,1,22),tblDaily[WardCode],"MAE")=0,"",SUMIFS(tblDaily[MalariaCases],tblDaily[EntryDate],DATE(2026,1,22),tblDaily[WardCode],"MAE")),"")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IFERROR(IF(SUMIFS(tblDaily[Admissions],tblDaily[EntryDate],DATE(2026,1,23),tblDaily[WardCode],"MAE")=0,"",SUMIFS(tblDaily[Admissions],tblDaily[EntryDate],DATE(2026,1,23),tblDaily[WardCode],"MAE")),"")</f>
        <v/>
      </c>
      <c r="C29" s="5" t="str">
        <f>IFERROR(IF(SUMIFS(tblDaily[Discharges],tblDaily[EntryDate],DATE(2026,1,23),tblDaily[WardCode],"MAE")=0,"",SUMIFS(tblDaily[Discharges],tblDaily[EntryDate],DATE(2026,1,23),tblDaily[WardCode],"MAE")),"")</f>
        <v/>
      </c>
      <c r="D29" s="5" t="str">
        <f>IFERROR(IF(SUMIFS(tblDaily[Deaths],tblDaily[EntryDate],DATE(2026,1,23),tblDaily[WardCode],"MAE")=0,"",SUMIFS(tblDaily[Deaths],tblDaily[EntryDate],DATE(2026,1,23),tblDaily[WardCode],"MAE")),"")</f>
        <v/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 t="str">
        <f>IFERROR(IF(SUMIFS(tblDaily[TransfersOut],tblDaily[EntryDate],DATE(2026,1,23),tblDaily[WardCode],"MAE")=0,"",SUMIFS(tblDaily[TransfersOut],tblDaily[EntryDate],DATE(2026,1,23),tblDaily[WardCode],"MAE")),"")</f>
        <v/>
      </c>
      <c r="H29" s="5" t="str">
        <f>IFERROR(IF(SUMIFS(tblDaily[Remaining],tblDaily[EntryDate],DATE(2026,1,23),tblDaily[WardCode],"MAE")=0,"",SUMIFS(tblDaily[Remaining],tblDaily[EntryDate],DATE(2026,1,23),tblDaily[WardCode],"MAE")),"")</f>
        <v/>
      </c>
      <c r="I29" s="5" t="str">
        <f>IFERROR(IF(SUMIFS(tblDaily[MalariaCases],tblDaily[EntryDate],DATE(2026,1,23),tblDaily[WardCode],"MAE")=0,"",SUMIFS(tblDaily[MalariaCases],tblDaily[EntryDate],DATE(2026,1,23),tblDaily[WardCode],"MAE")),"")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IFERROR(IF(SUMIFS(tblDaily[Admissions],tblDaily[EntryDate],DATE(2026,1,24),tblDaily[WardCode],"MAE")=0,"",SUMIFS(tblDaily[Admissions],tblDaily[EntryDate],DATE(2026,1,24),tblDaily[WardCode],"MAE")),"")</f>
        <v/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 t="str">
        <f>IFERROR(IF(SUMIFS(tblDaily[Deaths],tblDaily[EntryDate],DATE(2026,1,24),tblDaily[WardCode],"MAE")=0,"",SUMIFS(tblDaily[Deaths],tblDaily[EntryDate],DATE(2026,1,24),tblDaily[WardCode],"MAE")),"")</f>
        <v/>
      </c>
      <c r="E30" s="5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 t="str">
        <f>IFERROR(IF(SUMIFS(tblDaily[TransfersOut],tblDaily[EntryDate],DATE(2026,1,24),tblDaily[WardCode],"MAE")=0,"",SUMIFS(tblDaily[TransfersOut],tblDaily[EntryDate],DATE(2026,1,24),tblDaily[WardCode],"MAE")),"")</f>
        <v/>
      </c>
      <c r="H30" s="5" t="str">
        <f>IFERROR(IF(SUMIFS(tblDaily[Remaining],tblDaily[EntryDate],DATE(2026,1,24),tblDaily[WardCode],"MAE")=0,"",SUMIFS(tblDaily[Remaining],tblDaily[EntryDate],DATE(2026,1,24),tblDaily[WardCode],"MAE")),"")</f>
        <v/>
      </c>
      <c r="I30" s="5" t="str">
        <f>IFERROR(IF(SUMIFS(tblDaily[MalariaCases],tblDaily[EntryDate],DATE(2026,1,24),tblDaily[WardCode],"MAE")=0,"",SUMIFS(tblDaily[MalariaCases],tblDaily[EntryDate],DATE(2026,1,24),tblDaily[WardCode],"MAE")),"")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 t="str">
        <f>IFERROR(IF(SUMIFS(tblDaily[Discharges],tblDaily[EntryDate],DATE(2026,1,25),tblDaily[WardCode],"MAE")=0,"",SUMIFS(tblDaily[Discharges],tblDaily[EntryDate],DATE(2026,1,25),tblDaily[WardCode],"MAE")),"")</f>
        <v/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 t="str">
        <f>IFERROR(IF(SUMIFS(tblDaily[TransfersOut],tblDaily[EntryDate],DATE(2026,1,25),tblDaily[WardCode],"MAE")=0,"",SUMIFS(tblDaily[TransfersOut],tblDaily[EntryDate],DATE(2026,1,25),tblDaily[WardCode],"MAE")),"")</f>
        <v/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  <c r="I31" s="5" t="str">
        <f>IFERROR(IF(SUMIFS(tblDaily[MalariaCases],tblDaily[EntryDate],DATE(2026,1,25),tblDaily[WardCode],"MAE")=0,"",SUMIFS(tblDaily[MalariaCases],tblDaily[EntryDate],DATE(2026,1,25),tblDaily[WardCode],"MAE")),"")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IFERROR(IF(SUMIFS(tblDaily[Admissions],tblDaily[EntryDate],DATE(2026,1,26),tblDaily[WardCode],"MAE")=0,"",SUMIFS(tblDaily[Admissions],tblDaily[EntryDate],DATE(2026,1,26),tblDaily[WardCode],"MAE")),"")</f>
        <v/>
      </c>
      <c r="C32" s="5" t="str">
        <f>IFERROR(IF(SUMIFS(tblDaily[Discharges],tblDaily[EntryDate],DATE(2026,1,26),tblDaily[WardCode],"MAE")=0,"",SUMIFS(tblDaily[Discharges],tblDaily[EntryDate],DATE(2026,1,26),tblDaily[WardCode],"MAE")),"")</f>
        <v/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 t="str">
        <f>IFERROR(IF(SUMIFS(tblDaily[TransfersOut],tblDaily[EntryDate],DATE(2026,1,26),tblDaily[WardCode],"MAE")=0,"",SUMIFS(tblDaily[TransfersOut],tblDaily[EntryDate],DATE(2026,1,26),tblDaily[WardCode],"MAE")),"")</f>
        <v/>
      </c>
      <c r="H32" s="5" t="str">
        <f>IFERROR(IF(SUMIFS(tblDaily[Remaining],tblDaily[EntryDate],DATE(2026,1,26),tblDaily[WardCode],"MAE")=0,"",SUMIFS(tblDaily[Remaining],tblDaily[EntryDate],DATE(2026,1,26),tblDaily[WardCode],"MAE")),"")</f>
        <v/>
      </c>
      <c r="I32" s="5" t="str">
        <f>IFERROR(IF(SUMIFS(tblDaily[MalariaCases],tblDaily[EntryDate],DATE(2026,1,26),tblDaily[WardCode],"MAE")=0,"",SUMIFS(tblDaily[MalariaCases],tblDaily[EntryDate],DATE(2026,1,26),tblDaily[WardCode],"MAE")),"")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IFERROR(IF(SUMIFS(tblDaily[Admissions],tblDaily[EntryDate],DATE(2026,1,27),tblDaily[WardCode],"MAE")=0,"",SUMIFS(tblDaily[Admissions],tblDaily[EntryDate],DATE(2026,1,27),tblDaily[WardCode],"MAE")),"")</f>
        <v/>
      </c>
      <c r="C33" s="5" t="str">
        <f>IFERROR(IF(SUMIFS(tblDaily[Discharges],tblDaily[EntryDate],DATE(2026,1,27),tblDaily[WardCode],"MAE")=0,"",SUMIFS(tblDaily[Discharges],tblDaily[EntryDate],DATE(2026,1,27),tblDaily[WardCode],"MAE")),"")</f>
        <v/>
      </c>
      <c r="D33" s="5" t="str">
        <f>IFERROR(IF(SUMIFS(tblDaily[Deaths],tblDaily[EntryDate],DATE(2026,1,27),tblDaily[WardCode],"MAE")=0,"",SUMIFS(tblDaily[Deaths],tblDaily[EntryDate],DATE(2026,1,27),tblDaily[WardCode],"MAE")),"")</f>
        <v/>
      </c>
      <c r="E33" s="5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 t="str">
        <f>IFERROR(IF(SUMIFS(tblDaily[TransfersOut],tblDaily[EntryDate],DATE(2026,1,27),tblDaily[WardCode],"MAE")=0,"",SUMIFS(tblDaily[TransfersOut],tblDaily[EntryDate],DATE(2026,1,27),tblDaily[WardCode],"MAE")),"")</f>
        <v/>
      </c>
      <c r="H33" s="5" t="str">
        <f>IFERROR(IF(SUMIFS(tblDaily[Remaining],tblDaily[EntryDate],DATE(2026,1,27),tblDaily[WardCode],"MAE")=0,"",SUMIFS(tblDaily[Remaining],tblDaily[EntryDate],DATE(2026,1,27),tblDaily[WardCode],"MAE")),"")</f>
        <v/>
      </c>
      <c r="I33" s="5" t="str">
        <f>IFERROR(IF(SUMIFS(tblDaily[MalariaCases],tblDaily[EntryDate],DATE(2026,1,27),tblDaily[WardCode],"MAE")=0,"",SUMIFS(tblDaily[MalariaCases],tblDaily[EntryDate],DATE(2026,1,27),tblDaily[WardCode],"MAE")),"")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IFERROR(IF(SUMIFS(tblDaily[Admissions],tblDaily[EntryDate],DATE(2026,1,28),tblDaily[WardCode],"MAE")=0,"",SUMIFS(tblDaily[Admissions],tblDaily[EntryDate],DATE(2026,1,28),tblDaily[WardCode],"MAE")),"")</f>
        <v/>
      </c>
      <c r="C34" s="5" t="str">
        <f>IFERROR(IF(SUMIFS(tblDaily[Discharges],tblDaily[EntryDate],DATE(2026,1,28),tblDaily[WardCode],"MAE")=0,"",SUMIFS(tblDaily[Discharges],tblDaily[EntryDate],DATE(2026,1,28),tblDaily[WardCode],"MAE")),"")</f>
        <v/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 t="str">
        <f>IFERROR(IF(SUMIFS(tblDaily[TransfersOut],tblDaily[EntryDate],DATE(2026,1,28),tblDaily[WardCode],"MAE")=0,"",SUMIFS(tblDaily[TransfersOut],tblDaily[EntryDate],DATE(2026,1,28),tblDaily[WardCode],"MAE")),"")</f>
        <v/>
      </c>
      <c r="H34" s="5" t="str">
        <f>IFERROR(IF(SUMIFS(tblDaily[Remaining],tblDaily[EntryDate],DATE(2026,1,28),tblDaily[WardCode],"MAE")=0,"",SUMIFS(tblDaily[Remaining],tblDaily[EntryDate],DATE(2026,1,28),tblDaily[WardCode],"MAE")),"")</f>
        <v/>
      </c>
      <c r="I34" s="5" t="str">
        <f>IFERROR(IF(SUMIFS(tblDaily[MalariaCases],tblDaily[EntryDate],DATE(2026,1,28),tblDaily[WardCode],"MAE")=0,"",SUMIFS(tblDaily[MalariaCases],tblDaily[EntryDate],DATE(2026,1,28),tblDaily[WardCode],"MAE")),"")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IFERROR(IF(SUMIFS(tblDaily[Admissions],tblDaily[EntryDate],DATE(2026,1,29),tblDaily[WardCode],"MAE")=0,"",SUMIFS(tblDaily[Admissions],tblDaily[EntryDate],DATE(2026,1,29),tblDaily[WardCode],"MAE")),"")</f>
        <v/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 t="str">
        <f>IFERROR(IF(SUMIFS(tblDaily[Remaining],tblDaily[EntryDate],DATE(2026,1,29),tblDaily[WardCode],"MAE")=0,"",SUMIFS(tblDaily[Remaining],tblDaily[EntryDate],DATE(2026,1,29),tblDaily[WardCode],"MAE")),"")</f>
        <v/>
      </c>
      <c r="I35" s="5" t="str">
        <f>IFERROR(IF(SUMIFS(tblDaily[MalariaCases],tblDaily[EntryDate],DATE(2026,1,29),tblDaily[WardCode],"MAE")=0,"",SUMIFS(tblDaily[MalariaCases],tblDaily[EntryDate],DATE(2026,1,29),tblDaily[WardCode],"MAE")),"")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IFERROR(IF(SUMIFS(tblDaily[Admissions],tblDaily[EntryDate],DATE(2026,1,30),tblDaily[WardCode],"MAE")=0,"",SUMIFS(tblDaily[Admissions],tblDaily[EntryDate],DATE(2026,1,30),tblDaily[WardCode],"MAE")),"")</f>
        <v/>
      </c>
      <c r="C36" s="5" t="str">
        <f>IFERROR(IF(SUMIFS(tblDaily[Discharges],tblDaily[EntryDate],DATE(2026,1,30),tblDaily[WardCode],"MAE")=0,"",SUMIFS(tblDaily[Discharges],tblDaily[EntryDate],DATE(2026,1,30),tblDaily[WardCode],"MAE")),"")</f>
        <v/>
      </c>
      <c r="D36" s="5" t="str">
        <f>IFERROR(IF(SUMIFS(tblDaily[Deaths],tblDaily[EntryDate],DATE(2026,1,30),tblDaily[WardCode],"MAE")=0,"",SUMIFS(tblDaily[Deaths],tblDaily[EntryDate],DATE(2026,1,30),tblDaily[WardCode],"MAE")),"")</f>
        <v/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 t="str">
        <f>IFERROR(IF(SUMIFS(tblDaily[TransfersOut],tblDaily[EntryDate],DATE(2026,1,30),tblDaily[WardCode],"MAE")=0,"",SUMIFS(tblDaily[TransfersOut],tblDaily[EntryDate],DATE(2026,1,30),tblDaily[WardCode],"MAE")),"")</f>
        <v/>
      </c>
      <c r="H36" s="5" t="str">
        <f>IFERROR(IF(SUMIFS(tblDaily[Remaining],tblDaily[EntryDate],DATE(2026,1,30),tblDaily[WardCode],"MAE")=0,"",SUMIFS(tblDaily[Remaining],tblDaily[EntryDate],DATE(2026,1,30),tblDaily[WardCode],"MAE")),"")</f>
        <v/>
      </c>
      <c r="I36" s="5" t="str">
        <f>IFERROR(IF(SUMIFS(tblDaily[MalariaCases],tblDaily[EntryDate],DATE(2026,1,30),tblDaily[WardCode],"MAE")=0,"",SUMIFS(tblDaily[MalariaCases],tblDaily[EntryDate],DATE(2026,1,30),tblDaily[WardCode],"MAE")),"")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IFERROR(IF(SUMIFS(tblDaily[Admissions],tblDaily[EntryDate],DATE(2026,1,31),tblDaily[WardCode],"MAE")=0,"",SUMIFS(tblDaily[Admissions],tblDaily[EntryDate],DATE(2026,1,31),tblDaily[WardCode],"MAE")),"")</f>
        <v/>
      </c>
      <c r="C37" s="5" t="str">
        <f>IFERROR(IF(SUMIFS(tblDaily[Discharges],tblDaily[EntryDate],DATE(2026,1,31),tblDaily[WardCode],"MAE")=0,"",SUMIFS(tblDaily[Discharges],tblDaily[EntryDate],DATE(2026,1,31),tblDaily[WardCode],"MAE")),"")</f>
        <v/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 t="str">
        <f>IFERROR(IF(SUMIFS(tblDaily[TransfersOut],tblDaily[EntryDate],DATE(2026,1,31),tblDaily[WardCode],"MAE")=0,"",SUMIFS(tblDaily[TransfersOut],tblDaily[EntryDate],DATE(2026,1,31),tblDaily[WardCode],"MAE")),"")</f>
        <v/>
      </c>
      <c r="H37" s="5" t="str">
        <f>IFERROR(IF(SUMIFS(tblDaily[Remaining],tblDaily[EntryDate],DATE(2026,1,31),tblDaily[WardCode],"MAE")=0,"",SUMIFS(tblDaily[Remaining],tblDaily[EntryDate],DATE(2026,1,31),tblDaily[WardCode],"MAE")),"")</f>
        <v/>
      </c>
      <c r="I37" s="5" t="str">
        <f>IFERROR(IF(SUMIFS(tblDaily[MalariaCases],tblDaily[EntryDate],DATE(2026,1,31),tblDaily[WardCode],"MAE")=0,"",SUMIFS(tblDaily[MalariaCases],tblDaily[EntryDate],DATE(2026,1,31),tblDaily[WardCode],"MAE")),"")</f>
        <v/>
      </c>
    </row>
    <row r="38" spans="1:9" x14ac:dyDescent="0.25">
      <c r="A38" s="9" t="s">
        <v>94</v>
      </c>
      <c r="B38" s="9">
        <f>SUMIFS(tblDaily[Admissions],tblDaily[Month],1,tblDaily[WardCode],"MAE")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101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IFERROR(SUMIFS(tblDaily[Remaining],tblDaily[EntryDate],DATE(2026,1,31),tblDaily[WardCode],"MAE"),0)</f>
        <v>0</v>
      </c>
    </row>
    <row r="44" spans="1:9" x14ac:dyDescent="0.25">
      <c r="A44" s="1" t="s">
        <v>87</v>
      </c>
      <c r="H44" s="7">
        <f>IFERROR(INDEX(tblWardConfig[BedComplement],MATCH("MAE",tblWardConfig[Export Year-End],0)),0)</f>
        <v>10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  <c r="I46" s="5" t="str">
        <f>IFERROR(IF(SUMIFS(tblDaily[MalariaCases],tblDaily[EntryDate],DATE(2026,2,1),tblDaily[WardCode],"MAE")=0,"",SUMIFS(tblDaily[MalariaCases],tblDaily[EntryDate],DATE(2026,2,1),tblDaily[WardCode],"MAE")),"")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  <c r="I47" s="5" t="str">
        <f>IFERROR(IF(SUMIFS(tblDaily[MalariaCases],tblDaily[EntryDate],DATE(2026,2,2),tblDaily[WardCode],"MAE")=0,"",SUMIFS(tblDaily[MalariaCases],tblDaily[EntryDate],DATE(2026,2,2),tblDaily[WardCode],"MAE")),"")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IFERROR(IF(SUMIFS(tblDaily[Admissions],tblDaily[EntryDate],DATE(2026,2,3),tblDaily[WardCode],"MAE")=0,"",SUMIFS(tblDaily[Admissions],tblDaily[EntryDate],DATE(2026,2,3),tblDaily[WardCode],"MAE")),"")</f>
        <v/>
      </c>
      <c r="C48" s="5" t="str">
        <f>IFERROR(IF(SUMIFS(tblDaily[Discharges],tblDaily[EntryDate],DATE(2026,2,3),tblDaily[WardCode],"MAE")=0,"",SUMIFS(tblDaily[Discharges],tblDaily[EntryDate],DATE(2026,2,3),tblDaily[WardCode],"MAE")),"")</f>
        <v/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 t="str">
        <f>IFERROR(IF(SUMIFS(tblDaily[TransfersIn],tblDaily[EntryDate],DATE(2026,2,3),tblDaily[WardCode],"MAE")=0,"",SUMIFS(tblDaily[TransfersIn],tblDaily[EntryDate],DATE(2026,2,3),tblDaily[WardCode],"MAE")),"")</f>
        <v/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 t="str">
        <f>IFERROR(IF(SUMIFS(tblDaily[Remaining],tblDaily[EntryDate],DATE(2026,2,3),tblDaily[WardCode],"MAE")=0,"",SUMIFS(tblDaily[Remaining],tblDaily[EntryDate],DATE(2026,2,3),tblDaily[WardCode],"MAE")),"")</f>
        <v/>
      </c>
      <c r="I48" s="5" t="str">
        <f>IFERROR(IF(SUMIFS(tblDaily[MalariaCases],tblDaily[EntryDate],DATE(2026,2,3),tblDaily[WardCode],"MAE")=0,"",SUMIFS(tblDaily[MalariaCases],tblDaily[EntryDate],DATE(2026,2,3),tblDaily[WardCode],"MAE")),"")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  <c r="I49" s="5" t="str">
        <f>IFERROR(IF(SUMIFS(tblDaily[MalariaCases],tblDaily[EntryDate],DATE(2026,2,4),tblDaily[WardCode],"MAE")=0,"",SUMIFS(tblDaily[MalariaCases],tblDaily[EntryDate],DATE(2026,2,4),tblDaily[WardCode],"MAE")),"")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  <c r="I50" s="5" t="str">
        <f>IFERROR(IF(SUMIFS(tblDaily[MalariaCases],tblDaily[EntryDate],DATE(2026,2,5),tblDaily[WardCode],"MAE")=0,"",SUMIFS(tblDaily[MalariaCases],tblDaily[EntryDate],DATE(2026,2,5),tblDaily[WardCode],"MAE")),"")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  <c r="I51" s="5" t="str">
        <f>IFERROR(IF(SUMIFS(tblDaily[MalariaCases],tblDaily[EntryDate],DATE(2026,2,6),tblDaily[WardCode],"MAE")=0,"",SUMIFS(tblDaily[MalariaCases],tblDaily[EntryDate],DATE(2026,2,6),tblDaily[WardCode],"MAE")),"")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  <c r="I52" s="5" t="str">
        <f>IFERROR(IF(SUMIFS(tblDaily[MalariaCases],tblDaily[EntryDate],DATE(2026,2,7),tblDaily[WardCode],"MAE")=0,"",SUMIFS(tblDaily[MalariaCases],tblDaily[EntryDate],DATE(2026,2,7),tblDaily[WardCode],"MAE")),"")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  <c r="I53" s="5" t="str">
        <f>IFERROR(IF(SUMIFS(tblDaily[MalariaCases],tblDaily[EntryDate],DATE(2026,2,8),tblDaily[WardCode],"MAE")=0,"",SUMIFS(tblDaily[MalariaCases],tblDaily[EntryDate],DATE(2026,2,8),tblDaily[WardCode],"MAE")),"")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  <c r="I54" s="5" t="str">
        <f>IFERROR(IF(SUMIFS(tblDaily[MalariaCases],tblDaily[EntryDate],DATE(2026,2,9),tblDaily[WardCode],"MAE")=0,"",SUMIFS(tblDaily[MalariaCases],tblDaily[EntryDate],DATE(2026,2,9),tblDaily[WardCode],"MAE")),"")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  <c r="I55" s="5" t="str">
        <f>IFERROR(IF(SUMIFS(tblDaily[MalariaCases],tblDaily[EntryDate],DATE(2026,2,10),tblDaily[WardCode],"MAE")=0,"",SUMIFS(tblDaily[MalariaCases],tblDaily[EntryDate],DATE(2026,2,10),tblDaily[WardCode],"MAE")),"")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  <c r="I56" s="5" t="str">
        <f>IFERROR(IF(SUMIFS(tblDaily[MalariaCases],tblDaily[EntryDate],DATE(2026,2,11),tblDaily[WardCode],"MAE")=0,"",SUMIFS(tblDaily[MalariaCases],tblDaily[EntryDate],DATE(2026,2,11),tblDaily[WardCode],"MAE")),"")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  <c r="I57" s="5" t="str">
        <f>IFERROR(IF(SUMIFS(tblDaily[MalariaCases],tblDaily[EntryDate],DATE(2026,2,12),tblDaily[WardCode],"MAE")=0,"",SUMIFS(tblDaily[MalariaCases],tblDaily[EntryDate],DATE(2026,2,12),tblDaily[WardCode],"MAE")),"")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  <c r="I58" s="5" t="str">
        <f>IFERROR(IF(SUMIFS(tblDaily[MalariaCases],tblDaily[EntryDate],DATE(2026,2,13),tblDaily[WardCode],"MAE")=0,"",SUMIFS(tblDaily[MalariaCases],tblDaily[EntryDate],DATE(2026,2,13),tblDaily[WardCode],"MAE")),"")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  <c r="I59" s="5" t="str">
        <f>IFERROR(IF(SUMIFS(tblDaily[MalariaCases],tblDaily[EntryDate],DATE(2026,2,14),tblDaily[WardCode],"MAE")=0,"",SUMIFS(tblDaily[MalariaCases],tblDaily[EntryDate],DATE(2026,2,14),tblDaily[WardCode],"MAE")),"")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  <c r="I60" s="5" t="str">
        <f>IFERROR(IF(SUMIFS(tblDaily[MalariaCases],tblDaily[EntryDate],DATE(2026,2,15),tblDaily[WardCode],"MAE")=0,"",SUMIFS(tblDaily[MalariaCases],tblDaily[EntryDate],DATE(2026,2,15),tblDaily[WardCode],"MAE")),"")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  <c r="I61" s="5" t="str">
        <f>IFERROR(IF(SUMIFS(tblDaily[MalariaCases],tblDaily[EntryDate],DATE(2026,2,16),tblDaily[WardCode],"MAE")=0,"",SUMIFS(tblDaily[MalariaCases],tblDaily[EntryDate],DATE(2026,2,16),tblDaily[WardCode],"MAE")),"")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  <c r="I62" s="5" t="str">
        <f>IFERROR(IF(SUMIFS(tblDaily[MalariaCases],tblDaily[EntryDate],DATE(2026,2,17),tblDaily[WardCode],"MAE")=0,"",SUMIFS(tblDaily[MalariaCases],tblDaily[EntryDate],DATE(2026,2,17),tblDaily[WardCode],"MAE")),"")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  <c r="I63" s="5" t="str">
        <f>IFERROR(IF(SUMIFS(tblDaily[MalariaCases],tblDaily[EntryDate],DATE(2026,2,18),tblDaily[WardCode],"MAE")=0,"",SUMIFS(tblDaily[MalariaCases],tblDaily[EntryDate],DATE(2026,2,18),tblDaily[WardCode],"MAE")),"")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  <c r="I64" s="5" t="str">
        <f>IFERROR(IF(SUMIFS(tblDaily[MalariaCases],tblDaily[EntryDate],DATE(2026,2,19),tblDaily[WardCode],"MAE")=0,"",SUMIFS(tblDaily[MalariaCases],tblDaily[EntryDate],DATE(2026,2,19),tblDaily[WardCode],"MAE")),"")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  <c r="I65" s="5" t="str">
        <f>IFERROR(IF(SUMIFS(tblDaily[MalariaCases],tblDaily[EntryDate],DATE(2026,2,20),tblDaily[WardCode],"MAE")=0,"",SUMIFS(tblDaily[MalariaCases],tblDaily[EntryDate],DATE(2026,2,20),tblDaily[WardCode],"MAE")),"")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  <c r="I66" s="5" t="str">
        <f>IFERROR(IF(SUMIFS(tblDaily[MalariaCases],tblDaily[EntryDate],DATE(2026,2,21),tblDaily[WardCode],"MAE")=0,"",SUMIFS(tblDaily[MalariaCases],tblDaily[EntryDate],DATE(2026,2,21),tblDaily[WardCode],"MAE")),"")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  <c r="I67" s="5" t="str">
        <f>IFERROR(IF(SUMIFS(tblDaily[MalariaCases],tblDaily[EntryDate],DATE(2026,2,22),tblDaily[WardCode],"MAE")=0,"",SUMIFS(tblDaily[MalariaCases],tblDaily[EntryDate],DATE(2026,2,22),tblDaily[WardCode],"MAE")),"")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  <c r="I68" s="5" t="str">
        <f>IFERROR(IF(SUMIFS(tblDaily[MalariaCases],tblDaily[EntryDate],DATE(2026,2,23),tblDaily[WardCode],"MAE")=0,"",SUMIFS(tblDaily[MalariaCases],tblDaily[EntryDate],DATE(2026,2,23),tblDaily[WardCode],"MAE")),"")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  <c r="I69" s="5" t="str">
        <f>IFERROR(IF(SUMIFS(tblDaily[MalariaCases],tblDaily[EntryDate],DATE(2026,2,24),tblDaily[WardCode],"MAE")=0,"",SUMIFS(tblDaily[MalariaCases],tblDaily[EntryDate],DATE(2026,2,24),tblDaily[WardCode],"MAE")),"")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  <c r="I70" s="5" t="str">
        <f>IFERROR(IF(SUMIFS(tblDaily[MalariaCases],tblDaily[EntryDate],DATE(2026,2,25),tblDaily[WardCode],"MAE")=0,"",SUMIFS(tblDaily[MalariaCases],tblDaily[EntryDate],DATE(2026,2,25),tblDaily[WardCode],"MAE")),"")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  <c r="I71" s="5" t="str">
        <f>IFERROR(IF(SUMIFS(tblDaily[MalariaCases],tblDaily[EntryDate],DATE(2026,2,26),tblDaily[WardCode],"MAE")=0,"",SUMIFS(tblDaily[MalariaCases],tblDaily[EntryDate],DATE(2026,2,26),tblDaily[WardCode],"MAE")),"")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  <c r="I72" s="5" t="str">
        <f>IFERROR(IF(SUMIFS(tblDaily[MalariaCases],tblDaily[EntryDate],DATE(2026,2,27),tblDaily[WardCode],"MAE")=0,"",SUMIFS(tblDaily[MalariaCases],tblDaily[EntryDate],DATE(2026,2,27),tblDaily[WardCode],"MAE")),"")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  <c r="I73" s="5" t="str">
        <f>IFERROR(IF(SUMIFS(tblDaily[MalariaCases],tblDaily[EntryDate],DATE(2026,2,28),tblDaily[WardCode],"MAE")=0,"",SUMIFS(tblDaily[MalariaCases],tblDaily[EntryDate],DATE(2026,2,28),tblDaily[WardCode],"MAE")),"")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101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IFERROR(SUMIFS(tblDaily[Remaining],tblDaily[EntryDate],DATE(2026,2,28),tblDaily[WardCode],"MAE"),0)</f>
        <v>0</v>
      </c>
    </row>
    <row r="83" spans="1:9" x14ac:dyDescent="0.25">
      <c r="A83" s="1" t="s">
        <v>87</v>
      </c>
      <c r="H83" s="7">
        <f>IFERROR(INDEX(tblWardConfig[BedComplement],MATCH("MAE",tblWardConfig[Export Year-End],0)),0)</f>
        <v>10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  <c r="I85" s="5" t="str">
        <f>IFERROR(IF(SUMIFS(tblDaily[MalariaCases],tblDaily[EntryDate],DATE(2026,3,1),tblDaily[WardCode],"MAE")=0,"",SUMIFS(tblDaily[MalariaCases],tblDaily[EntryDate],DATE(2026,3,1),tblDaily[WardCode],"MAE")),"")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  <c r="I86" s="5" t="str">
        <f>IFERROR(IF(SUMIFS(tblDaily[MalariaCases],tblDaily[EntryDate],DATE(2026,3,2),tblDaily[WardCode],"MAE")=0,"",SUMIFS(tblDaily[MalariaCases],tblDaily[EntryDate],DATE(2026,3,2),tblDaily[WardCode],"MAE")),"")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  <c r="I87" s="5" t="str">
        <f>IFERROR(IF(SUMIFS(tblDaily[MalariaCases],tblDaily[EntryDate],DATE(2026,3,3),tblDaily[WardCode],"MAE")=0,"",SUMIFS(tblDaily[MalariaCases],tblDaily[EntryDate],DATE(2026,3,3),tblDaily[WardCode],"MAE")),"")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  <c r="I88" s="5" t="str">
        <f>IFERROR(IF(SUMIFS(tblDaily[MalariaCases],tblDaily[EntryDate],DATE(2026,3,4),tblDaily[WardCode],"MAE")=0,"",SUMIFS(tblDaily[MalariaCases],tblDaily[EntryDate],DATE(2026,3,4),tblDaily[WardCode],"MAE")),"")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  <c r="I89" s="5" t="str">
        <f>IFERROR(IF(SUMIFS(tblDaily[MalariaCases],tblDaily[EntryDate],DATE(2026,3,5),tblDaily[WardCode],"MAE")=0,"",SUMIFS(tblDaily[MalariaCases],tblDaily[EntryDate],DATE(2026,3,5),tblDaily[WardCode],"MAE")),"")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  <c r="I90" s="5" t="str">
        <f>IFERROR(IF(SUMIFS(tblDaily[MalariaCases],tblDaily[EntryDate],DATE(2026,3,6),tblDaily[WardCode],"MAE")=0,"",SUMIFS(tblDaily[MalariaCases],tblDaily[EntryDate],DATE(2026,3,6),tblDaily[WardCode],"MAE")),"")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  <c r="I91" s="5" t="str">
        <f>IFERROR(IF(SUMIFS(tblDaily[MalariaCases],tblDaily[EntryDate],DATE(2026,3,7),tblDaily[WardCode],"MAE")=0,"",SUMIFS(tblDaily[MalariaCases],tblDaily[EntryDate],DATE(2026,3,7),tblDaily[WardCode],"MAE")),"")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  <c r="I92" s="5" t="str">
        <f>IFERROR(IF(SUMIFS(tblDaily[MalariaCases],tblDaily[EntryDate],DATE(2026,3,8),tblDaily[WardCode],"MAE")=0,"",SUMIFS(tblDaily[MalariaCases],tblDaily[EntryDate],DATE(2026,3,8),tblDaily[WardCode],"MAE")),"")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  <c r="I93" s="5" t="str">
        <f>IFERROR(IF(SUMIFS(tblDaily[MalariaCases],tblDaily[EntryDate],DATE(2026,3,9),tblDaily[WardCode],"MAE")=0,"",SUMIFS(tblDaily[MalariaCases],tblDaily[EntryDate],DATE(2026,3,9),tblDaily[WardCode],"MAE")),"")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  <c r="I94" s="5" t="str">
        <f>IFERROR(IF(SUMIFS(tblDaily[MalariaCases],tblDaily[EntryDate],DATE(2026,3,10),tblDaily[WardCode],"MAE")=0,"",SUMIFS(tblDaily[MalariaCases],tblDaily[EntryDate],DATE(2026,3,10),tblDaily[WardCode],"MAE")),"")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  <c r="I95" s="5" t="str">
        <f>IFERROR(IF(SUMIFS(tblDaily[MalariaCases],tblDaily[EntryDate],DATE(2026,3,11),tblDaily[WardCode],"MAE")=0,"",SUMIFS(tblDaily[MalariaCases],tblDaily[EntryDate],DATE(2026,3,11),tblDaily[WardCode],"MAE")),"")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  <c r="I96" s="5" t="str">
        <f>IFERROR(IF(SUMIFS(tblDaily[MalariaCases],tblDaily[EntryDate],DATE(2026,3,12),tblDaily[WardCode],"MAE")=0,"",SUMIFS(tblDaily[MalariaCases],tblDaily[EntryDate],DATE(2026,3,12),tblDaily[WardCode],"MAE")),"")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  <c r="I97" s="5" t="str">
        <f>IFERROR(IF(SUMIFS(tblDaily[MalariaCases],tblDaily[EntryDate],DATE(2026,3,13),tblDaily[WardCode],"MAE")=0,"",SUMIFS(tblDaily[MalariaCases],tblDaily[EntryDate],DATE(2026,3,13),tblDaily[WardCode],"MAE")),"")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  <c r="I98" s="5" t="str">
        <f>IFERROR(IF(SUMIFS(tblDaily[MalariaCases],tblDaily[EntryDate],DATE(2026,3,14),tblDaily[WardCode],"MAE")=0,"",SUMIFS(tblDaily[MalariaCases],tblDaily[EntryDate],DATE(2026,3,14),tblDaily[WardCode],"MAE")),"")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  <c r="I99" s="5" t="str">
        <f>IFERROR(IF(SUMIFS(tblDaily[MalariaCases],tblDaily[EntryDate],DATE(2026,3,15),tblDaily[WardCode],"MAE")=0,"",SUMIFS(tblDaily[MalariaCases],tblDaily[EntryDate],DATE(2026,3,15),tblDaily[WardCode],"MAE")),"")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  <c r="I100" s="5" t="str">
        <f>IFERROR(IF(SUMIFS(tblDaily[MalariaCases],tblDaily[EntryDate],DATE(2026,3,16),tblDaily[WardCode],"MAE")=0,"",SUMIFS(tblDaily[MalariaCases],tblDaily[EntryDate],DATE(2026,3,16),tblDaily[WardCode],"MAE")),"")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  <c r="I101" s="5" t="str">
        <f>IFERROR(IF(SUMIFS(tblDaily[MalariaCases],tblDaily[EntryDate],DATE(2026,3,17),tblDaily[WardCode],"MAE")=0,"",SUMIFS(tblDaily[MalariaCases],tblDaily[EntryDate],DATE(2026,3,17),tblDaily[WardCode],"MAE")),"")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  <c r="I102" s="5" t="str">
        <f>IFERROR(IF(SUMIFS(tblDaily[MalariaCases],tblDaily[EntryDate],DATE(2026,3,18),tblDaily[WardCode],"MAE")=0,"",SUMIFS(tblDaily[MalariaCases],tblDaily[EntryDate],DATE(2026,3,18),tblDaily[WardCode],"MAE")),"")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  <c r="I103" s="5" t="str">
        <f>IFERROR(IF(SUMIFS(tblDaily[MalariaCases],tblDaily[EntryDate],DATE(2026,3,19),tblDaily[WardCode],"MAE")=0,"",SUMIFS(tblDaily[MalariaCases],tblDaily[EntryDate],DATE(2026,3,19),tblDaily[WardCode],"MAE")),"")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  <c r="I104" s="5" t="str">
        <f>IFERROR(IF(SUMIFS(tblDaily[MalariaCases],tblDaily[EntryDate],DATE(2026,3,20),tblDaily[WardCode],"MAE")=0,"",SUMIFS(tblDaily[MalariaCases],tblDaily[EntryDate],DATE(2026,3,20),tblDaily[WardCode],"MAE")),"")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  <c r="I105" s="5" t="str">
        <f>IFERROR(IF(SUMIFS(tblDaily[MalariaCases],tblDaily[EntryDate],DATE(2026,3,21),tblDaily[WardCode],"MAE")=0,"",SUMIFS(tblDaily[MalariaCases],tblDaily[EntryDate],DATE(2026,3,21),tblDaily[WardCode],"MAE")),"")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  <c r="I106" s="5" t="str">
        <f>IFERROR(IF(SUMIFS(tblDaily[MalariaCases],tblDaily[EntryDate],DATE(2026,3,22),tblDaily[WardCode],"MAE")=0,"",SUMIFS(tblDaily[MalariaCases],tblDaily[EntryDate],DATE(2026,3,22),tblDaily[WardCode],"MAE")),"")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  <c r="I107" s="5" t="str">
        <f>IFERROR(IF(SUMIFS(tblDaily[MalariaCases],tblDaily[EntryDate],DATE(2026,3,23),tblDaily[WardCode],"MAE")=0,"",SUMIFS(tblDaily[MalariaCases],tblDaily[EntryDate],DATE(2026,3,23),tblDaily[WardCode],"MAE")),"")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  <c r="I108" s="5" t="str">
        <f>IFERROR(IF(SUMIFS(tblDaily[MalariaCases],tblDaily[EntryDate],DATE(2026,3,24),tblDaily[WardCode],"MAE")=0,"",SUMIFS(tblDaily[MalariaCases],tblDaily[EntryDate],DATE(2026,3,24),tblDaily[WardCode],"MAE")),"")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  <c r="I109" s="5" t="str">
        <f>IFERROR(IF(SUMIFS(tblDaily[MalariaCases],tblDaily[EntryDate],DATE(2026,3,25),tblDaily[WardCode],"MAE")=0,"",SUMIFS(tblDaily[MalariaCases],tblDaily[EntryDate],DATE(2026,3,25),tblDaily[WardCode],"MAE")),"")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  <c r="I110" s="5" t="str">
        <f>IFERROR(IF(SUMIFS(tblDaily[MalariaCases],tblDaily[EntryDate],DATE(2026,3,26),tblDaily[WardCode],"MAE")=0,"",SUMIFS(tblDaily[MalariaCases],tblDaily[EntryDate],DATE(2026,3,26),tblDaily[WardCode],"MAE")),"")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  <c r="I111" s="5" t="str">
        <f>IFERROR(IF(SUMIFS(tblDaily[MalariaCases],tblDaily[EntryDate],DATE(2026,3,27),tblDaily[WardCode],"MAE")=0,"",SUMIFS(tblDaily[MalariaCases],tblDaily[EntryDate],DATE(2026,3,27),tblDaily[WardCode],"MAE")),"")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  <c r="I112" s="5" t="str">
        <f>IFERROR(IF(SUMIFS(tblDaily[MalariaCases],tblDaily[EntryDate],DATE(2026,3,28),tblDaily[WardCode],"MAE")=0,"",SUMIFS(tblDaily[MalariaCases],tblDaily[EntryDate],DATE(2026,3,28),tblDaily[WardCode],"MAE")),"")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  <c r="I113" s="5" t="str">
        <f>IFERROR(IF(SUMIFS(tblDaily[MalariaCases],tblDaily[EntryDate],DATE(2026,3,29),tblDaily[WardCode],"MAE")=0,"",SUMIFS(tblDaily[MalariaCases],tblDaily[EntryDate],DATE(2026,3,29),tblDaily[WardCode],"MAE")),"")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  <c r="I114" s="5" t="str">
        <f>IFERROR(IF(SUMIFS(tblDaily[MalariaCases],tblDaily[EntryDate],DATE(2026,3,30),tblDaily[WardCode],"MAE")=0,"",SUMIFS(tblDaily[MalariaCases],tblDaily[EntryDate],DATE(2026,3,30),tblDaily[WardCode],"MAE")),"")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  <c r="I115" s="5" t="str">
        <f>IFERROR(IF(SUMIFS(tblDaily[MalariaCases],tblDaily[EntryDate],DATE(2026,3,31),tblDaily[WardCode],"MAE")=0,"",SUMIFS(tblDaily[MalariaCases],tblDaily[EntryDate],DATE(2026,3,31),tblDaily[WardCode],"MAE")),"")</f>
        <v/>
      </c>
    </row>
    <row r="116" spans="1:9" x14ac:dyDescent="0.25">
      <c r="A116" s="9" t="s">
        <v>94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101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IFERROR(SUMIFS(tblDaily[Remaining],tblDaily[EntryDate],DATE(2026,3,31),tblDaily[WardCode],"MAE"),0)</f>
        <v>0</v>
      </c>
    </row>
    <row r="122" spans="1:9" x14ac:dyDescent="0.25">
      <c r="A122" s="1" t="s">
        <v>87</v>
      </c>
      <c r="H122" s="7">
        <f>IFERROR(INDEX(tblWardConfig[BedComplement],MATCH("MAE",tblWardConfig[Export Year-End],0)),0)</f>
        <v>10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  <c r="I124" s="5" t="str">
        <f>IFERROR(IF(SUMIFS(tblDaily[MalariaCases],tblDaily[EntryDate],DATE(2026,4,1),tblDaily[WardCode],"MAE")=0,"",SUMIFS(tblDaily[MalariaCases],tblDaily[EntryDate],DATE(2026,4,1),tblDaily[WardCode],"MAE")),"")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  <c r="I125" s="5" t="str">
        <f>IFERROR(IF(SUMIFS(tblDaily[MalariaCases],tblDaily[EntryDate],DATE(2026,4,2),tblDaily[WardCode],"MAE")=0,"",SUMIFS(tblDaily[MalariaCases],tblDaily[EntryDate],DATE(2026,4,2),tblDaily[WardCode],"MAE")),"")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  <c r="I126" s="5" t="str">
        <f>IFERROR(IF(SUMIFS(tblDaily[MalariaCases],tblDaily[EntryDate],DATE(2026,4,3),tblDaily[WardCode],"MAE")=0,"",SUMIFS(tblDaily[MalariaCases],tblDaily[EntryDate],DATE(2026,4,3),tblDaily[WardCode],"MAE")),"")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  <c r="I127" s="5" t="str">
        <f>IFERROR(IF(SUMIFS(tblDaily[MalariaCases],tblDaily[EntryDate],DATE(2026,4,4),tblDaily[WardCode],"MAE")=0,"",SUMIFS(tblDaily[MalariaCases],tblDaily[EntryDate],DATE(2026,4,4),tblDaily[WardCode],"MAE")),"")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  <c r="I128" s="5" t="str">
        <f>IFERROR(IF(SUMIFS(tblDaily[MalariaCases],tblDaily[EntryDate],DATE(2026,4,5),tblDaily[WardCode],"MAE")=0,"",SUMIFS(tblDaily[MalariaCases],tblDaily[EntryDate],DATE(2026,4,5),tblDaily[WardCode],"MAE")),"")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  <c r="I129" s="5" t="str">
        <f>IFERROR(IF(SUMIFS(tblDaily[MalariaCases],tblDaily[EntryDate],DATE(2026,4,6),tblDaily[WardCode],"MAE")=0,"",SUMIFS(tblDaily[MalariaCases],tblDaily[EntryDate],DATE(2026,4,6),tblDaily[WardCode],"MAE")),"")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  <c r="I130" s="5" t="str">
        <f>IFERROR(IF(SUMIFS(tblDaily[MalariaCases],tblDaily[EntryDate],DATE(2026,4,7),tblDaily[WardCode],"MAE")=0,"",SUMIFS(tblDaily[MalariaCases],tblDaily[EntryDate],DATE(2026,4,7),tblDaily[WardCode],"MAE")),"")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  <c r="I131" s="5" t="str">
        <f>IFERROR(IF(SUMIFS(tblDaily[MalariaCases],tblDaily[EntryDate],DATE(2026,4,8),tblDaily[WardCode],"MAE")=0,"",SUMIFS(tblDaily[MalariaCases],tblDaily[EntryDate],DATE(2026,4,8),tblDaily[WardCode],"MAE")),"")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  <c r="I132" s="5" t="str">
        <f>IFERROR(IF(SUMIFS(tblDaily[MalariaCases],tblDaily[EntryDate],DATE(2026,4,9),tblDaily[WardCode],"MAE")=0,"",SUMIFS(tblDaily[MalariaCases],tblDaily[EntryDate],DATE(2026,4,9),tblDaily[WardCode],"MAE")),"")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  <c r="I133" s="5" t="str">
        <f>IFERROR(IF(SUMIFS(tblDaily[MalariaCases],tblDaily[EntryDate],DATE(2026,4,10),tblDaily[WardCode],"MAE")=0,"",SUMIFS(tblDaily[MalariaCases],tblDaily[EntryDate],DATE(2026,4,10),tblDaily[WardCode],"MAE")),"")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  <c r="I134" s="5" t="str">
        <f>IFERROR(IF(SUMIFS(tblDaily[MalariaCases],tblDaily[EntryDate],DATE(2026,4,11),tblDaily[WardCode],"MAE")=0,"",SUMIFS(tblDaily[MalariaCases],tblDaily[EntryDate],DATE(2026,4,11),tblDaily[WardCode],"MAE")),"")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  <c r="I135" s="5" t="str">
        <f>IFERROR(IF(SUMIFS(tblDaily[MalariaCases],tblDaily[EntryDate],DATE(2026,4,12),tblDaily[WardCode],"MAE")=0,"",SUMIFS(tblDaily[MalariaCases],tblDaily[EntryDate],DATE(2026,4,12),tblDaily[WardCode],"MAE")),"")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  <c r="I136" s="5" t="str">
        <f>IFERROR(IF(SUMIFS(tblDaily[MalariaCases],tblDaily[EntryDate],DATE(2026,4,13),tblDaily[WardCode],"MAE")=0,"",SUMIFS(tblDaily[MalariaCases],tblDaily[EntryDate],DATE(2026,4,13),tblDaily[WardCode],"MAE")),"")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  <c r="I137" s="5" t="str">
        <f>IFERROR(IF(SUMIFS(tblDaily[MalariaCases],tblDaily[EntryDate],DATE(2026,4,14),tblDaily[WardCode],"MAE")=0,"",SUMIFS(tblDaily[MalariaCases],tblDaily[EntryDate],DATE(2026,4,14),tblDaily[WardCode],"MAE")),"")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  <c r="I138" s="5" t="str">
        <f>IFERROR(IF(SUMIFS(tblDaily[MalariaCases],tblDaily[EntryDate],DATE(2026,4,15),tblDaily[WardCode],"MAE")=0,"",SUMIFS(tblDaily[MalariaCases],tblDaily[EntryDate],DATE(2026,4,15),tblDaily[WardCode],"MAE")),"")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  <c r="I139" s="5" t="str">
        <f>IFERROR(IF(SUMIFS(tblDaily[MalariaCases],tblDaily[EntryDate],DATE(2026,4,16),tblDaily[WardCode],"MAE")=0,"",SUMIFS(tblDaily[MalariaCases],tblDaily[EntryDate],DATE(2026,4,16),tblDaily[WardCode],"MAE")),"")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  <c r="I140" s="5" t="str">
        <f>IFERROR(IF(SUMIFS(tblDaily[MalariaCases],tblDaily[EntryDate],DATE(2026,4,17),tblDaily[WardCode],"MAE")=0,"",SUMIFS(tblDaily[MalariaCases],tblDaily[EntryDate],DATE(2026,4,17),tblDaily[WardCode],"MAE")),"")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  <c r="I141" s="5" t="str">
        <f>IFERROR(IF(SUMIFS(tblDaily[MalariaCases],tblDaily[EntryDate],DATE(2026,4,18),tblDaily[WardCode],"MAE")=0,"",SUMIFS(tblDaily[MalariaCases],tblDaily[EntryDate],DATE(2026,4,18),tblDaily[WardCode],"MAE")),"")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  <c r="I142" s="5" t="str">
        <f>IFERROR(IF(SUMIFS(tblDaily[MalariaCases],tblDaily[EntryDate],DATE(2026,4,19),tblDaily[WardCode],"MAE")=0,"",SUMIFS(tblDaily[MalariaCases],tblDaily[EntryDate],DATE(2026,4,19),tblDaily[WardCode],"MAE")),"")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  <c r="I143" s="5" t="str">
        <f>IFERROR(IF(SUMIFS(tblDaily[MalariaCases],tblDaily[EntryDate],DATE(2026,4,20),tblDaily[WardCode],"MAE")=0,"",SUMIFS(tblDaily[MalariaCases],tblDaily[EntryDate],DATE(2026,4,20),tblDaily[WardCode],"MAE")),"")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  <c r="I144" s="5" t="str">
        <f>IFERROR(IF(SUMIFS(tblDaily[MalariaCases],tblDaily[EntryDate],DATE(2026,4,21),tblDaily[WardCode],"MAE")=0,"",SUMIFS(tblDaily[MalariaCases],tblDaily[EntryDate],DATE(2026,4,21),tblDaily[WardCode],"MAE")),"")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  <c r="I145" s="5" t="str">
        <f>IFERROR(IF(SUMIFS(tblDaily[MalariaCases],tblDaily[EntryDate],DATE(2026,4,22),tblDaily[WardCode],"MAE")=0,"",SUMIFS(tblDaily[MalariaCases],tblDaily[EntryDate],DATE(2026,4,22),tblDaily[WardCode],"MAE")),"")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  <c r="I146" s="5" t="str">
        <f>IFERROR(IF(SUMIFS(tblDaily[MalariaCases],tblDaily[EntryDate],DATE(2026,4,23),tblDaily[WardCode],"MAE")=0,"",SUMIFS(tblDaily[MalariaCases],tblDaily[EntryDate],DATE(2026,4,23),tblDaily[WardCode],"MAE")),"")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  <c r="I147" s="5" t="str">
        <f>IFERROR(IF(SUMIFS(tblDaily[MalariaCases],tblDaily[EntryDate],DATE(2026,4,24),tblDaily[WardCode],"MAE")=0,"",SUMIFS(tblDaily[MalariaCases],tblDaily[EntryDate],DATE(2026,4,24),tblDaily[WardCode],"MAE")),"")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  <c r="I148" s="5" t="str">
        <f>IFERROR(IF(SUMIFS(tblDaily[MalariaCases],tblDaily[EntryDate],DATE(2026,4,25),tblDaily[WardCode],"MAE")=0,"",SUMIFS(tblDaily[MalariaCases],tblDaily[EntryDate],DATE(2026,4,25),tblDaily[WardCode],"MAE")),"")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  <c r="I149" s="5" t="str">
        <f>IFERROR(IF(SUMIFS(tblDaily[MalariaCases],tblDaily[EntryDate],DATE(2026,4,26),tblDaily[WardCode],"MAE")=0,"",SUMIFS(tblDaily[MalariaCases],tblDaily[EntryDate],DATE(2026,4,26),tblDaily[WardCode],"MAE")),"")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  <c r="I150" s="5" t="str">
        <f>IFERROR(IF(SUMIFS(tblDaily[MalariaCases],tblDaily[EntryDate],DATE(2026,4,27),tblDaily[WardCode],"MAE")=0,"",SUMIFS(tblDaily[MalariaCases],tblDaily[EntryDate],DATE(2026,4,27),tblDaily[WardCode],"MAE")),"")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  <c r="I151" s="5" t="str">
        <f>IFERROR(IF(SUMIFS(tblDaily[MalariaCases],tblDaily[EntryDate],DATE(2026,4,28),tblDaily[WardCode],"MAE")=0,"",SUMIFS(tblDaily[MalariaCases],tblDaily[EntryDate],DATE(2026,4,28),tblDaily[WardCode],"MAE")),"")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  <c r="I152" s="5" t="str">
        <f>IFERROR(IF(SUMIFS(tblDaily[MalariaCases],tblDaily[EntryDate],DATE(2026,4,29),tblDaily[WardCode],"MAE")=0,"",SUMIFS(tblDaily[MalariaCases],tblDaily[EntryDate],DATE(2026,4,29),tblDaily[WardCode],"MAE")),"")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  <c r="I153" s="5" t="str">
        <f>IFERROR(IF(SUMIFS(tblDaily[MalariaCases],tblDaily[EntryDate],DATE(2026,4,30),tblDaily[WardCode],"MAE")=0,"",SUMIFS(tblDaily[MalariaCases],tblDaily[EntryDate],DATE(2026,4,30),tblDaily[WardCode],"MAE")),"")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101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IFERROR(SUMIFS(tblDaily[Remaining],tblDaily[EntryDate],DATE(2026,4,30),tblDaily[WardCode],"MAE"),0)</f>
        <v>0</v>
      </c>
    </row>
    <row r="161" spans="1:9" x14ac:dyDescent="0.25">
      <c r="A161" s="1" t="s">
        <v>87</v>
      </c>
      <c r="H161" s="7">
        <f>IFERROR(INDEX(tblWardConfig[BedComplement],MATCH("MAE",tblWardConfig[Export Year-End],0)),0)</f>
        <v>10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  <c r="I163" s="5" t="str">
        <f>IFERROR(IF(SUMIFS(tblDaily[MalariaCases],tblDaily[EntryDate],DATE(2026,5,1),tblDaily[WardCode],"MAE")=0,"",SUMIFS(tblDaily[MalariaCases],tblDaily[EntryDate],DATE(2026,5,1),tblDaily[WardCode],"MAE")),"")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  <c r="I164" s="5" t="str">
        <f>IFERROR(IF(SUMIFS(tblDaily[MalariaCases],tblDaily[EntryDate],DATE(2026,5,2),tblDaily[WardCode],"MAE")=0,"",SUMIFS(tblDaily[MalariaCases],tblDaily[EntryDate],DATE(2026,5,2),tblDaily[WardCode],"MAE")),"")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  <c r="I165" s="5" t="str">
        <f>IFERROR(IF(SUMIFS(tblDaily[MalariaCases],tblDaily[EntryDate],DATE(2026,5,3),tblDaily[WardCode],"MAE")=0,"",SUMIFS(tblDaily[MalariaCases],tblDaily[EntryDate],DATE(2026,5,3),tblDaily[WardCode],"MAE")),"")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  <c r="I166" s="5" t="str">
        <f>IFERROR(IF(SUMIFS(tblDaily[MalariaCases],tblDaily[EntryDate],DATE(2026,5,4),tblDaily[WardCode],"MAE")=0,"",SUMIFS(tblDaily[MalariaCases],tblDaily[EntryDate],DATE(2026,5,4),tblDaily[WardCode],"MAE")),"")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  <c r="I167" s="5" t="str">
        <f>IFERROR(IF(SUMIFS(tblDaily[MalariaCases],tblDaily[EntryDate],DATE(2026,5,5),tblDaily[WardCode],"MAE")=0,"",SUMIFS(tblDaily[MalariaCases],tblDaily[EntryDate],DATE(2026,5,5),tblDaily[WardCode],"MAE")),"")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  <c r="I168" s="5" t="str">
        <f>IFERROR(IF(SUMIFS(tblDaily[MalariaCases],tblDaily[EntryDate],DATE(2026,5,6),tblDaily[WardCode],"MAE")=0,"",SUMIFS(tblDaily[MalariaCases],tblDaily[EntryDate],DATE(2026,5,6),tblDaily[WardCode],"MAE")),"")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  <c r="I169" s="5" t="str">
        <f>IFERROR(IF(SUMIFS(tblDaily[MalariaCases],tblDaily[EntryDate],DATE(2026,5,7),tblDaily[WardCode],"MAE")=0,"",SUMIFS(tblDaily[MalariaCases],tblDaily[EntryDate],DATE(2026,5,7),tblDaily[WardCode],"MAE")),"")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  <c r="I170" s="5" t="str">
        <f>IFERROR(IF(SUMIFS(tblDaily[MalariaCases],tblDaily[EntryDate],DATE(2026,5,8),tblDaily[WardCode],"MAE")=0,"",SUMIFS(tblDaily[MalariaCases],tblDaily[EntryDate],DATE(2026,5,8),tblDaily[WardCode],"MAE")),"")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  <c r="I171" s="5" t="str">
        <f>IFERROR(IF(SUMIFS(tblDaily[MalariaCases],tblDaily[EntryDate],DATE(2026,5,9),tblDaily[WardCode],"MAE")=0,"",SUMIFS(tblDaily[MalariaCases],tblDaily[EntryDate],DATE(2026,5,9),tblDaily[WardCode],"MAE")),"")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  <c r="I172" s="5" t="str">
        <f>IFERROR(IF(SUMIFS(tblDaily[MalariaCases],tblDaily[EntryDate],DATE(2026,5,10),tblDaily[WardCode],"MAE")=0,"",SUMIFS(tblDaily[MalariaCases],tblDaily[EntryDate],DATE(2026,5,10),tblDaily[WardCode],"MAE")),"")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  <c r="I173" s="5" t="str">
        <f>IFERROR(IF(SUMIFS(tblDaily[MalariaCases],tblDaily[EntryDate],DATE(2026,5,11),tblDaily[WardCode],"MAE")=0,"",SUMIFS(tblDaily[MalariaCases],tblDaily[EntryDate],DATE(2026,5,11),tblDaily[WardCode],"MAE")),"")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  <c r="I174" s="5" t="str">
        <f>IFERROR(IF(SUMIFS(tblDaily[MalariaCases],tblDaily[EntryDate],DATE(2026,5,12),tblDaily[WardCode],"MAE")=0,"",SUMIFS(tblDaily[MalariaCases],tblDaily[EntryDate],DATE(2026,5,12),tblDaily[WardCode],"MAE")),"")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  <c r="I175" s="5" t="str">
        <f>IFERROR(IF(SUMIFS(tblDaily[MalariaCases],tblDaily[EntryDate],DATE(2026,5,13),tblDaily[WardCode],"MAE")=0,"",SUMIFS(tblDaily[MalariaCases],tblDaily[EntryDate],DATE(2026,5,13),tblDaily[WardCode],"MAE")),"")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  <c r="I176" s="5" t="str">
        <f>IFERROR(IF(SUMIFS(tblDaily[MalariaCases],tblDaily[EntryDate],DATE(2026,5,14),tblDaily[WardCode],"MAE")=0,"",SUMIFS(tblDaily[MalariaCases],tblDaily[EntryDate],DATE(2026,5,14),tblDaily[WardCode],"MAE")),"")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  <c r="I177" s="5" t="str">
        <f>IFERROR(IF(SUMIFS(tblDaily[MalariaCases],tblDaily[EntryDate],DATE(2026,5,15),tblDaily[WardCode],"MAE")=0,"",SUMIFS(tblDaily[MalariaCases],tblDaily[EntryDate],DATE(2026,5,15),tblDaily[WardCode],"MAE")),"")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  <c r="I178" s="5" t="str">
        <f>IFERROR(IF(SUMIFS(tblDaily[MalariaCases],tblDaily[EntryDate],DATE(2026,5,16),tblDaily[WardCode],"MAE")=0,"",SUMIFS(tblDaily[MalariaCases],tblDaily[EntryDate],DATE(2026,5,16),tblDaily[WardCode],"MAE")),"")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  <c r="I179" s="5" t="str">
        <f>IFERROR(IF(SUMIFS(tblDaily[MalariaCases],tblDaily[EntryDate],DATE(2026,5,17),tblDaily[WardCode],"MAE")=0,"",SUMIFS(tblDaily[MalariaCases],tblDaily[EntryDate],DATE(2026,5,17),tblDaily[WardCode],"MAE")),"")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  <c r="I180" s="5" t="str">
        <f>IFERROR(IF(SUMIFS(tblDaily[MalariaCases],tblDaily[EntryDate],DATE(2026,5,18),tblDaily[WardCode],"MAE")=0,"",SUMIFS(tblDaily[MalariaCases],tblDaily[EntryDate],DATE(2026,5,18),tblDaily[WardCode],"MAE")),"")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  <c r="I181" s="5" t="str">
        <f>IFERROR(IF(SUMIFS(tblDaily[MalariaCases],tblDaily[EntryDate],DATE(2026,5,19),tblDaily[WardCode],"MAE")=0,"",SUMIFS(tblDaily[MalariaCases],tblDaily[EntryDate],DATE(2026,5,19),tblDaily[WardCode],"MAE")),"")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  <c r="I182" s="5" t="str">
        <f>IFERROR(IF(SUMIFS(tblDaily[MalariaCases],tblDaily[EntryDate],DATE(2026,5,20),tblDaily[WardCode],"MAE")=0,"",SUMIFS(tblDaily[MalariaCases],tblDaily[EntryDate],DATE(2026,5,20),tblDaily[WardCode],"MAE")),"")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  <c r="I183" s="5" t="str">
        <f>IFERROR(IF(SUMIFS(tblDaily[MalariaCases],tblDaily[EntryDate],DATE(2026,5,21),tblDaily[WardCode],"MAE")=0,"",SUMIFS(tblDaily[MalariaCases],tblDaily[EntryDate],DATE(2026,5,21),tblDaily[WardCode],"MAE")),"")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  <c r="I184" s="5" t="str">
        <f>IFERROR(IF(SUMIFS(tblDaily[MalariaCases],tblDaily[EntryDate],DATE(2026,5,22),tblDaily[WardCode],"MAE")=0,"",SUMIFS(tblDaily[MalariaCases],tblDaily[EntryDate],DATE(2026,5,22),tblDaily[WardCode],"MAE")),"")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  <c r="I185" s="5" t="str">
        <f>IFERROR(IF(SUMIFS(tblDaily[MalariaCases],tblDaily[EntryDate],DATE(2026,5,23),tblDaily[WardCode],"MAE")=0,"",SUMIFS(tblDaily[MalariaCases],tblDaily[EntryDate],DATE(2026,5,23),tblDaily[WardCode],"MAE")),"")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  <c r="I186" s="5" t="str">
        <f>IFERROR(IF(SUMIFS(tblDaily[MalariaCases],tblDaily[EntryDate],DATE(2026,5,24),tblDaily[WardCode],"MAE")=0,"",SUMIFS(tblDaily[MalariaCases],tblDaily[EntryDate],DATE(2026,5,24),tblDaily[WardCode],"MAE")),"")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  <c r="I187" s="5" t="str">
        <f>IFERROR(IF(SUMIFS(tblDaily[MalariaCases],tblDaily[EntryDate],DATE(2026,5,25),tblDaily[WardCode],"MAE")=0,"",SUMIFS(tblDaily[MalariaCases],tblDaily[EntryDate],DATE(2026,5,25),tblDaily[WardCode],"MAE")),"")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  <c r="I188" s="5" t="str">
        <f>IFERROR(IF(SUMIFS(tblDaily[MalariaCases],tblDaily[EntryDate],DATE(2026,5,26),tblDaily[WardCode],"MAE")=0,"",SUMIFS(tblDaily[MalariaCases],tblDaily[EntryDate],DATE(2026,5,26),tblDaily[WardCode],"MAE")),"")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  <c r="I189" s="5" t="str">
        <f>IFERROR(IF(SUMIFS(tblDaily[MalariaCases],tblDaily[EntryDate],DATE(2026,5,27),tblDaily[WardCode],"MAE")=0,"",SUMIFS(tblDaily[MalariaCases],tblDaily[EntryDate],DATE(2026,5,27),tblDaily[WardCode],"MAE")),"")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  <c r="I190" s="5" t="str">
        <f>IFERROR(IF(SUMIFS(tblDaily[MalariaCases],tblDaily[EntryDate],DATE(2026,5,28),tblDaily[WardCode],"MAE")=0,"",SUMIFS(tblDaily[MalariaCases],tblDaily[EntryDate],DATE(2026,5,28),tblDaily[WardCode],"MAE")),"")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  <c r="I191" s="5" t="str">
        <f>IFERROR(IF(SUMIFS(tblDaily[MalariaCases],tblDaily[EntryDate],DATE(2026,5,29),tblDaily[WardCode],"MAE")=0,"",SUMIFS(tblDaily[MalariaCases],tblDaily[EntryDate],DATE(2026,5,29),tblDaily[WardCode],"MAE")),"")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  <c r="I192" s="5" t="str">
        <f>IFERROR(IF(SUMIFS(tblDaily[MalariaCases],tblDaily[EntryDate],DATE(2026,5,30),tblDaily[WardCode],"MAE")=0,"",SUMIFS(tblDaily[MalariaCases],tblDaily[EntryDate],DATE(2026,5,30),tblDaily[WardCode],"MAE")),"")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  <c r="I193" s="5" t="str">
        <f>IFERROR(IF(SUMIFS(tblDaily[MalariaCases],tblDaily[EntryDate],DATE(2026,5,31),tblDaily[WardCode],"MAE")=0,"",SUMIFS(tblDaily[MalariaCases],tblDaily[EntryDate],DATE(2026,5,31),tblDaily[WardCode],"MAE")),"")</f>
        <v/>
      </c>
    </row>
    <row r="194" spans="1:9" x14ac:dyDescent="0.25">
      <c r="A194" s="9" t="s">
        <v>94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101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IFERROR(SUMIFS(tblDaily[Remaining],tblDaily[EntryDate],DATE(2026,5,31),tblDaily[WardCode],"MAE"),0)</f>
        <v>0</v>
      </c>
    </row>
    <row r="200" spans="1:9" x14ac:dyDescent="0.25">
      <c r="A200" s="1" t="s">
        <v>87</v>
      </c>
      <c r="H200" s="7">
        <f>IFERROR(INDEX(tblWardConfig[BedComplement],MATCH("MAE",tblWardConfig[Export Year-End],0)),0)</f>
        <v>10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  <c r="I202" s="5" t="str">
        <f>IFERROR(IF(SUMIFS(tblDaily[MalariaCases],tblDaily[EntryDate],DATE(2026,6,1),tblDaily[WardCode],"MAE")=0,"",SUMIFS(tblDaily[MalariaCases],tblDaily[EntryDate],DATE(2026,6,1),tblDaily[WardCode],"MAE")),"")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  <c r="I203" s="5" t="str">
        <f>IFERROR(IF(SUMIFS(tblDaily[MalariaCases],tblDaily[EntryDate],DATE(2026,6,2),tblDaily[WardCode],"MAE")=0,"",SUMIFS(tblDaily[MalariaCases],tblDaily[EntryDate],DATE(2026,6,2),tblDaily[WardCode],"MAE")),"")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  <c r="I204" s="5" t="str">
        <f>IFERROR(IF(SUMIFS(tblDaily[MalariaCases],tblDaily[EntryDate],DATE(2026,6,3),tblDaily[WardCode],"MAE")=0,"",SUMIFS(tblDaily[MalariaCases],tblDaily[EntryDate],DATE(2026,6,3),tblDaily[WardCode],"MAE")),"")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  <c r="I205" s="5" t="str">
        <f>IFERROR(IF(SUMIFS(tblDaily[MalariaCases],tblDaily[EntryDate],DATE(2026,6,4),tblDaily[WardCode],"MAE")=0,"",SUMIFS(tblDaily[MalariaCases],tblDaily[EntryDate],DATE(2026,6,4),tblDaily[WardCode],"MAE")),"")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  <c r="I206" s="5" t="str">
        <f>IFERROR(IF(SUMIFS(tblDaily[MalariaCases],tblDaily[EntryDate],DATE(2026,6,5),tblDaily[WardCode],"MAE")=0,"",SUMIFS(tblDaily[MalariaCases],tblDaily[EntryDate],DATE(2026,6,5),tblDaily[WardCode],"MAE")),"")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  <c r="I207" s="5" t="str">
        <f>IFERROR(IF(SUMIFS(tblDaily[MalariaCases],tblDaily[EntryDate],DATE(2026,6,6),tblDaily[WardCode],"MAE")=0,"",SUMIFS(tblDaily[MalariaCases],tblDaily[EntryDate],DATE(2026,6,6),tblDaily[WardCode],"MAE")),"")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  <c r="I208" s="5" t="str">
        <f>IFERROR(IF(SUMIFS(tblDaily[MalariaCases],tblDaily[EntryDate],DATE(2026,6,7),tblDaily[WardCode],"MAE")=0,"",SUMIFS(tblDaily[MalariaCases],tblDaily[EntryDate],DATE(2026,6,7),tblDaily[WardCode],"MAE")),"")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  <c r="I209" s="5" t="str">
        <f>IFERROR(IF(SUMIFS(tblDaily[MalariaCases],tblDaily[EntryDate],DATE(2026,6,8),tblDaily[WardCode],"MAE")=0,"",SUMIFS(tblDaily[MalariaCases],tblDaily[EntryDate],DATE(2026,6,8),tblDaily[WardCode],"MAE")),"")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  <c r="I210" s="5" t="str">
        <f>IFERROR(IF(SUMIFS(tblDaily[MalariaCases],tblDaily[EntryDate],DATE(2026,6,9),tblDaily[WardCode],"MAE")=0,"",SUMIFS(tblDaily[MalariaCases],tblDaily[EntryDate],DATE(2026,6,9),tblDaily[WardCode],"MAE")),"")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  <c r="I211" s="5" t="str">
        <f>IFERROR(IF(SUMIFS(tblDaily[MalariaCases],tblDaily[EntryDate],DATE(2026,6,10),tblDaily[WardCode],"MAE")=0,"",SUMIFS(tblDaily[MalariaCases],tblDaily[EntryDate],DATE(2026,6,10),tblDaily[WardCode],"MAE")),"")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  <c r="I212" s="5" t="str">
        <f>IFERROR(IF(SUMIFS(tblDaily[MalariaCases],tblDaily[EntryDate],DATE(2026,6,11),tblDaily[WardCode],"MAE")=0,"",SUMIFS(tblDaily[MalariaCases],tblDaily[EntryDate],DATE(2026,6,11),tblDaily[WardCode],"MAE")),"")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  <c r="I213" s="5" t="str">
        <f>IFERROR(IF(SUMIFS(tblDaily[MalariaCases],tblDaily[EntryDate],DATE(2026,6,12),tblDaily[WardCode],"MAE")=0,"",SUMIFS(tblDaily[MalariaCases],tblDaily[EntryDate],DATE(2026,6,12),tblDaily[WardCode],"MAE")),"")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  <c r="I214" s="5" t="str">
        <f>IFERROR(IF(SUMIFS(tblDaily[MalariaCases],tblDaily[EntryDate],DATE(2026,6,13),tblDaily[WardCode],"MAE")=0,"",SUMIFS(tblDaily[MalariaCases],tblDaily[EntryDate],DATE(2026,6,13),tblDaily[WardCode],"MAE")),"")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  <c r="I215" s="5" t="str">
        <f>IFERROR(IF(SUMIFS(tblDaily[MalariaCases],tblDaily[EntryDate],DATE(2026,6,14),tblDaily[WardCode],"MAE")=0,"",SUMIFS(tblDaily[MalariaCases],tblDaily[EntryDate],DATE(2026,6,14),tblDaily[WardCode],"MAE")),"")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  <c r="I216" s="5" t="str">
        <f>IFERROR(IF(SUMIFS(tblDaily[MalariaCases],tblDaily[EntryDate],DATE(2026,6,15),tblDaily[WardCode],"MAE")=0,"",SUMIFS(tblDaily[MalariaCases],tblDaily[EntryDate],DATE(2026,6,15),tblDaily[WardCode],"MAE")),"")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  <c r="I217" s="5" t="str">
        <f>IFERROR(IF(SUMIFS(tblDaily[MalariaCases],tblDaily[EntryDate],DATE(2026,6,16),tblDaily[WardCode],"MAE")=0,"",SUMIFS(tblDaily[MalariaCases],tblDaily[EntryDate],DATE(2026,6,16),tblDaily[WardCode],"MAE")),"")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  <c r="I218" s="5" t="str">
        <f>IFERROR(IF(SUMIFS(tblDaily[MalariaCases],tblDaily[EntryDate],DATE(2026,6,17),tblDaily[WardCode],"MAE")=0,"",SUMIFS(tblDaily[MalariaCases],tblDaily[EntryDate],DATE(2026,6,17),tblDaily[WardCode],"MAE")),"")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  <c r="I219" s="5" t="str">
        <f>IFERROR(IF(SUMIFS(tblDaily[MalariaCases],tblDaily[EntryDate],DATE(2026,6,18),tblDaily[WardCode],"MAE")=0,"",SUMIFS(tblDaily[MalariaCases],tblDaily[EntryDate],DATE(2026,6,18),tblDaily[WardCode],"MAE")),"")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  <c r="I220" s="5" t="str">
        <f>IFERROR(IF(SUMIFS(tblDaily[MalariaCases],tblDaily[EntryDate],DATE(2026,6,19),tblDaily[WardCode],"MAE")=0,"",SUMIFS(tblDaily[MalariaCases],tblDaily[EntryDate],DATE(2026,6,19),tblDaily[WardCode],"MAE")),"")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  <c r="I221" s="5" t="str">
        <f>IFERROR(IF(SUMIFS(tblDaily[MalariaCases],tblDaily[EntryDate],DATE(2026,6,20),tblDaily[WardCode],"MAE")=0,"",SUMIFS(tblDaily[MalariaCases],tblDaily[EntryDate],DATE(2026,6,20),tblDaily[WardCode],"MAE")),"")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  <c r="I222" s="5" t="str">
        <f>IFERROR(IF(SUMIFS(tblDaily[MalariaCases],tblDaily[EntryDate],DATE(2026,6,21),tblDaily[WardCode],"MAE")=0,"",SUMIFS(tblDaily[MalariaCases],tblDaily[EntryDate],DATE(2026,6,21),tblDaily[WardCode],"MAE")),"")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  <c r="I223" s="5" t="str">
        <f>IFERROR(IF(SUMIFS(tblDaily[MalariaCases],tblDaily[EntryDate],DATE(2026,6,22),tblDaily[WardCode],"MAE")=0,"",SUMIFS(tblDaily[MalariaCases],tblDaily[EntryDate],DATE(2026,6,22),tblDaily[WardCode],"MAE")),"")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  <c r="I224" s="5" t="str">
        <f>IFERROR(IF(SUMIFS(tblDaily[MalariaCases],tblDaily[EntryDate],DATE(2026,6,23),tblDaily[WardCode],"MAE")=0,"",SUMIFS(tblDaily[MalariaCases],tblDaily[EntryDate],DATE(2026,6,23),tblDaily[WardCode],"MAE")),"")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  <c r="I225" s="5" t="str">
        <f>IFERROR(IF(SUMIFS(tblDaily[MalariaCases],tblDaily[EntryDate],DATE(2026,6,24),tblDaily[WardCode],"MAE")=0,"",SUMIFS(tblDaily[MalariaCases],tblDaily[EntryDate],DATE(2026,6,24),tblDaily[WardCode],"MAE")),"")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  <c r="I226" s="5" t="str">
        <f>IFERROR(IF(SUMIFS(tblDaily[MalariaCases],tblDaily[EntryDate],DATE(2026,6,25),tblDaily[WardCode],"MAE")=0,"",SUMIFS(tblDaily[MalariaCases],tblDaily[EntryDate],DATE(2026,6,25),tblDaily[WardCode],"MAE")),"")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  <c r="I227" s="5" t="str">
        <f>IFERROR(IF(SUMIFS(tblDaily[MalariaCases],tblDaily[EntryDate],DATE(2026,6,26),tblDaily[WardCode],"MAE")=0,"",SUMIFS(tblDaily[MalariaCases],tblDaily[EntryDate],DATE(2026,6,26),tblDaily[WardCode],"MAE")),"")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  <c r="I228" s="5" t="str">
        <f>IFERROR(IF(SUMIFS(tblDaily[MalariaCases],tblDaily[EntryDate],DATE(2026,6,27),tblDaily[WardCode],"MAE")=0,"",SUMIFS(tblDaily[MalariaCases],tblDaily[EntryDate],DATE(2026,6,27),tblDaily[WardCode],"MAE")),"")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  <c r="I229" s="5" t="str">
        <f>IFERROR(IF(SUMIFS(tblDaily[MalariaCases],tblDaily[EntryDate],DATE(2026,6,28),tblDaily[WardCode],"MAE")=0,"",SUMIFS(tblDaily[MalariaCases],tblDaily[EntryDate],DATE(2026,6,28),tblDaily[WardCode],"MAE")),"")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  <c r="I230" s="5" t="str">
        <f>IFERROR(IF(SUMIFS(tblDaily[MalariaCases],tblDaily[EntryDate],DATE(2026,6,29),tblDaily[WardCode],"MAE")=0,"",SUMIFS(tblDaily[MalariaCases],tblDaily[EntryDate],DATE(2026,6,29),tblDaily[WardCode],"MAE")),"")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  <c r="I231" s="5" t="str">
        <f>IFERROR(IF(SUMIFS(tblDaily[MalariaCases],tblDaily[EntryDate],DATE(2026,6,30),tblDaily[WardCode],"MAE")=0,"",SUMIFS(tblDaily[MalariaCases],tblDaily[EntryDate],DATE(2026,6,30),tblDaily[WardCode],"MAE")),"")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101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IFERROR(SUMIFS(tblDaily[Remaining],tblDaily[EntryDate],DATE(2026,6,30),tblDaily[WardCode],"MAE"),0)</f>
        <v>0</v>
      </c>
    </row>
    <row r="239" spans="1:9" x14ac:dyDescent="0.25">
      <c r="A239" s="1" t="s">
        <v>87</v>
      </c>
      <c r="H239" s="7">
        <f>IFERROR(INDEX(tblWardConfig[BedComplement],MATCH("MAE",tblWardConfig[Export Year-End],0)),0)</f>
        <v>10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  <c r="I241" s="5" t="str">
        <f>IFERROR(IF(SUMIFS(tblDaily[MalariaCases],tblDaily[EntryDate],DATE(2026,7,1),tblDaily[WardCode],"MAE")=0,"",SUMIFS(tblDaily[MalariaCases],tblDaily[EntryDate],DATE(2026,7,1),tblDaily[WardCode],"MAE")),"")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  <c r="I242" s="5" t="str">
        <f>IFERROR(IF(SUMIFS(tblDaily[MalariaCases],tblDaily[EntryDate],DATE(2026,7,2),tblDaily[WardCode],"MAE")=0,"",SUMIFS(tblDaily[MalariaCases],tblDaily[EntryDate],DATE(2026,7,2),tblDaily[WardCode],"MAE")),"")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  <c r="I243" s="5" t="str">
        <f>IFERROR(IF(SUMIFS(tblDaily[MalariaCases],tblDaily[EntryDate],DATE(2026,7,3),tblDaily[WardCode],"MAE")=0,"",SUMIFS(tblDaily[MalariaCases],tblDaily[EntryDate],DATE(2026,7,3),tblDaily[WardCode],"MAE")),"")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  <c r="I244" s="5" t="str">
        <f>IFERROR(IF(SUMIFS(tblDaily[MalariaCases],tblDaily[EntryDate],DATE(2026,7,4),tblDaily[WardCode],"MAE")=0,"",SUMIFS(tblDaily[MalariaCases],tblDaily[EntryDate],DATE(2026,7,4),tblDaily[WardCode],"MAE")),"")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  <c r="I245" s="5" t="str">
        <f>IFERROR(IF(SUMIFS(tblDaily[MalariaCases],tblDaily[EntryDate],DATE(2026,7,5),tblDaily[WardCode],"MAE")=0,"",SUMIFS(tblDaily[MalariaCases],tblDaily[EntryDate],DATE(2026,7,5),tblDaily[WardCode],"MAE")),"")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  <c r="I246" s="5" t="str">
        <f>IFERROR(IF(SUMIFS(tblDaily[MalariaCases],tblDaily[EntryDate],DATE(2026,7,6),tblDaily[WardCode],"MAE")=0,"",SUMIFS(tblDaily[MalariaCases],tblDaily[EntryDate],DATE(2026,7,6),tblDaily[WardCode],"MAE")),"")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  <c r="I247" s="5" t="str">
        <f>IFERROR(IF(SUMIFS(tblDaily[MalariaCases],tblDaily[EntryDate],DATE(2026,7,7),tblDaily[WardCode],"MAE")=0,"",SUMIFS(tblDaily[MalariaCases],tblDaily[EntryDate],DATE(2026,7,7),tblDaily[WardCode],"MAE")),"")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  <c r="I248" s="5" t="str">
        <f>IFERROR(IF(SUMIFS(tblDaily[MalariaCases],tblDaily[EntryDate],DATE(2026,7,8),tblDaily[WardCode],"MAE")=0,"",SUMIFS(tblDaily[MalariaCases],tblDaily[EntryDate],DATE(2026,7,8),tblDaily[WardCode],"MAE")),"")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  <c r="I249" s="5" t="str">
        <f>IFERROR(IF(SUMIFS(tblDaily[MalariaCases],tblDaily[EntryDate],DATE(2026,7,9),tblDaily[WardCode],"MAE")=0,"",SUMIFS(tblDaily[MalariaCases],tblDaily[EntryDate],DATE(2026,7,9),tblDaily[WardCode],"MAE")),"")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  <c r="I250" s="5" t="str">
        <f>IFERROR(IF(SUMIFS(tblDaily[MalariaCases],tblDaily[EntryDate],DATE(2026,7,10),tblDaily[WardCode],"MAE")=0,"",SUMIFS(tblDaily[MalariaCases],tblDaily[EntryDate],DATE(2026,7,10),tblDaily[WardCode],"MAE")),"")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  <c r="I251" s="5" t="str">
        <f>IFERROR(IF(SUMIFS(tblDaily[MalariaCases],tblDaily[EntryDate],DATE(2026,7,11),tblDaily[WardCode],"MAE")=0,"",SUMIFS(tblDaily[MalariaCases],tblDaily[EntryDate],DATE(2026,7,11),tblDaily[WardCode],"MAE")),"")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  <c r="I252" s="5" t="str">
        <f>IFERROR(IF(SUMIFS(tblDaily[MalariaCases],tblDaily[EntryDate],DATE(2026,7,12),tblDaily[WardCode],"MAE")=0,"",SUMIFS(tblDaily[MalariaCases],tblDaily[EntryDate],DATE(2026,7,12),tblDaily[WardCode],"MAE")),"")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  <c r="I253" s="5" t="str">
        <f>IFERROR(IF(SUMIFS(tblDaily[MalariaCases],tblDaily[EntryDate],DATE(2026,7,13),tblDaily[WardCode],"MAE")=0,"",SUMIFS(tblDaily[MalariaCases],tblDaily[EntryDate],DATE(2026,7,13),tblDaily[WardCode],"MAE")),"")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  <c r="I254" s="5" t="str">
        <f>IFERROR(IF(SUMIFS(tblDaily[MalariaCases],tblDaily[EntryDate],DATE(2026,7,14),tblDaily[WardCode],"MAE")=0,"",SUMIFS(tblDaily[MalariaCases],tblDaily[EntryDate],DATE(2026,7,14),tblDaily[WardCode],"MAE")),"")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  <c r="I255" s="5" t="str">
        <f>IFERROR(IF(SUMIFS(tblDaily[MalariaCases],tblDaily[EntryDate],DATE(2026,7,15),tblDaily[WardCode],"MAE")=0,"",SUMIFS(tblDaily[MalariaCases],tblDaily[EntryDate],DATE(2026,7,15),tblDaily[WardCode],"MAE")),"")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  <c r="I256" s="5" t="str">
        <f>IFERROR(IF(SUMIFS(tblDaily[MalariaCases],tblDaily[EntryDate],DATE(2026,7,16),tblDaily[WardCode],"MAE")=0,"",SUMIFS(tblDaily[MalariaCases],tblDaily[EntryDate],DATE(2026,7,16),tblDaily[WardCode],"MAE")),"")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  <c r="I257" s="5" t="str">
        <f>IFERROR(IF(SUMIFS(tblDaily[MalariaCases],tblDaily[EntryDate],DATE(2026,7,17),tblDaily[WardCode],"MAE")=0,"",SUMIFS(tblDaily[MalariaCases],tblDaily[EntryDate],DATE(2026,7,17),tblDaily[WardCode],"MAE")),"")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  <c r="I258" s="5" t="str">
        <f>IFERROR(IF(SUMIFS(tblDaily[MalariaCases],tblDaily[EntryDate],DATE(2026,7,18),tblDaily[WardCode],"MAE")=0,"",SUMIFS(tblDaily[MalariaCases],tblDaily[EntryDate],DATE(2026,7,18),tblDaily[WardCode],"MAE")),"")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  <c r="I259" s="5" t="str">
        <f>IFERROR(IF(SUMIFS(tblDaily[MalariaCases],tblDaily[EntryDate],DATE(2026,7,19),tblDaily[WardCode],"MAE")=0,"",SUMIFS(tblDaily[MalariaCases],tblDaily[EntryDate],DATE(2026,7,19),tblDaily[WardCode],"MAE")),"")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  <c r="I260" s="5" t="str">
        <f>IFERROR(IF(SUMIFS(tblDaily[MalariaCases],tblDaily[EntryDate],DATE(2026,7,20),tblDaily[WardCode],"MAE")=0,"",SUMIFS(tblDaily[MalariaCases],tblDaily[EntryDate],DATE(2026,7,20),tblDaily[WardCode],"MAE")),"")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  <c r="I261" s="5" t="str">
        <f>IFERROR(IF(SUMIFS(tblDaily[MalariaCases],tblDaily[EntryDate],DATE(2026,7,21),tblDaily[WardCode],"MAE")=0,"",SUMIFS(tblDaily[MalariaCases],tblDaily[EntryDate],DATE(2026,7,21),tblDaily[WardCode],"MAE")),"")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  <c r="I262" s="5" t="str">
        <f>IFERROR(IF(SUMIFS(tblDaily[MalariaCases],tblDaily[EntryDate],DATE(2026,7,22),tblDaily[WardCode],"MAE")=0,"",SUMIFS(tblDaily[MalariaCases],tblDaily[EntryDate],DATE(2026,7,22),tblDaily[WardCode],"MAE")),"")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  <c r="I263" s="5" t="str">
        <f>IFERROR(IF(SUMIFS(tblDaily[MalariaCases],tblDaily[EntryDate],DATE(2026,7,23),tblDaily[WardCode],"MAE")=0,"",SUMIFS(tblDaily[MalariaCases],tblDaily[EntryDate],DATE(2026,7,23),tblDaily[WardCode],"MAE")),"")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  <c r="I264" s="5" t="str">
        <f>IFERROR(IF(SUMIFS(tblDaily[MalariaCases],tblDaily[EntryDate],DATE(2026,7,24),tblDaily[WardCode],"MAE")=0,"",SUMIFS(tblDaily[MalariaCases],tblDaily[EntryDate],DATE(2026,7,24),tblDaily[WardCode],"MAE")),"")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  <c r="I265" s="5" t="str">
        <f>IFERROR(IF(SUMIFS(tblDaily[MalariaCases],tblDaily[EntryDate],DATE(2026,7,25),tblDaily[WardCode],"MAE")=0,"",SUMIFS(tblDaily[MalariaCases],tblDaily[EntryDate],DATE(2026,7,25),tblDaily[WardCode],"MAE")),"")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  <c r="I266" s="5" t="str">
        <f>IFERROR(IF(SUMIFS(tblDaily[MalariaCases],tblDaily[EntryDate],DATE(2026,7,26),tblDaily[WardCode],"MAE")=0,"",SUMIFS(tblDaily[MalariaCases],tblDaily[EntryDate],DATE(2026,7,26),tblDaily[WardCode],"MAE")),"")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  <c r="I267" s="5" t="str">
        <f>IFERROR(IF(SUMIFS(tblDaily[MalariaCases],tblDaily[EntryDate],DATE(2026,7,27),tblDaily[WardCode],"MAE")=0,"",SUMIFS(tblDaily[MalariaCases],tblDaily[EntryDate],DATE(2026,7,27),tblDaily[WardCode],"MAE")),"")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  <c r="I268" s="5" t="str">
        <f>IFERROR(IF(SUMIFS(tblDaily[MalariaCases],tblDaily[EntryDate],DATE(2026,7,28),tblDaily[WardCode],"MAE")=0,"",SUMIFS(tblDaily[MalariaCases],tblDaily[EntryDate],DATE(2026,7,28),tblDaily[WardCode],"MAE")),"")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  <c r="I269" s="5" t="str">
        <f>IFERROR(IF(SUMIFS(tblDaily[MalariaCases],tblDaily[EntryDate],DATE(2026,7,29),tblDaily[WardCode],"MAE")=0,"",SUMIFS(tblDaily[MalariaCases],tblDaily[EntryDate],DATE(2026,7,29),tblDaily[WardCode],"MAE")),"")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  <c r="I270" s="5" t="str">
        <f>IFERROR(IF(SUMIFS(tblDaily[MalariaCases],tblDaily[EntryDate],DATE(2026,7,30),tblDaily[WardCode],"MAE")=0,"",SUMIFS(tblDaily[MalariaCases],tblDaily[EntryDate],DATE(2026,7,30),tblDaily[WardCode],"MAE")),"")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  <c r="I271" s="5" t="str">
        <f>IFERROR(IF(SUMIFS(tblDaily[MalariaCases],tblDaily[EntryDate],DATE(2026,7,31),tblDaily[WardCode],"MAE")=0,"",SUMIFS(tblDaily[MalariaCases],tblDaily[EntryDate],DATE(2026,7,31),tblDaily[WardCode],"MAE")),"")</f>
        <v/>
      </c>
    </row>
    <row r="272" spans="1:9" x14ac:dyDescent="0.25">
      <c r="A272" s="9" t="s">
        <v>94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101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IFERROR(SUMIFS(tblDaily[Remaining],tblDaily[EntryDate],DATE(2026,7,31),tblDaily[WardCode],"MAE"),0)</f>
        <v>0</v>
      </c>
    </row>
    <row r="278" spans="1:9" x14ac:dyDescent="0.25">
      <c r="A278" s="1" t="s">
        <v>87</v>
      </c>
      <c r="H278" s="7">
        <f>IFERROR(INDEX(tblWardConfig[BedComplement],MATCH("MAE",tblWardConfig[Export Year-End],0)),0)</f>
        <v>10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  <c r="I280" s="5" t="str">
        <f>IFERROR(IF(SUMIFS(tblDaily[MalariaCases],tblDaily[EntryDate],DATE(2026,8,1),tblDaily[WardCode],"MAE")=0,"",SUMIFS(tblDaily[MalariaCases],tblDaily[EntryDate],DATE(2026,8,1),tblDaily[WardCode],"MAE")),"")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  <c r="I281" s="5" t="str">
        <f>IFERROR(IF(SUMIFS(tblDaily[MalariaCases],tblDaily[EntryDate],DATE(2026,8,2),tblDaily[WardCode],"MAE")=0,"",SUMIFS(tblDaily[MalariaCases],tblDaily[EntryDate],DATE(2026,8,2),tblDaily[WardCode],"MAE")),"")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  <c r="I282" s="5" t="str">
        <f>IFERROR(IF(SUMIFS(tblDaily[MalariaCases],tblDaily[EntryDate],DATE(2026,8,3),tblDaily[WardCode],"MAE")=0,"",SUMIFS(tblDaily[MalariaCases],tblDaily[EntryDate],DATE(2026,8,3),tblDaily[WardCode],"MAE")),"")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  <c r="I283" s="5" t="str">
        <f>IFERROR(IF(SUMIFS(tblDaily[MalariaCases],tblDaily[EntryDate],DATE(2026,8,4),tblDaily[WardCode],"MAE")=0,"",SUMIFS(tblDaily[MalariaCases],tblDaily[EntryDate],DATE(2026,8,4),tblDaily[WardCode],"MAE")),"")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  <c r="I284" s="5" t="str">
        <f>IFERROR(IF(SUMIFS(tblDaily[MalariaCases],tblDaily[EntryDate],DATE(2026,8,5),tblDaily[WardCode],"MAE")=0,"",SUMIFS(tblDaily[MalariaCases],tblDaily[EntryDate],DATE(2026,8,5),tblDaily[WardCode],"MAE")),"")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  <c r="I285" s="5" t="str">
        <f>IFERROR(IF(SUMIFS(tblDaily[MalariaCases],tblDaily[EntryDate],DATE(2026,8,6),tblDaily[WardCode],"MAE")=0,"",SUMIFS(tblDaily[MalariaCases],tblDaily[EntryDate],DATE(2026,8,6),tblDaily[WardCode],"MAE")),"")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  <c r="I286" s="5" t="str">
        <f>IFERROR(IF(SUMIFS(tblDaily[MalariaCases],tblDaily[EntryDate],DATE(2026,8,7),tblDaily[WardCode],"MAE")=0,"",SUMIFS(tblDaily[MalariaCases],tblDaily[EntryDate],DATE(2026,8,7),tblDaily[WardCode],"MAE")),"")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  <c r="I287" s="5" t="str">
        <f>IFERROR(IF(SUMIFS(tblDaily[MalariaCases],tblDaily[EntryDate],DATE(2026,8,8),tblDaily[WardCode],"MAE")=0,"",SUMIFS(tblDaily[MalariaCases],tblDaily[EntryDate],DATE(2026,8,8),tblDaily[WardCode],"MAE")),"")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  <c r="I288" s="5" t="str">
        <f>IFERROR(IF(SUMIFS(tblDaily[MalariaCases],tblDaily[EntryDate],DATE(2026,8,9),tblDaily[WardCode],"MAE")=0,"",SUMIFS(tblDaily[MalariaCases],tblDaily[EntryDate],DATE(2026,8,9),tblDaily[WardCode],"MAE")),"")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  <c r="I289" s="5" t="str">
        <f>IFERROR(IF(SUMIFS(tblDaily[MalariaCases],tblDaily[EntryDate],DATE(2026,8,10),tblDaily[WardCode],"MAE")=0,"",SUMIFS(tblDaily[MalariaCases],tblDaily[EntryDate],DATE(2026,8,10),tblDaily[WardCode],"MAE")),"")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  <c r="I290" s="5" t="str">
        <f>IFERROR(IF(SUMIFS(tblDaily[MalariaCases],tblDaily[EntryDate],DATE(2026,8,11),tblDaily[WardCode],"MAE")=0,"",SUMIFS(tblDaily[MalariaCases],tblDaily[EntryDate],DATE(2026,8,11),tblDaily[WardCode],"MAE")),"")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  <c r="I291" s="5" t="str">
        <f>IFERROR(IF(SUMIFS(tblDaily[MalariaCases],tblDaily[EntryDate],DATE(2026,8,12),tblDaily[WardCode],"MAE")=0,"",SUMIFS(tblDaily[MalariaCases],tblDaily[EntryDate],DATE(2026,8,12),tblDaily[WardCode],"MAE")),"")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  <c r="I292" s="5" t="str">
        <f>IFERROR(IF(SUMIFS(tblDaily[MalariaCases],tblDaily[EntryDate],DATE(2026,8,13),tblDaily[WardCode],"MAE")=0,"",SUMIFS(tblDaily[MalariaCases],tblDaily[EntryDate],DATE(2026,8,13),tblDaily[WardCode],"MAE")),"")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  <c r="I293" s="5" t="str">
        <f>IFERROR(IF(SUMIFS(tblDaily[MalariaCases],tblDaily[EntryDate],DATE(2026,8,14),tblDaily[WardCode],"MAE")=0,"",SUMIFS(tblDaily[MalariaCases],tblDaily[EntryDate],DATE(2026,8,14),tblDaily[WardCode],"MAE")),"")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  <c r="I294" s="5" t="str">
        <f>IFERROR(IF(SUMIFS(tblDaily[MalariaCases],tblDaily[EntryDate],DATE(2026,8,15),tblDaily[WardCode],"MAE")=0,"",SUMIFS(tblDaily[MalariaCases],tblDaily[EntryDate],DATE(2026,8,15),tblDaily[WardCode],"MAE")),"")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  <c r="I295" s="5" t="str">
        <f>IFERROR(IF(SUMIFS(tblDaily[MalariaCases],tblDaily[EntryDate],DATE(2026,8,16),tblDaily[WardCode],"MAE")=0,"",SUMIFS(tblDaily[MalariaCases],tblDaily[EntryDate],DATE(2026,8,16),tblDaily[WardCode],"MAE")),"")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  <c r="I296" s="5" t="str">
        <f>IFERROR(IF(SUMIFS(tblDaily[MalariaCases],tblDaily[EntryDate],DATE(2026,8,17),tblDaily[WardCode],"MAE")=0,"",SUMIFS(tblDaily[MalariaCases],tblDaily[EntryDate],DATE(2026,8,17),tblDaily[WardCode],"MAE")),"")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  <c r="I297" s="5" t="str">
        <f>IFERROR(IF(SUMIFS(tblDaily[MalariaCases],tblDaily[EntryDate],DATE(2026,8,18),tblDaily[WardCode],"MAE")=0,"",SUMIFS(tblDaily[MalariaCases],tblDaily[EntryDate],DATE(2026,8,18),tblDaily[WardCode],"MAE")),"")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  <c r="I298" s="5" t="str">
        <f>IFERROR(IF(SUMIFS(tblDaily[MalariaCases],tblDaily[EntryDate],DATE(2026,8,19),tblDaily[WardCode],"MAE")=0,"",SUMIFS(tblDaily[MalariaCases],tblDaily[EntryDate],DATE(2026,8,19),tblDaily[WardCode],"MAE")),"")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  <c r="I299" s="5" t="str">
        <f>IFERROR(IF(SUMIFS(tblDaily[MalariaCases],tblDaily[EntryDate],DATE(2026,8,20),tblDaily[WardCode],"MAE")=0,"",SUMIFS(tblDaily[MalariaCases],tblDaily[EntryDate],DATE(2026,8,20),tblDaily[WardCode],"MAE")),"")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  <c r="I300" s="5" t="str">
        <f>IFERROR(IF(SUMIFS(tblDaily[MalariaCases],tblDaily[EntryDate],DATE(2026,8,21),tblDaily[WardCode],"MAE")=0,"",SUMIFS(tblDaily[MalariaCases],tblDaily[EntryDate],DATE(2026,8,21),tblDaily[WardCode],"MAE")),"")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  <c r="I301" s="5" t="str">
        <f>IFERROR(IF(SUMIFS(tblDaily[MalariaCases],tblDaily[EntryDate],DATE(2026,8,22),tblDaily[WardCode],"MAE")=0,"",SUMIFS(tblDaily[MalariaCases],tblDaily[EntryDate],DATE(2026,8,22),tblDaily[WardCode],"MAE")),"")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  <c r="I302" s="5" t="str">
        <f>IFERROR(IF(SUMIFS(tblDaily[MalariaCases],tblDaily[EntryDate],DATE(2026,8,23),tblDaily[WardCode],"MAE")=0,"",SUMIFS(tblDaily[MalariaCases],tblDaily[EntryDate],DATE(2026,8,23),tblDaily[WardCode],"MAE")),"")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  <c r="I303" s="5" t="str">
        <f>IFERROR(IF(SUMIFS(tblDaily[MalariaCases],tblDaily[EntryDate],DATE(2026,8,24),tblDaily[WardCode],"MAE")=0,"",SUMIFS(tblDaily[MalariaCases],tblDaily[EntryDate],DATE(2026,8,24),tblDaily[WardCode],"MAE")),"")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  <c r="I304" s="5" t="str">
        <f>IFERROR(IF(SUMIFS(tblDaily[MalariaCases],tblDaily[EntryDate],DATE(2026,8,25),tblDaily[WardCode],"MAE")=0,"",SUMIFS(tblDaily[MalariaCases],tblDaily[EntryDate],DATE(2026,8,25),tblDaily[WardCode],"MAE")),"")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  <c r="I305" s="5" t="str">
        <f>IFERROR(IF(SUMIFS(tblDaily[MalariaCases],tblDaily[EntryDate],DATE(2026,8,26),tblDaily[WardCode],"MAE")=0,"",SUMIFS(tblDaily[MalariaCases],tblDaily[EntryDate],DATE(2026,8,26),tblDaily[WardCode],"MAE")),"")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  <c r="I306" s="5" t="str">
        <f>IFERROR(IF(SUMIFS(tblDaily[MalariaCases],tblDaily[EntryDate],DATE(2026,8,27),tblDaily[WardCode],"MAE")=0,"",SUMIFS(tblDaily[MalariaCases],tblDaily[EntryDate],DATE(2026,8,27),tblDaily[WardCode],"MAE")),"")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  <c r="I307" s="5" t="str">
        <f>IFERROR(IF(SUMIFS(tblDaily[MalariaCases],tblDaily[EntryDate],DATE(2026,8,28),tblDaily[WardCode],"MAE")=0,"",SUMIFS(tblDaily[MalariaCases],tblDaily[EntryDate],DATE(2026,8,28),tblDaily[WardCode],"MAE")),"")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  <c r="I308" s="5" t="str">
        <f>IFERROR(IF(SUMIFS(tblDaily[MalariaCases],tblDaily[EntryDate],DATE(2026,8,29),tblDaily[WardCode],"MAE")=0,"",SUMIFS(tblDaily[MalariaCases],tblDaily[EntryDate],DATE(2026,8,29),tblDaily[WardCode],"MAE")),"")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  <c r="I309" s="5" t="str">
        <f>IFERROR(IF(SUMIFS(tblDaily[MalariaCases],tblDaily[EntryDate],DATE(2026,8,30),tblDaily[WardCode],"MAE")=0,"",SUMIFS(tblDaily[MalariaCases],tblDaily[EntryDate],DATE(2026,8,30),tblDaily[WardCode],"MAE")),"")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  <c r="I310" s="5" t="str">
        <f>IFERROR(IF(SUMIFS(tblDaily[MalariaCases],tblDaily[EntryDate],DATE(2026,8,31),tblDaily[WardCode],"MAE")=0,"",SUMIFS(tblDaily[MalariaCases],tblDaily[EntryDate],DATE(2026,8,31),tblDaily[WardCode],"MAE")),"")</f>
        <v/>
      </c>
    </row>
    <row r="311" spans="1:9" x14ac:dyDescent="0.25">
      <c r="A311" s="9" t="s">
        <v>94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101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IFERROR(SUMIFS(tblDaily[Remaining],tblDaily[EntryDate],DATE(2026,8,31),tblDaily[WardCode],"MAE"),0)</f>
        <v>0</v>
      </c>
    </row>
    <row r="317" spans="1:9" x14ac:dyDescent="0.25">
      <c r="A317" s="1" t="s">
        <v>87</v>
      </c>
      <c r="H317" s="7">
        <f>IFERROR(INDEX(tblWardConfig[BedComplement],MATCH("MAE",tblWardConfig[Export Year-End],0)),0)</f>
        <v>10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  <c r="I319" s="5" t="str">
        <f>IFERROR(IF(SUMIFS(tblDaily[MalariaCases],tblDaily[EntryDate],DATE(2026,9,1),tblDaily[WardCode],"MAE")=0,"",SUMIFS(tblDaily[MalariaCases],tblDaily[EntryDate],DATE(2026,9,1),tblDaily[WardCode],"MAE")),"")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  <c r="I320" s="5" t="str">
        <f>IFERROR(IF(SUMIFS(tblDaily[MalariaCases],tblDaily[EntryDate],DATE(2026,9,2),tblDaily[WardCode],"MAE")=0,"",SUMIFS(tblDaily[MalariaCases],tblDaily[EntryDate],DATE(2026,9,2),tblDaily[WardCode],"MAE")),"")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  <c r="I321" s="5" t="str">
        <f>IFERROR(IF(SUMIFS(tblDaily[MalariaCases],tblDaily[EntryDate],DATE(2026,9,3),tblDaily[WardCode],"MAE")=0,"",SUMIFS(tblDaily[MalariaCases],tblDaily[EntryDate],DATE(2026,9,3),tblDaily[WardCode],"MAE")),"")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  <c r="I322" s="5" t="str">
        <f>IFERROR(IF(SUMIFS(tblDaily[MalariaCases],tblDaily[EntryDate],DATE(2026,9,4),tblDaily[WardCode],"MAE")=0,"",SUMIFS(tblDaily[MalariaCases],tblDaily[EntryDate],DATE(2026,9,4),tblDaily[WardCode],"MAE")),"")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  <c r="I323" s="5" t="str">
        <f>IFERROR(IF(SUMIFS(tblDaily[MalariaCases],tblDaily[EntryDate],DATE(2026,9,5),tblDaily[WardCode],"MAE")=0,"",SUMIFS(tblDaily[MalariaCases],tblDaily[EntryDate],DATE(2026,9,5),tblDaily[WardCode],"MAE")),"")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  <c r="I324" s="5" t="str">
        <f>IFERROR(IF(SUMIFS(tblDaily[MalariaCases],tblDaily[EntryDate],DATE(2026,9,6),tblDaily[WardCode],"MAE")=0,"",SUMIFS(tblDaily[MalariaCases],tblDaily[EntryDate],DATE(2026,9,6),tblDaily[WardCode],"MAE")),"")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  <c r="I325" s="5" t="str">
        <f>IFERROR(IF(SUMIFS(tblDaily[MalariaCases],tblDaily[EntryDate],DATE(2026,9,7),tblDaily[WardCode],"MAE")=0,"",SUMIFS(tblDaily[MalariaCases],tblDaily[EntryDate],DATE(2026,9,7),tblDaily[WardCode],"MAE")),"")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  <c r="I326" s="5" t="str">
        <f>IFERROR(IF(SUMIFS(tblDaily[MalariaCases],tblDaily[EntryDate],DATE(2026,9,8),tblDaily[WardCode],"MAE")=0,"",SUMIFS(tblDaily[MalariaCases],tblDaily[EntryDate],DATE(2026,9,8),tblDaily[WardCode],"MAE")),"")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  <c r="I327" s="5" t="str">
        <f>IFERROR(IF(SUMIFS(tblDaily[MalariaCases],tblDaily[EntryDate],DATE(2026,9,9),tblDaily[WardCode],"MAE")=0,"",SUMIFS(tblDaily[MalariaCases],tblDaily[EntryDate],DATE(2026,9,9),tblDaily[WardCode],"MAE")),"")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  <c r="I328" s="5" t="str">
        <f>IFERROR(IF(SUMIFS(tblDaily[MalariaCases],tblDaily[EntryDate],DATE(2026,9,10),tblDaily[WardCode],"MAE")=0,"",SUMIFS(tblDaily[MalariaCases],tblDaily[EntryDate],DATE(2026,9,10),tblDaily[WardCode],"MAE")),"")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  <c r="I329" s="5" t="str">
        <f>IFERROR(IF(SUMIFS(tblDaily[MalariaCases],tblDaily[EntryDate],DATE(2026,9,11),tblDaily[WardCode],"MAE")=0,"",SUMIFS(tblDaily[MalariaCases],tblDaily[EntryDate],DATE(2026,9,11),tblDaily[WardCode],"MAE")),"")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  <c r="I330" s="5" t="str">
        <f>IFERROR(IF(SUMIFS(tblDaily[MalariaCases],tblDaily[EntryDate],DATE(2026,9,12),tblDaily[WardCode],"MAE")=0,"",SUMIFS(tblDaily[MalariaCases],tblDaily[EntryDate],DATE(2026,9,12),tblDaily[WardCode],"MAE")),"")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  <c r="I331" s="5" t="str">
        <f>IFERROR(IF(SUMIFS(tblDaily[MalariaCases],tblDaily[EntryDate],DATE(2026,9,13),tblDaily[WardCode],"MAE")=0,"",SUMIFS(tblDaily[MalariaCases],tblDaily[EntryDate],DATE(2026,9,13),tblDaily[WardCode],"MAE")),"")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  <c r="I332" s="5" t="str">
        <f>IFERROR(IF(SUMIFS(tblDaily[MalariaCases],tblDaily[EntryDate],DATE(2026,9,14),tblDaily[WardCode],"MAE")=0,"",SUMIFS(tblDaily[MalariaCases],tblDaily[EntryDate],DATE(2026,9,14),tblDaily[WardCode],"MAE")),"")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  <c r="I333" s="5" t="str">
        <f>IFERROR(IF(SUMIFS(tblDaily[MalariaCases],tblDaily[EntryDate],DATE(2026,9,15),tblDaily[WardCode],"MAE")=0,"",SUMIFS(tblDaily[MalariaCases],tblDaily[EntryDate],DATE(2026,9,15),tblDaily[WardCode],"MAE")),"")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  <c r="I334" s="5" t="str">
        <f>IFERROR(IF(SUMIFS(tblDaily[MalariaCases],tblDaily[EntryDate],DATE(2026,9,16),tblDaily[WardCode],"MAE")=0,"",SUMIFS(tblDaily[MalariaCases],tblDaily[EntryDate],DATE(2026,9,16),tblDaily[WardCode],"MAE")),"")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  <c r="I335" s="5" t="str">
        <f>IFERROR(IF(SUMIFS(tblDaily[MalariaCases],tblDaily[EntryDate],DATE(2026,9,17),tblDaily[WardCode],"MAE")=0,"",SUMIFS(tblDaily[MalariaCases],tblDaily[EntryDate],DATE(2026,9,17),tblDaily[WardCode],"MAE")),"")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  <c r="I336" s="5" t="str">
        <f>IFERROR(IF(SUMIFS(tblDaily[MalariaCases],tblDaily[EntryDate],DATE(2026,9,18),tblDaily[WardCode],"MAE")=0,"",SUMIFS(tblDaily[MalariaCases],tblDaily[EntryDate],DATE(2026,9,18),tblDaily[WardCode],"MAE")),"")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  <c r="I337" s="5" t="str">
        <f>IFERROR(IF(SUMIFS(tblDaily[MalariaCases],tblDaily[EntryDate],DATE(2026,9,19),tblDaily[WardCode],"MAE")=0,"",SUMIFS(tblDaily[MalariaCases],tblDaily[EntryDate],DATE(2026,9,19),tblDaily[WardCode],"MAE")),"")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  <c r="I338" s="5" t="str">
        <f>IFERROR(IF(SUMIFS(tblDaily[MalariaCases],tblDaily[EntryDate],DATE(2026,9,20),tblDaily[WardCode],"MAE")=0,"",SUMIFS(tblDaily[MalariaCases],tblDaily[EntryDate],DATE(2026,9,20),tblDaily[WardCode],"MAE")),"")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  <c r="I339" s="5" t="str">
        <f>IFERROR(IF(SUMIFS(tblDaily[MalariaCases],tblDaily[EntryDate],DATE(2026,9,21),tblDaily[WardCode],"MAE")=0,"",SUMIFS(tblDaily[MalariaCases],tblDaily[EntryDate],DATE(2026,9,21),tblDaily[WardCode],"MAE")),"")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  <c r="I340" s="5" t="str">
        <f>IFERROR(IF(SUMIFS(tblDaily[MalariaCases],tblDaily[EntryDate],DATE(2026,9,22),tblDaily[WardCode],"MAE")=0,"",SUMIFS(tblDaily[MalariaCases],tblDaily[EntryDate],DATE(2026,9,22),tblDaily[WardCode],"MAE")),"")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  <c r="I341" s="5" t="str">
        <f>IFERROR(IF(SUMIFS(tblDaily[MalariaCases],tblDaily[EntryDate],DATE(2026,9,23),tblDaily[WardCode],"MAE")=0,"",SUMIFS(tblDaily[MalariaCases],tblDaily[EntryDate],DATE(2026,9,23),tblDaily[WardCode],"MAE")),"")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  <c r="I342" s="5" t="str">
        <f>IFERROR(IF(SUMIFS(tblDaily[MalariaCases],tblDaily[EntryDate],DATE(2026,9,24),tblDaily[WardCode],"MAE")=0,"",SUMIFS(tblDaily[MalariaCases],tblDaily[EntryDate],DATE(2026,9,24),tblDaily[WardCode],"MAE")),"")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  <c r="I343" s="5" t="str">
        <f>IFERROR(IF(SUMIFS(tblDaily[MalariaCases],tblDaily[EntryDate],DATE(2026,9,25),tblDaily[WardCode],"MAE")=0,"",SUMIFS(tblDaily[MalariaCases],tblDaily[EntryDate],DATE(2026,9,25),tblDaily[WardCode],"MAE")),"")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  <c r="I344" s="5" t="str">
        <f>IFERROR(IF(SUMIFS(tblDaily[MalariaCases],tblDaily[EntryDate],DATE(2026,9,26),tblDaily[WardCode],"MAE")=0,"",SUMIFS(tblDaily[MalariaCases],tblDaily[EntryDate],DATE(2026,9,26),tblDaily[WardCode],"MAE")),"")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  <c r="I345" s="5" t="str">
        <f>IFERROR(IF(SUMIFS(tblDaily[MalariaCases],tblDaily[EntryDate],DATE(2026,9,27),tblDaily[WardCode],"MAE")=0,"",SUMIFS(tblDaily[MalariaCases],tblDaily[EntryDate],DATE(2026,9,27),tblDaily[WardCode],"MAE")),"")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  <c r="I346" s="5" t="str">
        <f>IFERROR(IF(SUMIFS(tblDaily[MalariaCases],tblDaily[EntryDate],DATE(2026,9,28),tblDaily[WardCode],"MAE")=0,"",SUMIFS(tblDaily[MalariaCases],tblDaily[EntryDate],DATE(2026,9,28),tblDaily[WardCode],"MAE")),"")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  <c r="I347" s="5" t="str">
        <f>IFERROR(IF(SUMIFS(tblDaily[MalariaCases],tblDaily[EntryDate],DATE(2026,9,29),tblDaily[WardCode],"MAE")=0,"",SUMIFS(tblDaily[MalariaCases],tblDaily[EntryDate],DATE(2026,9,29),tblDaily[WardCode],"MAE")),"")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  <c r="I348" s="5" t="str">
        <f>IFERROR(IF(SUMIFS(tblDaily[MalariaCases],tblDaily[EntryDate],DATE(2026,9,30),tblDaily[WardCode],"MAE")=0,"",SUMIFS(tblDaily[MalariaCases],tblDaily[EntryDate],DATE(2026,9,30),tblDaily[WardCode],"MAE")),"")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101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IFERROR(SUMIFS(tblDaily[Remaining],tblDaily[EntryDate],DATE(2026,9,30),tblDaily[WardCode],"MAE"),0)</f>
        <v>0</v>
      </c>
    </row>
    <row r="356" spans="1:9" x14ac:dyDescent="0.25">
      <c r="A356" s="1" t="s">
        <v>87</v>
      </c>
      <c r="H356" s="7">
        <f>IFERROR(INDEX(tblWardConfig[BedComplement],MATCH("MAE",tblWardConfig[Export Year-End],0)),0)</f>
        <v>10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  <c r="I358" s="5" t="str">
        <f>IFERROR(IF(SUMIFS(tblDaily[MalariaCases],tblDaily[EntryDate],DATE(2026,10,1),tblDaily[WardCode],"MAE")=0,"",SUMIFS(tblDaily[MalariaCases],tblDaily[EntryDate],DATE(2026,10,1),tblDaily[WardCode],"MAE")),"")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  <c r="I359" s="5" t="str">
        <f>IFERROR(IF(SUMIFS(tblDaily[MalariaCases],tblDaily[EntryDate],DATE(2026,10,2),tblDaily[WardCode],"MAE")=0,"",SUMIFS(tblDaily[MalariaCases],tblDaily[EntryDate],DATE(2026,10,2),tblDaily[WardCode],"MAE")),"")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  <c r="I360" s="5" t="str">
        <f>IFERROR(IF(SUMIFS(tblDaily[MalariaCases],tblDaily[EntryDate],DATE(2026,10,3),tblDaily[WardCode],"MAE")=0,"",SUMIFS(tblDaily[MalariaCases],tblDaily[EntryDate],DATE(2026,10,3),tblDaily[WardCode],"MAE")),"")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  <c r="I361" s="5" t="str">
        <f>IFERROR(IF(SUMIFS(tblDaily[MalariaCases],tblDaily[EntryDate],DATE(2026,10,4),tblDaily[WardCode],"MAE")=0,"",SUMIFS(tblDaily[MalariaCases],tblDaily[EntryDate],DATE(2026,10,4),tblDaily[WardCode],"MAE")),"")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  <c r="I362" s="5" t="str">
        <f>IFERROR(IF(SUMIFS(tblDaily[MalariaCases],tblDaily[EntryDate],DATE(2026,10,5),tblDaily[WardCode],"MAE")=0,"",SUMIFS(tblDaily[MalariaCases],tblDaily[EntryDate],DATE(2026,10,5),tblDaily[WardCode],"MAE")),"")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  <c r="I363" s="5" t="str">
        <f>IFERROR(IF(SUMIFS(tblDaily[MalariaCases],tblDaily[EntryDate],DATE(2026,10,6),tblDaily[WardCode],"MAE")=0,"",SUMIFS(tblDaily[MalariaCases],tblDaily[EntryDate],DATE(2026,10,6),tblDaily[WardCode],"MAE")),"")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  <c r="I364" s="5" t="str">
        <f>IFERROR(IF(SUMIFS(tblDaily[MalariaCases],tblDaily[EntryDate],DATE(2026,10,7),tblDaily[WardCode],"MAE")=0,"",SUMIFS(tblDaily[MalariaCases],tblDaily[EntryDate],DATE(2026,10,7),tblDaily[WardCode],"MAE")),"")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  <c r="I365" s="5" t="str">
        <f>IFERROR(IF(SUMIFS(tblDaily[MalariaCases],tblDaily[EntryDate],DATE(2026,10,8),tblDaily[WardCode],"MAE")=0,"",SUMIFS(tblDaily[MalariaCases],tblDaily[EntryDate],DATE(2026,10,8),tblDaily[WardCode],"MAE")),"")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  <c r="I366" s="5" t="str">
        <f>IFERROR(IF(SUMIFS(tblDaily[MalariaCases],tblDaily[EntryDate],DATE(2026,10,9),tblDaily[WardCode],"MAE")=0,"",SUMIFS(tblDaily[MalariaCases],tblDaily[EntryDate],DATE(2026,10,9),tblDaily[WardCode],"MAE")),"")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  <c r="I367" s="5" t="str">
        <f>IFERROR(IF(SUMIFS(tblDaily[MalariaCases],tblDaily[EntryDate],DATE(2026,10,10),tblDaily[WardCode],"MAE")=0,"",SUMIFS(tblDaily[MalariaCases],tblDaily[EntryDate],DATE(2026,10,10),tblDaily[WardCode],"MAE")),"")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  <c r="I368" s="5" t="str">
        <f>IFERROR(IF(SUMIFS(tblDaily[MalariaCases],tblDaily[EntryDate],DATE(2026,10,11),tblDaily[WardCode],"MAE")=0,"",SUMIFS(tblDaily[MalariaCases],tblDaily[EntryDate],DATE(2026,10,11),tblDaily[WardCode],"MAE")),"")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  <c r="I369" s="5" t="str">
        <f>IFERROR(IF(SUMIFS(tblDaily[MalariaCases],tblDaily[EntryDate],DATE(2026,10,12),tblDaily[WardCode],"MAE")=0,"",SUMIFS(tblDaily[MalariaCases],tblDaily[EntryDate],DATE(2026,10,12),tblDaily[WardCode],"MAE")),"")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  <c r="I370" s="5" t="str">
        <f>IFERROR(IF(SUMIFS(tblDaily[MalariaCases],tblDaily[EntryDate],DATE(2026,10,13),tblDaily[WardCode],"MAE")=0,"",SUMIFS(tblDaily[MalariaCases],tblDaily[EntryDate],DATE(2026,10,13),tblDaily[WardCode],"MAE")),"")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  <c r="I371" s="5" t="str">
        <f>IFERROR(IF(SUMIFS(tblDaily[MalariaCases],tblDaily[EntryDate],DATE(2026,10,14),tblDaily[WardCode],"MAE")=0,"",SUMIFS(tblDaily[MalariaCases],tblDaily[EntryDate],DATE(2026,10,14),tblDaily[WardCode],"MAE")),"")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  <c r="I372" s="5" t="str">
        <f>IFERROR(IF(SUMIFS(tblDaily[MalariaCases],tblDaily[EntryDate],DATE(2026,10,15),tblDaily[WardCode],"MAE")=0,"",SUMIFS(tblDaily[MalariaCases],tblDaily[EntryDate],DATE(2026,10,15),tblDaily[WardCode],"MAE")),"")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  <c r="I373" s="5" t="str">
        <f>IFERROR(IF(SUMIFS(tblDaily[MalariaCases],tblDaily[EntryDate],DATE(2026,10,16),tblDaily[WardCode],"MAE")=0,"",SUMIFS(tblDaily[MalariaCases],tblDaily[EntryDate],DATE(2026,10,16),tblDaily[WardCode],"MAE")),"")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  <c r="I374" s="5" t="str">
        <f>IFERROR(IF(SUMIFS(tblDaily[MalariaCases],tblDaily[EntryDate],DATE(2026,10,17),tblDaily[WardCode],"MAE")=0,"",SUMIFS(tblDaily[MalariaCases],tblDaily[EntryDate],DATE(2026,10,17),tblDaily[WardCode],"MAE")),"")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  <c r="I375" s="5" t="str">
        <f>IFERROR(IF(SUMIFS(tblDaily[MalariaCases],tblDaily[EntryDate],DATE(2026,10,18),tblDaily[WardCode],"MAE")=0,"",SUMIFS(tblDaily[MalariaCases],tblDaily[EntryDate],DATE(2026,10,18),tblDaily[WardCode],"MAE")),"")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  <c r="I376" s="5" t="str">
        <f>IFERROR(IF(SUMIFS(tblDaily[MalariaCases],tblDaily[EntryDate],DATE(2026,10,19),tblDaily[WardCode],"MAE")=0,"",SUMIFS(tblDaily[MalariaCases],tblDaily[EntryDate],DATE(2026,10,19),tblDaily[WardCode],"MAE")),"")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  <c r="I377" s="5" t="str">
        <f>IFERROR(IF(SUMIFS(tblDaily[MalariaCases],tblDaily[EntryDate],DATE(2026,10,20),tblDaily[WardCode],"MAE")=0,"",SUMIFS(tblDaily[MalariaCases],tblDaily[EntryDate],DATE(2026,10,20),tblDaily[WardCode],"MAE")),"")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  <c r="I378" s="5" t="str">
        <f>IFERROR(IF(SUMIFS(tblDaily[MalariaCases],tblDaily[EntryDate],DATE(2026,10,21),tblDaily[WardCode],"MAE")=0,"",SUMIFS(tblDaily[MalariaCases],tblDaily[EntryDate],DATE(2026,10,21),tblDaily[WardCode],"MAE")),"")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  <c r="I379" s="5" t="str">
        <f>IFERROR(IF(SUMIFS(tblDaily[MalariaCases],tblDaily[EntryDate],DATE(2026,10,22),tblDaily[WardCode],"MAE")=0,"",SUMIFS(tblDaily[MalariaCases],tblDaily[EntryDate],DATE(2026,10,22),tblDaily[WardCode],"MAE")),"")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  <c r="I380" s="5" t="str">
        <f>IFERROR(IF(SUMIFS(tblDaily[MalariaCases],tblDaily[EntryDate],DATE(2026,10,23),tblDaily[WardCode],"MAE")=0,"",SUMIFS(tblDaily[MalariaCases],tblDaily[EntryDate],DATE(2026,10,23),tblDaily[WardCode],"MAE")),"")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  <c r="I381" s="5" t="str">
        <f>IFERROR(IF(SUMIFS(tblDaily[MalariaCases],tblDaily[EntryDate],DATE(2026,10,24),tblDaily[WardCode],"MAE")=0,"",SUMIFS(tblDaily[MalariaCases],tblDaily[EntryDate],DATE(2026,10,24),tblDaily[WardCode],"MAE")),"")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  <c r="I382" s="5" t="str">
        <f>IFERROR(IF(SUMIFS(tblDaily[MalariaCases],tblDaily[EntryDate],DATE(2026,10,25),tblDaily[WardCode],"MAE")=0,"",SUMIFS(tblDaily[MalariaCases],tblDaily[EntryDate],DATE(2026,10,25),tblDaily[WardCode],"MAE")),"")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  <c r="I383" s="5" t="str">
        <f>IFERROR(IF(SUMIFS(tblDaily[MalariaCases],tblDaily[EntryDate],DATE(2026,10,26),tblDaily[WardCode],"MAE")=0,"",SUMIFS(tblDaily[MalariaCases],tblDaily[EntryDate],DATE(2026,10,26),tblDaily[WardCode],"MAE")),"")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  <c r="I384" s="5" t="str">
        <f>IFERROR(IF(SUMIFS(tblDaily[MalariaCases],tblDaily[EntryDate],DATE(2026,10,27),tblDaily[WardCode],"MAE")=0,"",SUMIFS(tblDaily[MalariaCases],tblDaily[EntryDate],DATE(2026,10,27),tblDaily[WardCode],"MAE")),"")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  <c r="I385" s="5" t="str">
        <f>IFERROR(IF(SUMIFS(tblDaily[MalariaCases],tblDaily[EntryDate],DATE(2026,10,28),tblDaily[WardCode],"MAE")=0,"",SUMIFS(tblDaily[MalariaCases],tblDaily[EntryDate],DATE(2026,10,28),tblDaily[WardCode],"MAE")),"")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  <c r="I386" s="5" t="str">
        <f>IFERROR(IF(SUMIFS(tblDaily[MalariaCases],tblDaily[EntryDate],DATE(2026,10,29),tblDaily[WardCode],"MAE")=0,"",SUMIFS(tblDaily[MalariaCases],tblDaily[EntryDate],DATE(2026,10,29),tblDaily[WardCode],"MAE")),"")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  <c r="I387" s="5" t="str">
        <f>IFERROR(IF(SUMIFS(tblDaily[MalariaCases],tblDaily[EntryDate],DATE(2026,10,30),tblDaily[WardCode],"MAE")=0,"",SUMIFS(tblDaily[MalariaCases],tblDaily[EntryDate],DATE(2026,10,30),tblDaily[WardCode],"MAE")),"")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  <c r="I388" s="5" t="str">
        <f>IFERROR(IF(SUMIFS(tblDaily[MalariaCases],tblDaily[EntryDate],DATE(2026,10,31),tblDaily[WardCode],"MAE")=0,"",SUMIFS(tblDaily[MalariaCases],tblDaily[EntryDate],DATE(2026,10,31),tblDaily[WardCode],"MAE")),"")</f>
        <v/>
      </c>
    </row>
    <row r="389" spans="1:9" x14ac:dyDescent="0.25">
      <c r="A389" s="9" t="s">
        <v>94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101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IFERROR(SUMIFS(tblDaily[Remaining],tblDaily[EntryDate],DATE(2026,10,31),tblDaily[WardCode],"MAE"),0)</f>
        <v>0</v>
      </c>
    </row>
    <row r="395" spans="1:9" x14ac:dyDescent="0.25">
      <c r="A395" s="1" t="s">
        <v>87</v>
      </c>
      <c r="H395" s="7">
        <f>IFERROR(INDEX(tblWardConfig[BedComplement],MATCH("MAE",tblWardConfig[Export Year-End],0)),0)</f>
        <v>10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  <c r="I397" s="5" t="str">
        <f>IFERROR(IF(SUMIFS(tblDaily[MalariaCases],tblDaily[EntryDate],DATE(2026,11,1),tblDaily[WardCode],"MAE")=0,"",SUMIFS(tblDaily[MalariaCases],tblDaily[EntryDate],DATE(2026,11,1),tblDaily[WardCode],"MAE")),"")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  <c r="I398" s="5" t="str">
        <f>IFERROR(IF(SUMIFS(tblDaily[MalariaCases],tblDaily[EntryDate],DATE(2026,11,2),tblDaily[WardCode],"MAE")=0,"",SUMIFS(tblDaily[MalariaCases],tblDaily[EntryDate],DATE(2026,11,2),tblDaily[WardCode],"MAE")),"")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  <c r="I399" s="5" t="str">
        <f>IFERROR(IF(SUMIFS(tblDaily[MalariaCases],tblDaily[EntryDate],DATE(2026,11,3),tblDaily[WardCode],"MAE")=0,"",SUMIFS(tblDaily[MalariaCases],tblDaily[EntryDate],DATE(2026,11,3),tblDaily[WardCode],"MAE")),"")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  <c r="I400" s="5" t="str">
        <f>IFERROR(IF(SUMIFS(tblDaily[MalariaCases],tblDaily[EntryDate],DATE(2026,11,4),tblDaily[WardCode],"MAE")=0,"",SUMIFS(tblDaily[MalariaCases],tblDaily[EntryDate],DATE(2026,11,4),tblDaily[WardCode],"MAE")),"")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  <c r="I401" s="5" t="str">
        <f>IFERROR(IF(SUMIFS(tblDaily[MalariaCases],tblDaily[EntryDate],DATE(2026,11,5),tblDaily[WardCode],"MAE")=0,"",SUMIFS(tblDaily[MalariaCases],tblDaily[EntryDate],DATE(2026,11,5),tblDaily[WardCode],"MAE")),"")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  <c r="I402" s="5" t="str">
        <f>IFERROR(IF(SUMIFS(tblDaily[MalariaCases],tblDaily[EntryDate],DATE(2026,11,6),tblDaily[WardCode],"MAE")=0,"",SUMIFS(tblDaily[MalariaCases],tblDaily[EntryDate],DATE(2026,11,6),tblDaily[WardCode],"MAE")),"")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  <c r="I403" s="5" t="str">
        <f>IFERROR(IF(SUMIFS(tblDaily[MalariaCases],tblDaily[EntryDate],DATE(2026,11,7),tblDaily[WardCode],"MAE")=0,"",SUMIFS(tblDaily[MalariaCases],tblDaily[EntryDate],DATE(2026,11,7),tblDaily[WardCode],"MAE")),"")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  <c r="I404" s="5" t="str">
        <f>IFERROR(IF(SUMIFS(tblDaily[MalariaCases],tblDaily[EntryDate],DATE(2026,11,8),tblDaily[WardCode],"MAE")=0,"",SUMIFS(tblDaily[MalariaCases],tblDaily[EntryDate],DATE(2026,11,8),tblDaily[WardCode],"MAE")),"")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  <c r="I405" s="5" t="str">
        <f>IFERROR(IF(SUMIFS(tblDaily[MalariaCases],tblDaily[EntryDate],DATE(2026,11,9),tblDaily[WardCode],"MAE")=0,"",SUMIFS(tblDaily[MalariaCases],tblDaily[EntryDate],DATE(2026,11,9),tblDaily[WardCode],"MAE")),"")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  <c r="I406" s="5" t="str">
        <f>IFERROR(IF(SUMIFS(tblDaily[MalariaCases],tblDaily[EntryDate],DATE(2026,11,10),tblDaily[WardCode],"MAE")=0,"",SUMIFS(tblDaily[MalariaCases],tblDaily[EntryDate],DATE(2026,11,10),tblDaily[WardCode],"MAE")),"")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  <c r="I407" s="5" t="str">
        <f>IFERROR(IF(SUMIFS(tblDaily[MalariaCases],tblDaily[EntryDate],DATE(2026,11,11),tblDaily[WardCode],"MAE")=0,"",SUMIFS(tblDaily[MalariaCases],tblDaily[EntryDate],DATE(2026,11,11),tblDaily[WardCode],"MAE")),"")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  <c r="I408" s="5" t="str">
        <f>IFERROR(IF(SUMIFS(tblDaily[MalariaCases],tblDaily[EntryDate],DATE(2026,11,12),tblDaily[WardCode],"MAE")=0,"",SUMIFS(tblDaily[MalariaCases],tblDaily[EntryDate],DATE(2026,11,12),tblDaily[WardCode],"MAE")),"")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  <c r="I409" s="5" t="str">
        <f>IFERROR(IF(SUMIFS(tblDaily[MalariaCases],tblDaily[EntryDate],DATE(2026,11,13),tblDaily[WardCode],"MAE")=0,"",SUMIFS(tblDaily[MalariaCases],tblDaily[EntryDate],DATE(2026,11,13),tblDaily[WardCode],"MAE")),"")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  <c r="I410" s="5" t="str">
        <f>IFERROR(IF(SUMIFS(tblDaily[MalariaCases],tblDaily[EntryDate],DATE(2026,11,14),tblDaily[WardCode],"MAE")=0,"",SUMIFS(tblDaily[MalariaCases],tblDaily[EntryDate],DATE(2026,11,14),tblDaily[WardCode],"MAE")),"")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  <c r="I411" s="5" t="str">
        <f>IFERROR(IF(SUMIFS(tblDaily[MalariaCases],tblDaily[EntryDate],DATE(2026,11,15),tblDaily[WardCode],"MAE")=0,"",SUMIFS(tblDaily[MalariaCases],tblDaily[EntryDate],DATE(2026,11,15),tblDaily[WardCode],"MAE")),"")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  <c r="I412" s="5" t="str">
        <f>IFERROR(IF(SUMIFS(tblDaily[MalariaCases],tblDaily[EntryDate],DATE(2026,11,16),tblDaily[WardCode],"MAE")=0,"",SUMIFS(tblDaily[MalariaCases],tblDaily[EntryDate],DATE(2026,11,16),tblDaily[WardCode],"MAE")),"")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  <c r="I413" s="5" t="str">
        <f>IFERROR(IF(SUMIFS(tblDaily[MalariaCases],tblDaily[EntryDate],DATE(2026,11,17),tblDaily[WardCode],"MAE")=0,"",SUMIFS(tblDaily[MalariaCases],tblDaily[EntryDate],DATE(2026,11,17),tblDaily[WardCode],"MAE")),"")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  <c r="I414" s="5" t="str">
        <f>IFERROR(IF(SUMIFS(tblDaily[MalariaCases],tblDaily[EntryDate],DATE(2026,11,18),tblDaily[WardCode],"MAE")=0,"",SUMIFS(tblDaily[MalariaCases],tblDaily[EntryDate],DATE(2026,11,18),tblDaily[WardCode],"MAE")),"")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  <c r="I415" s="5" t="str">
        <f>IFERROR(IF(SUMIFS(tblDaily[MalariaCases],tblDaily[EntryDate],DATE(2026,11,19),tblDaily[WardCode],"MAE")=0,"",SUMIFS(tblDaily[MalariaCases],tblDaily[EntryDate],DATE(2026,11,19),tblDaily[WardCode],"MAE")),"")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  <c r="I416" s="5" t="str">
        <f>IFERROR(IF(SUMIFS(tblDaily[MalariaCases],tblDaily[EntryDate],DATE(2026,11,20),tblDaily[WardCode],"MAE")=0,"",SUMIFS(tblDaily[MalariaCases],tblDaily[EntryDate],DATE(2026,11,20),tblDaily[WardCode],"MAE")),"")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  <c r="I417" s="5" t="str">
        <f>IFERROR(IF(SUMIFS(tblDaily[MalariaCases],tblDaily[EntryDate],DATE(2026,11,21),tblDaily[WardCode],"MAE")=0,"",SUMIFS(tblDaily[MalariaCases],tblDaily[EntryDate],DATE(2026,11,21),tblDaily[WardCode],"MAE")),"")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  <c r="I418" s="5" t="str">
        <f>IFERROR(IF(SUMIFS(tblDaily[MalariaCases],tblDaily[EntryDate],DATE(2026,11,22),tblDaily[WardCode],"MAE")=0,"",SUMIFS(tblDaily[MalariaCases],tblDaily[EntryDate],DATE(2026,11,22),tblDaily[WardCode],"MAE")),"")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  <c r="I419" s="5" t="str">
        <f>IFERROR(IF(SUMIFS(tblDaily[MalariaCases],tblDaily[EntryDate],DATE(2026,11,23),tblDaily[WardCode],"MAE")=0,"",SUMIFS(tblDaily[MalariaCases],tblDaily[EntryDate],DATE(2026,11,23),tblDaily[WardCode],"MAE")),"")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  <c r="I420" s="5" t="str">
        <f>IFERROR(IF(SUMIFS(tblDaily[MalariaCases],tblDaily[EntryDate],DATE(2026,11,24),tblDaily[WardCode],"MAE")=0,"",SUMIFS(tblDaily[MalariaCases],tblDaily[EntryDate],DATE(2026,11,24),tblDaily[WardCode],"MAE")),"")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  <c r="I421" s="5" t="str">
        <f>IFERROR(IF(SUMIFS(tblDaily[MalariaCases],tblDaily[EntryDate],DATE(2026,11,25),tblDaily[WardCode],"MAE")=0,"",SUMIFS(tblDaily[MalariaCases],tblDaily[EntryDate],DATE(2026,11,25),tblDaily[WardCode],"MAE")),"")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  <c r="I422" s="5" t="str">
        <f>IFERROR(IF(SUMIFS(tblDaily[MalariaCases],tblDaily[EntryDate],DATE(2026,11,26),tblDaily[WardCode],"MAE")=0,"",SUMIFS(tblDaily[MalariaCases],tblDaily[EntryDate],DATE(2026,11,26),tblDaily[WardCode],"MAE")),"")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  <c r="I423" s="5" t="str">
        <f>IFERROR(IF(SUMIFS(tblDaily[MalariaCases],tblDaily[EntryDate],DATE(2026,11,27),tblDaily[WardCode],"MAE")=0,"",SUMIFS(tblDaily[MalariaCases],tblDaily[EntryDate],DATE(2026,11,27),tblDaily[WardCode],"MAE")),"")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  <c r="I424" s="5" t="str">
        <f>IFERROR(IF(SUMIFS(tblDaily[MalariaCases],tblDaily[EntryDate],DATE(2026,11,28),tblDaily[WardCode],"MAE")=0,"",SUMIFS(tblDaily[MalariaCases],tblDaily[EntryDate],DATE(2026,11,28),tblDaily[WardCode],"MAE")),"")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  <c r="I425" s="5" t="str">
        <f>IFERROR(IF(SUMIFS(tblDaily[MalariaCases],tblDaily[EntryDate],DATE(2026,11,29),tblDaily[WardCode],"MAE")=0,"",SUMIFS(tblDaily[MalariaCases],tblDaily[EntryDate],DATE(2026,11,29),tblDaily[WardCode],"MAE")),"")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  <c r="I426" s="5" t="str">
        <f>IFERROR(IF(SUMIFS(tblDaily[MalariaCases],tblDaily[EntryDate],DATE(2026,11,30),tblDaily[WardCode],"MAE")=0,"",SUMIFS(tblDaily[MalariaCases],tblDaily[EntryDate],DATE(2026,11,30),tblDaily[WardCode],"MAE")),"")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101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IFERROR(SUMIFS(tblDaily[Remaining],tblDaily[EntryDate],DATE(2026,11,30),tblDaily[WardCode],"MAE"),0)</f>
        <v>0</v>
      </c>
    </row>
    <row r="434" spans="1:9" x14ac:dyDescent="0.25">
      <c r="A434" s="1" t="s">
        <v>87</v>
      </c>
      <c r="H434" s="7">
        <f>IFERROR(INDEX(tblWardConfig[BedComplement],MATCH("MAE",tblWardConfig[Export Year-End],0)),0)</f>
        <v>10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  <c r="I436" s="5" t="str">
        <f>IFERROR(IF(SUMIFS(tblDaily[MalariaCases],tblDaily[EntryDate],DATE(2026,12,1),tblDaily[WardCode],"MAE")=0,"",SUMIFS(tblDaily[MalariaCases],tblDaily[EntryDate],DATE(2026,12,1),tblDaily[WardCode],"MAE")),"")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  <c r="I437" s="5" t="str">
        <f>IFERROR(IF(SUMIFS(tblDaily[MalariaCases],tblDaily[EntryDate],DATE(2026,12,2),tblDaily[WardCode],"MAE")=0,"",SUMIFS(tblDaily[MalariaCases],tblDaily[EntryDate],DATE(2026,12,2),tblDaily[WardCode],"MAE")),"")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  <c r="I438" s="5" t="str">
        <f>IFERROR(IF(SUMIFS(tblDaily[MalariaCases],tblDaily[EntryDate],DATE(2026,12,3),tblDaily[WardCode],"MAE")=0,"",SUMIFS(tblDaily[MalariaCases],tblDaily[EntryDate],DATE(2026,12,3),tblDaily[WardCode],"MAE")),"")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  <c r="I439" s="5" t="str">
        <f>IFERROR(IF(SUMIFS(tblDaily[MalariaCases],tblDaily[EntryDate],DATE(2026,12,4),tblDaily[WardCode],"MAE")=0,"",SUMIFS(tblDaily[MalariaCases],tblDaily[EntryDate],DATE(2026,12,4),tblDaily[WardCode],"MAE")),"")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  <c r="I440" s="5" t="str">
        <f>IFERROR(IF(SUMIFS(tblDaily[MalariaCases],tblDaily[EntryDate],DATE(2026,12,5),tblDaily[WardCode],"MAE")=0,"",SUMIFS(tblDaily[MalariaCases],tblDaily[EntryDate],DATE(2026,12,5),tblDaily[WardCode],"MAE")),"")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  <c r="I441" s="5" t="str">
        <f>IFERROR(IF(SUMIFS(tblDaily[MalariaCases],tblDaily[EntryDate],DATE(2026,12,6),tblDaily[WardCode],"MAE")=0,"",SUMIFS(tblDaily[MalariaCases],tblDaily[EntryDate],DATE(2026,12,6),tblDaily[WardCode],"MAE")),"")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  <c r="I442" s="5" t="str">
        <f>IFERROR(IF(SUMIFS(tblDaily[MalariaCases],tblDaily[EntryDate],DATE(2026,12,7),tblDaily[WardCode],"MAE")=0,"",SUMIFS(tblDaily[MalariaCases],tblDaily[EntryDate],DATE(2026,12,7),tblDaily[WardCode],"MAE")),"")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  <c r="I443" s="5" t="str">
        <f>IFERROR(IF(SUMIFS(tblDaily[MalariaCases],tblDaily[EntryDate],DATE(2026,12,8),tblDaily[WardCode],"MAE")=0,"",SUMIFS(tblDaily[MalariaCases],tblDaily[EntryDate],DATE(2026,12,8),tblDaily[WardCode],"MAE")),"")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  <c r="I444" s="5" t="str">
        <f>IFERROR(IF(SUMIFS(tblDaily[MalariaCases],tblDaily[EntryDate],DATE(2026,12,9),tblDaily[WardCode],"MAE")=0,"",SUMIFS(tblDaily[MalariaCases],tblDaily[EntryDate],DATE(2026,12,9),tblDaily[WardCode],"MAE")),"")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  <c r="I445" s="5" t="str">
        <f>IFERROR(IF(SUMIFS(tblDaily[MalariaCases],tblDaily[EntryDate],DATE(2026,12,10),tblDaily[WardCode],"MAE")=0,"",SUMIFS(tblDaily[MalariaCases],tblDaily[EntryDate],DATE(2026,12,10),tblDaily[WardCode],"MAE")),"")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  <c r="I446" s="5" t="str">
        <f>IFERROR(IF(SUMIFS(tblDaily[MalariaCases],tblDaily[EntryDate],DATE(2026,12,11),tblDaily[WardCode],"MAE")=0,"",SUMIFS(tblDaily[MalariaCases],tblDaily[EntryDate],DATE(2026,12,11),tblDaily[WardCode],"MAE")),"")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  <c r="I447" s="5" t="str">
        <f>IFERROR(IF(SUMIFS(tblDaily[MalariaCases],tblDaily[EntryDate],DATE(2026,12,12),tblDaily[WardCode],"MAE")=0,"",SUMIFS(tblDaily[MalariaCases],tblDaily[EntryDate],DATE(2026,12,12),tblDaily[WardCode],"MAE")),"")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  <c r="I448" s="5" t="str">
        <f>IFERROR(IF(SUMIFS(tblDaily[MalariaCases],tblDaily[EntryDate],DATE(2026,12,13),tblDaily[WardCode],"MAE")=0,"",SUMIFS(tblDaily[MalariaCases],tblDaily[EntryDate],DATE(2026,12,13),tblDaily[WardCode],"MAE")),"")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  <c r="I449" s="5" t="str">
        <f>IFERROR(IF(SUMIFS(tblDaily[MalariaCases],tblDaily[EntryDate],DATE(2026,12,14),tblDaily[WardCode],"MAE")=0,"",SUMIFS(tblDaily[MalariaCases],tblDaily[EntryDate],DATE(2026,12,14),tblDaily[WardCode],"MAE")),"")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  <c r="I450" s="5" t="str">
        <f>IFERROR(IF(SUMIFS(tblDaily[MalariaCases],tblDaily[EntryDate],DATE(2026,12,15),tblDaily[WardCode],"MAE")=0,"",SUMIFS(tblDaily[MalariaCases],tblDaily[EntryDate],DATE(2026,12,15),tblDaily[WardCode],"MAE")),"")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  <c r="I451" s="5" t="str">
        <f>IFERROR(IF(SUMIFS(tblDaily[MalariaCases],tblDaily[EntryDate],DATE(2026,12,16),tblDaily[WardCode],"MAE")=0,"",SUMIFS(tblDaily[MalariaCases],tblDaily[EntryDate],DATE(2026,12,16),tblDaily[WardCode],"MAE")),"")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  <c r="I452" s="5" t="str">
        <f>IFERROR(IF(SUMIFS(tblDaily[MalariaCases],tblDaily[EntryDate],DATE(2026,12,17),tblDaily[WardCode],"MAE")=0,"",SUMIFS(tblDaily[MalariaCases],tblDaily[EntryDate],DATE(2026,12,17),tblDaily[WardCode],"MAE")),"")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  <c r="I453" s="5" t="str">
        <f>IFERROR(IF(SUMIFS(tblDaily[MalariaCases],tblDaily[EntryDate],DATE(2026,12,18),tblDaily[WardCode],"MAE")=0,"",SUMIFS(tblDaily[MalariaCases],tblDaily[EntryDate],DATE(2026,12,18),tblDaily[WardCode],"MAE")),"")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  <c r="I454" s="5" t="str">
        <f>IFERROR(IF(SUMIFS(tblDaily[MalariaCases],tblDaily[EntryDate],DATE(2026,12,19),tblDaily[WardCode],"MAE")=0,"",SUMIFS(tblDaily[MalariaCases],tblDaily[EntryDate],DATE(2026,12,19),tblDaily[WardCode],"MAE")),"")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  <c r="I455" s="5" t="str">
        <f>IFERROR(IF(SUMIFS(tblDaily[MalariaCases],tblDaily[EntryDate],DATE(2026,12,20),tblDaily[WardCode],"MAE")=0,"",SUMIFS(tblDaily[MalariaCases],tblDaily[EntryDate],DATE(2026,12,20),tblDaily[WardCode],"MAE")),"")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  <c r="I456" s="5" t="str">
        <f>IFERROR(IF(SUMIFS(tblDaily[MalariaCases],tblDaily[EntryDate],DATE(2026,12,21),tblDaily[WardCode],"MAE")=0,"",SUMIFS(tblDaily[MalariaCases],tblDaily[EntryDate],DATE(2026,12,21),tblDaily[WardCode],"MAE")),"")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  <c r="I457" s="5" t="str">
        <f>IFERROR(IF(SUMIFS(tblDaily[MalariaCases],tblDaily[EntryDate],DATE(2026,12,22),tblDaily[WardCode],"MAE")=0,"",SUMIFS(tblDaily[MalariaCases],tblDaily[EntryDate],DATE(2026,12,22),tblDaily[WardCode],"MAE")),"")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  <c r="I458" s="5" t="str">
        <f>IFERROR(IF(SUMIFS(tblDaily[MalariaCases],tblDaily[EntryDate],DATE(2026,12,23),tblDaily[WardCode],"MAE")=0,"",SUMIFS(tblDaily[MalariaCases],tblDaily[EntryDate],DATE(2026,12,23),tblDaily[WardCode],"MAE")),"")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  <c r="I459" s="5" t="str">
        <f>IFERROR(IF(SUMIFS(tblDaily[MalariaCases],tblDaily[EntryDate],DATE(2026,12,24),tblDaily[WardCode],"MAE")=0,"",SUMIFS(tblDaily[MalariaCases],tblDaily[EntryDate],DATE(2026,12,24),tblDaily[WardCode],"MAE")),"")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  <c r="I460" s="5" t="str">
        <f>IFERROR(IF(SUMIFS(tblDaily[MalariaCases],tblDaily[EntryDate],DATE(2026,12,25),tblDaily[WardCode],"MAE")=0,"",SUMIFS(tblDaily[MalariaCases],tblDaily[EntryDate],DATE(2026,12,25),tblDaily[WardCode],"MAE")),"")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  <c r="I461" s="5" t="str">
        <f>IFERROR(IF(SUMIFS(tblDaily[MalariaCases],tblDaily[EntryDate],DATE(2026,12,26),tblDaily[WardCode],"MAE")=0,"",SUMIFS(tblDaily[MalariaCases],tblDaily[EntryDate],DATE(2026,12,26),tblDaily[WardCode],"MAE")),"")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  <c r="I462" s="5" t="str">
        <f>IFERROR(IF(SUMIFS(tblDaily[MalariaCases],tblDaily[EntryDate],DATE(2026,12,27),tblDaily[WardCode],"MAE")=0,"",SUMIFS(tblDaily[MalariaCases],tblDaily[EntryDate],DATE(2026,12,27),tblDaily[WardCode],"MAE")),"")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  <c r="I463" s="5" t="str">
        <f>IFERROR(IF(SUMIFS(tblDaily[MalariaCases],tblDaily[EntryDate],DATE(2026,12,28),tblDaily[WardCode],"MAE")=0,"",SUMIFS(tblDaily[MalariaCases],tblDaily[EntryDate],DATE(2026,12,28),tblDaily[WardCode],"MAE")),"")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  <c r="I464" s="5" t="str">
        <f>IFERROR(IF(SUMIFS(tblDaily[MalariaCases],tblDaily[EntryDate],DATE(2026,12,29),tblDaily[WardCode],"MAE")=0,"",SUMIFS(tblDaily[MalariaCases],tblDaily[EntryDate],DATE(2026,12,29),tblDaily[WardCode],"MAE")),"")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  <c r="I465" s="5" t="str">
        <f>IFERROR(IF(SUMIFS(tblDaily[MalariaCases],tblDaily[EntryDate],DATE(2026,12,30),tblDaily[WardCode],"MAE")=0,"",SUMIFS(tblDaily[MalariaCases],tblDaily[EntryDate],DATE(2026,12,30),tblDaily[WardCode],"MAE")),"")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  <c r="I466" s="5" t="str">
        <f>IFERROR(IF(SUMIFS(tblDaily[MalariaCases],tblDaily[EntryDate],DATE(2026,12,31),tblDaily[WardCode],"MAE")=0,"",SUMIFS(tblDaily[MalariaCases],tblDaily[EntryDate],DATE(2026,12,31),tblDaily[WardCode],"MAE")),"")</f>
        <v/>
      </c>
    </row>
    <row r="467" spans="1:9" x14ac:dyDescent="0.25">
      <c r="A467" s="9" t="s">
        <v>94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102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IFERROR(INDEX(tblWardConfig[PrevYearRemaining],MATCH("FAE",tblWardConfig[Export Year-End],0)),0)</f>
        <v>0</v>
      </c>
    </row>
    <row r="5" spans="1:9" x14ac:dyDescent="0.25">
      <c r="A5" s="1" t="s">
        <v>87</v>
      </c>
      <c r="H5" s="7">
        <f>IFERROR(INDEX(tblWardConfig[BedComplement],MATCH("FAE",tblWardConfig[Export Year-End],0)),0)</f>
        <v>10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 t="str">
        <f>IFERROR(IF(SUMIFS(tblDaily[TransfersOut],tblDaily[EntryDate],DATE(2026,1,1),tblDaily[WardCode],"FAE")=0,"",SUMIFS(tblDaily[TransfersOut],tblDaily[EntryDate],DATE(2026,1,1),tblDaily[WardCode],"FAE")),"")</f>
        <v/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  <c r="I7" s="5" t="str">
        <f>IFERROR(IF(SUMIFS(tblDaily[MalariaCases],tblDaily[EntryDate],DATE(2026,1,1),tblDaily[WardCode],"FAE")=0,"",SUMIFS(tblDaily[MalariaCases],tblDaily[EntryDate],DATE(2026,1,1),tblDaily[WardCode],"FAE")),"")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IFERROR(IF(SUMIFS(tblDaily[Admissions],tblDaily[EntryDate],DATE(2026,1,2),tblDaily[WardCode],"FAE")=0,"",SUMIFS(tblDaily[Admissions],tblDaily[EntryDate],DATE(2026,1,2),tblDaily[WardCode],"FAE")),"")</f>
        <v/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 t="str">
        <f>IFERROR(IF(SUMIFS(tblDaily[TransfersOut],tblDaily[EntryDate],DATE(2026,1,2),tblDaily[WardCode],"FAE")=0,"",SUMIFS(tblDaily[TransfersOut],tblDaily[EntryDate],DATE(2026,1,2),tblDaily[WardCode],"FAE")),"")</f>
        <v/>
      </c>
      <c r="H8" s="5" t="str">
        <f>IFERROR(IF(SUMIFS(tblDaily[Remaining],tblDaily[EntryDate],DATE(2026,1,2),tblDaily[WardCode],"FAE")=0,"",SUMIFS(tblDaily[Remaining],tblDaily[EntryDate],DATE(2026,1,2),tblDaily[WardCode],"FAE")),"")</f>
        <v/>
      </c>
      <c r="I8" s="5" t="str">
        <f>IFERROR(IF(SUMIFS(tblDaily[MalariaCases],tblDaily[EntryDate],DATE(2026,1,2),tblDaily[WardCode],"FAE")=0,"",SUMIFS(tblDaily[MalariaCases],tblDaily[EntryDate],DATE(2026,1,2),tblDaily[WardCode],"FAE")),"")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 t="str">
        <f>IFERROR(IF(SUMIFS(tblDaily[TransfersOut],tblDaily[EntryDate],DATE(2026,1,3),tblDaily[WardCode],"FAE")=0,"",SUMIFS(tblDaily[TransfersOut],tblDaily[EntryDate],DATE(2026,1,3),tblDaily[WardCode],"FAE")),"")</f>
        <v/>
      </c>
      <c r="H9" s="5" t="str">
        <f>IFERROR(IF(SUMIFS(tblDaily[Remaining],tblDaily[EntryDate],DATE(2026,1,3),tblDaily[WardCode],"FAE")=0,"",SUMIFS(tblDaily[Remaining],tblDaily[EntryDate],DATE(2026,1,3),tblDaily[WardCode],"FAE")),"")</f>
        <v/>
      </c>
      <c r="I9" s="5" t="str">
        <f>IFERROR(IF(SUMIFS(tblDaily[MalariaCases],tblDaily[EntryDate],DATE(2026,1,3),tblDaily[WardCode],"FAE")=0,"",SUMIFS(tblDaily[MalariaCases],tblDaily[EntryDate],DATE(2026,1,3),tblDaily[WardCode],"FAE")),"")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  <c r="I10" s="5" t="str">
        <f>IFERROR(IF(SUMIFS(tblDaily[MalariaCases],tblDaily[EntryDate],DATE(2026,1,4),tblDaily[WardCode],"FAE")=0,"",SUMIFS(tblDaily[MalariaCases],tblDaily[EntryDate],DATE(2026,1,4),tblDaily[WardCode],"FAE")),"")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IFERROR(IF(SUMIFS(tblDaily[Admissions],tblDaily[EntryDate],DATE(2026,1,5),tblDaily[WardCode],"FAE")=0,"",SUMIFS(tblDaily[Admissions],tblDaily[EntryDate],DATE(2026,1,5),tblDaily[WardCode],"FAE")),"")</f>
        <v/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 t="str">
        <f>IFERROR(IF(SUMIFS(tblDaily[TransfersOut],tblDaily[EntryDate],DATE(2026,1,5),tblDaily[WardCode],"FAE")=0,"",SUMIFS(tblDaily[TransfersOut],tblDaily[EntryDate],DATE(2026,1,5),tblDaily[WardCode],"FAE")),"")</f>
        <v/>
      </c>
      <c r="H11" s="5" t="str">
        <f>IFERROR(IF(SUMIFS(tblDaily[Remaining],tblDaily[EntryDate],DATE(2026,1,5),tblDaily[WardCode],"FAE")=0,"",SUMIFS(tblDaily[Remaining],tblDaily[EntryDate],DATE(2026,1,5),tblDaily[WardCode],"FAE")),"")</f>
        <v/>
      </c>
      <c r="I11" s="5" t="str">
        <f>IFERROR(IF(SUMIFS(tblDaily[MalariaCases],tblDaily[EntryDate],DATE(2026,1,5),tblDaily[WardCode],"FAE")=0,"",SUMIFS(tblDaily[MalariaCases],tblDaily[EntryDate],DATE(2026,1,5),tblDaily[WardCode],"FAE")),"")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IFERROR(IF(SUMIFS(tblDaily[Admissions],tblDaily[EntryDate],DATE(2026,1,6),tblDaily[WardCode],"FAE")=0,"",SUMIFS(tblDaily[Admissions],tblDaily[EntryDate],DATE(2026,1,6),tblDaily[WardCode],"FAE")),"")</f>
        <v/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 t="str">
        <f>IFERROR(IF(SUMIFS(tblDaily[Remaining],tblDaily[EntryDate],DATE(2026,1,6),tblDaily[WardCode],"FAE")=0,"",SUMIFS(tblDaily[Remaining],tblDaily[EntryDate],DATE(2026,1,6),tblDaily[WardCode],"FAE")),"")</f>
        <v/>
      </c>
      <c r="I12" s="5" t="str">
        <f>IFERROR(IF(SUMIFS(tblDaily[MalariaCases],tblDaily[EntryDate],DATE(2026,1,6),tblDaily[WardCode],"FAE")=0,"",SUMIFS(tblDaily[MalariaCases],tblDaily[EntryDate],DATE(2026,1,6),tblDaily[WardCode],"FAE")),"")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  <c r="I13" s="5" t="str">
        <f>IFERROR(IF(SUMIFS(tblDaily[MalariaCases],tblDaily[EntryDate],DATE(2026,1,7),tblDaily[WardCode],"FAE")=0,"",SUMIFS(tblDaily[MalariaCases],tblDaily[EntryDate],DATE(2026,1,7),tblDaily[WardCode],"FAE")),"")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 t="str">
        <f>IFERROR(IF(SUMIFS(tblDaily[TransfersOut],tblDaily[EntryDate],DATE(2026,1,8),tblDaily[WardCode],"FAE")=0,"",SUMIFS(tblDaily[TransfersOut],tblDaily[EntryDate],DATE(2026,1,8),tblDaily[WardCode],"FAE")),"")</f>
        <v/>
      </c>
      <c r="H14" s="5" t="str">
        <f>IFERROR(IF(SUMIFS(tblDaily[Remaining],tblDaily[EntryDate],DATE(2026,1,8),tblDaily[WardCode],"FAE")=0,"",SUMIFS(tblDaily[Remaining],tblDaily[EntryDate],DATE(2026,1,8),tblDaily[WardCode],"FAE")),"")</f>
        <v/>
      </c>
      <c r="I14" s="5" t="str">
        <f>IFERROR(IF(SUMIFS(tblDaily[MalariaCases],tblDaily[EntryDate],DATE(2026,1,8),tblDaily[WardCode],"FAE")=0,"",SUMIFS(tblDaily[MalariaCases],tblDaily[EntryDate],DATE(2026,1,8),tblDaily[WardCode],"FAE")),"")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IFERROR(IF(SUMIFS(tblDaily[Admissions],tblDaily[EntryDate],DATE(2026,1,9),tblDaily[WardCode],"FAE")=0,"",SUMIFS(tblDaily[Admissions],tblDaily[EntryDate],DATE(2026,1,9),tblDaily[WardCode],"FAE")),"")</f>
        <v/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 t="str">
        <f>IFERROR(IF(SUMIFS(tblDaily[Remaining],tblDaily[EntryDate],DATE(2026,1,9),tblDaily[WardCode],"FAE")=0,"",SUMIFS(tblDaily[Remaining],tblDaily[EntryDate],DATE(2026,1,9),tblDaily[WardCode],"FAE")),"")</f>
        <v/>
      </c>
      <c r="I15" s="5" t="str">
        <f>IFERROR(IF(SUMIFS(tblDaily[MalariaCases],tblDaily[EntryDate],DATE(2026,1,9),tblDaily[WardCode],"FAE")=0,"",SUMIFS(tblDaily[MalariaCases],tblDaily[EntryDate],DATE(2026,1,9),tblDaily[WardCode],"FAE")),"")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IFERROR(IF(SUMIFS(tblDaily[Admissions],tblDaily[EntryDate],DATE(2026,1,10),tblDaily[WardCode],"FAE")=0,"",SUMIFS(tblDaily[Admissions],tblDaily[EntryDate],DATE(2026,1,10),tblDaily[WardCode],"FAE")),"")</f>
        <v/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 t="str">
        <f>IFERROR(IF(SUMIFS(tblDaily[Remaining],tblDaily[EntryDate],DATE(2026,1,10),tblDaily[WardCode],"FAE")=0,"",SUMIFS(tblDaily[Remaining],tblDaily[EntryDate],DATE(2026,1,10),tblDaily[WardCode],"FAE")),"")</f>
        <v/>
      </c>
      <c r="I16" s="5" t="str">
        <f>IFERROR(IF(SUMIFS(tblDaily[MalariaCases],tblDaily[EntryDate],DATE(2026,1,10),tblDaily[WardCode],"FAE")=0,"",SUMIFS(tblDaily[MalariaCases],tblDaily[EntryDate],DATE(2026,1,10),tblDaily[WardCode],"FAE")),"")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 t="str">
        <f>IFERROR(IF(SUMIFS(tblDaily[Discharges],tblDaily[EntryDate],DATE(2026,1,11),tblDaily[WardCode],"FAE")=0,"",SUMIFS(tblDaily[Discharges],tblDaily[EntryDate],DATE(2026,1,11),tblDaily[WardCode],"FAE")),"")</f>
        <v/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 t="str">
        <f>IFERROR(IF(SUMIFS(tblDaily[TransfersOut],tblDaily[EntryDate],DATE(2026,1,11),tblDaily[WardCode],"FAE")=0,"",SUMIFS(tblDaily[TransfersOut],tblDaily[EntryDate],DATE(2026,1,11),tblDaily[WardCode],"FAE")),"")</f>
        <v/>
      </c>
      <c r="H17" s="5" t="str">
        <f>IFERROR(IF(SUMIFS(tblDaily[Remaining],tblDaily[EntryDate],DATE(2026,1,11),tblDaily[WardCode],"FAE")=0,"",SUMIFS(tblDaily[Remaining],tblDaily[EntryDate],DATE(2026,1,11),tblDaily[WardCode],"FAE")),"")</f>
        <v/>
      </c>
      <c r="I17" s="5" t="str">
        <f>IFERROR(IF(SUMIFS(tblDaily[MalariaCases],tblDaily[EntryDate],DATE(2026,1,11),tblDaily[WardCode],"FAE")=0,"",SUMIFS(tblDaily[MalariaCases],tblDaily[EntryDate],DATE(2026,1,11),tblDaily[WardCode],"FAE")),"")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 t="str">
        <f>IFERROR(IF(SUMIFS(tblDaily[Discharges],tblDaily[EntryDate],DATE(2026,1,12),tblDaily[WardCode],"FAE")=0,"",SUMIFS(tblDaily[Discharges],tblDaily[EntryDate],DATE(2026,1,12),tblDaily[WardCode],"FAE")),"")</f>
        <v/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 t="str">
        <f>IFERROR(IF(SUMIFS(tblDaily[Remaining],tblDaily[EntryDate],DATE(2026,1,12),tblDaily[WardCode],"FAE")=0,"",SUMIFS(tblDaily[Remaining],tblDaily[EntryDate],DATE(2026,1,12),tblDaily[WardCode],"FAE")),"")</f>
        <v/>
      </c>
      <c r="I18" s="5" t="str">
        <f>IFERROR(IF(SUMIFS(tblDaily[MalariaCases],tblDaily[EntryDate],DATE(2026,1,12),tblDaily[WardCode],"FAE")=0,"",SUMIFS(tblDaily[MalariaCases],tblDaily[EntryDate],DATE(2026,1,12),tblDaily[WardCode],"FAE")),"")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IFERROR(IF(SUMIFS(tblDaily[Admissions],tblDaily[EntryDate],DATE(2026,1,13),tblDaily[WardCode],"FAE")=0,"",SUMIFS(tblDaily[Admissions],tblDaily[EntryDate],DATE(2026,1,13),tblDaily[WardCode],"FAE")),"")</f>
        <v/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 t="str">
        <f>IFERROR(IF(SUMIFS(tblDaily[Remaining],tblDaily[EntryDate],DATE(2026,1,13),tblDaily[WardCode],"FAE")=0,"",SUMIFS(tblDaily[Remaining],tblDaily[EntryDate],DATE(2026,1,13),tblDaily[WardCode],"FAE")),"")</f>
        <v/>
      </c>
      <c r="I19" s="5" t="str">
        <f>IFERROR(IF(SUMIFS(tblDaily[MalariaCases],tblDaily[EntryDate],DATE(2026,1,13),tblDaily[WardCode],"FAE")=0,"",SUMIFS(tblDaily[MalariaCases],tblDaily[EntryDate],DATE(2026,1,13),tblDaily[WardCode],"FAE")),"")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IFERROR(IF(SUMIFS(tblDaily[Admissions],tblDaily[EntryDate],DATE(2026,1,14),tblDaily[WardCode],"FAE")=0,"",SUMIFS(tblDaily[Admissions],tblDaily[EntryDate],DATE(2026,1,14),tblDaily[WardCode],"FAE")),"")</f>
        <v/>
      </c>
      <c r="C20" s="5" t="str">
        <f>IFERROR(IF(SUMIFS(tblDaily[Discharges],tblDaily[EntryDate],DATE(2026,1,14),tblDaily[WardCode],"FAE")=0,"",SUMIFS(tblDaily[Discharges],tblDaily[EntryDate],DATE(2026,1,14),tblDaily[WardCode],"FAE")),"")</f>
        <v/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 t="str">
        <f>IFERROR(IF(SUMIFS(tblDaily[TransfersOut],tblDaily[EntryDate],DATE(2026,1,14),tblDaily[WardCode],"FAE")=0,"",SUMIFS(tblDaily[TransfersOut],tblDaily[EntryDate],DATE(2026,1,14),tblDaily[WardCode],"FAE")),"")</f>
        <v/>
      </c>
      <c r="H20" s="5" t="str">
        <f>IFERROR(IF(SUMIFS(tblDaily[Remaining],tblDaily[EntryDate],DATE(2026,1,14),tblDaily[WardCode],"FAE")=0,"",SUMIFS(tblDaily[Remaining],tblDaily[EntryDate],DATE(2026,1,14),tblDaily[WardCode],"FAE")),"")</f>
        <v/>
      </c>
      <c r="I20" s="5" t="str">
        <f>IFERROR(IF(SUMIFS(tblDaily[MalariaCases],tblDaily[EntryDate],DATE(2026,1,14),tblDaily[WardCode],"FAE")=0,"",SUMIFS(tblDaily[MalariaCases],tblDaily[EntryDate],DATE(2026,1,14),tblDaily[WardCode],"FAE")),"")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IFERROR(IF(SUMIFS(tblDaily[Admissions],tblDaily[EntryDate],DATE(2026,1,15),tblDaily[WardCode],"FAE")=0,"",SUMIFS(tblDaily[Admissions],tblDaily[EntryDate],DATE(2026,1,15),tblDaily[WardCode],"FAE")),"")</f>
        <v/>
      </c>
      <c r="C21" s="5" t="str">
        <f>IFERROR(IF(SUMIFS(tblDaily[Discharges],tblDaily[EntryDate],DATE(2026,1,15),tblDaily[WardCode],"FAE")=0,"",SUMIFS(tblDaily[Discharges],tblDaily[EntryDate],DATE(2026,1,15),tblDaily[WardCode],"FAE")),"")</f>
        <v/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 t="str">
        <f>IFERROR(IF(SUMIFS(tblDaily[TransfersOut],tblDaily[EntryDate],DATE(2026,1,15),tblDaily[WardCode],"FAE")=0,"",SUMIFS(tblDaily[TransfersOut],tblDaily[EntryDate],DATE(2026,1,15),tblDaily[WardCode],"FAE")),"")</f>
        <v/>
      </c>
      <c r="H21" s="5" t="str">
        <f>IFERROR(IF(SUMIFS(tblDaily[Remaining],tblDaily[EntryDate],DATE(2026,1,15),tblDaily[WardCode],"FAE")=0,"",SUMIFS(tblDaily[Remaining],tblDaily[EntryDate],DATE(2026,1,15),tblDaily[WardCode],"FAE")),"")</f>
        <v/>
      </c>
      <c r="I21" s="5" t="str">
        <f>IFERROR(IF(SUMIFS(tblDaily[MalariaCases],tblDaily[EntryDate],DATE(2026,1,15),tblDaily[WardCode],"FAE")=0,"",SUMIFS(tblDaily[MalariaCases],tblDaily[EntryDate],DATE(2026,1,15),tblDaily[WardCode],"FAE")),"")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IFERROR(IF(SUMIFS(tblDaily[Admissions],tblDaily[EntryDate],DATE(2026,1,16),tblDaily[WardCode],"FAE")=0,"",SUMIFS(tblDaily[Admissions],tblDaily[EntryDate],DATE(2026,1,16),tblDaily[WardCode],"FAE")),"")</f>
        <v/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 t="str">
        <f>IFERROR(IF(SUMIFS(tblDaily[TransfersOut],tblDaily[EntryDate],DATE(2026,1,16),tblDaily[WardCode],"FAE")=0,"",SUMIFS(tblDaily[TransfersOut],tblDaily[EntryDate],DATE(2026,1,16),tblDaily[WardCode],"FAE")),"")</f>
        <v/>
      </c>
      <c r="H22" s="5" t="str">
        <f>IFERROR(IF(SUMIFS(tblDaily[Remaining],tblDaily[EntryDate],DATE(2026,1,16),tblDaily[WardCode],"FAE")=0,"",SUMIFS(tblDaily[Remaining],tblDaily[EntryDate],DATE(2026,1,16),tblDaily[WardCode],"FAE")),"")</f>
        <v/>
      </c>
      <c r="I22" s="5" t="str">
        <f>IFERROR(IF(SUMIFS(tblDaily[MalariaCases],tblDaily[EntryDate],DATE(2026,1,16),tblDaily[WardCode],"FAE")=0,"",SUMIFS(tblDaily[MalariaCases],tblDaily[EntryDate],DATE(2026,1,16),tblDaily[WardCode],"FAE")),"")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IFERROR(IF(SUMIFS(tblDaily[Admissions],tblDaily[EntryDate],DATE(2026,1,17),tblDaily[WardCode],"FAE")=0,"",SUMIFS(tblDaily[Admissions],tblDaily[EntryDate],DATE(2026,1,17),tblDaily[WardCode],"FAE")),"")</f>
        <v/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 t="str">
        <f>IFERROR(IF(SUMIFS(tblDaily[TransfersOut],tblDaily[EntryDate],DATE(2026,1,17),tblDaily[WardCode],"FAE")=0,"",SUMIFS(tblDaily[TransfersOut],tblDaily[EntryDate],DATE(2026,1,17),tblDaily[WardCode],"FAE")),"")</f>
        <v/>
      </c>
      <c r="H23" s="5" t="str">
        <f>IFERROR(IF(SUMIFS(tblDaily[Remaining],tblDaily[EntryDate],DATE(2026,1,17),tblDaily[WardCode],"FAE")=0,"",SUMIFS(tblDaily[Remaining],tblDaily[EntryDate],DATE(2026,1,17),tblDaily[WardCode],"FAE")),"")</f>
        <v/>
      </c>
      <c r="I23" s="5" t="str">
        <f>IFERROR(IF(SUMIFS(tblDaily[MalariaCases],tblDaily[EntryDate],DATE(2026,1,17),tblDaily[WardCode],"FAE")=0,"",SUMIFS(tblDaily[MalariaCases],tblDaily[EntryDate],DATE(2026,1,17),tblDaily[WardCode],"FAE")),"")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IFERROR(IF(SUMIFS(tblDaily[Admissions],tblDaily[EntryDate],DATE(2026,1,18),tblDaily[WardCode],"FAE")=0,"",SUMIFS(tblDaily[Admissions],tblDaily[EntryDate],DATE(2026,1,18),tblDaily[WardCode],"FAE")),"")</f>
        <v/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 t="str">
        <f>IFERROR(IF(SUMIFS(tblDaily[TransfersOut],tblDaily[EntryDate],DATE(2026,1,18),tblDaily[WardCode],"FAE")=0,"",SUMIFS(tblDaily[TransfersOut],tblDaily[EntryDate],DATE(2026,1,18),tblDaily[WardCode],"FAE")),"")</f>
        <v/>
      </c>
      <c r="H24" s="5" t="str">
        <f>IFERROR(IF(SUMIFS(tblDaily[Remaining],tblDaily[EntryDate],DATE(2026,1,18),tblDaily[WardCode],"FAE")=0,"",SUMIFS(tblDaily[Remaining],tblDaily[EntryDate],DATE(2026,1,18),tblDaily[WardCode],"FAE")),"")</f>
        <v/>
      </c>
      <c r="I24" s="5" t="str">
        <f>IFERROR(IF(SUMIFS(tblDaily[MalariaCases],tblDaily[EntryDate],DATE(2026,1,18),tblDaily[WardCode],"FAE")=0,"",SUMIFS(tblDaily[MalariaCases],tblDaily[EntryDate],DATE(2026,1,18),tblDaily[WardCode],"FAE")),"")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IFERROR(IF(SUMIFS(tblDaily[Admissions],tblDaily[EntryDate],DATE(2026,1,19),tblDaily[WardCode],"FAE")=0,"",SUMIFS(tblDaily[Admissions],tblDaily[EntryDate],DATE(2026,1,19),tblDaily[WardCode],"FAE")),"")</f>
        <v/>
      </c>
      <c r="C25" s="5" t="str">
        <f>IFERROR(IF(SUMIFS(tblDaily[Discharges],tblDaily[EntryDate],DATE(2026,1,19),tblDaily[WardCode],"FAE")=0,"",SUMIFS(tblDaily[Discharges],tblDaily[EntryDate],DATE(2026,1,19),tblDaily[WardCode],"FAE")),"")</f>
        <v/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 t="str">
        <f>IFERROR(IF(SUMIFS(tblDaily[TransfersOut],tblDaily[EntryDate],DATE(2026,1,19),tblDaily[WardCode],"FAE")=0,"",SUMIFS(tblDaily[TransfersOut],tblDaily[EntryDate],DATE(2026,1,19),tblDaily[WardCode],"FAE")),"")</f>
        <v/>
      </c>
      <c r="H25" s="5" t="str">
        <f>IFERROR(IF(SUMIFS(tblDaily[Remaining],tblDaily[EntryDate],DATE(2026,1,19),tblDaily[WardCode],"FAE")=0,"",SUMIFS(tblDaily[Remaining],tblDaily[EntryDate],DATE(2026,1,19),tblDaily[WardCode],"FAE")),"")</f>
        <v/>
      </c>
      <c r="I25" s="5" t="str">
        <f>IFERROR(IF(SUMIFS(tblDaily[MalariaCases],tblDaily[EntryDate],DATE(2026,1,19),tblDaily[WardCode],"FAE")=0,"",SUMIFS(tblDaily[MalariaCases],tblDaily[EntryDate],DATE(2026,1,19),tblDaily[WardCode],"FAE")),"")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IFERROR(IF(SUMIFS(tblDaily[Admissions],tblDaily[EntryDate],DATE(2026,1,20),tblDaily[WardCode],"FAE")=0,"",SUMIFS(tblDaily[Admissions],tblDaily[EntryDate],DATE(2026,1,20),tblDaily[WardCode],"FAE")),"")</f>
        <v/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 t="str">
        <f>IFERROR(IF(SUMIFS(tblDaily[Deaths],tblDaily[EntryDate],DATE(2026,1,20),tblDaily[WardCode],"FAE")=0,"",SUMIFS(tblDaily[Deaths],tblDaily[EntryDate],DATE(2026,1,20),tblDaily[WardCode],"FAE")),"")</f>
        <v/>
      </c>
      <c r="E26" s="5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 t="str">
        <f>IFERROR(IF(SUMIFS(tblDaily[Remaining],tblDaily[EntryDate],DATE(2026,1,20),tblDaily[WardCode],"FAE")=0,"",SUMIFS(tblDaily[Remaining],tblDaily[EntryDate],DATE(2026,1,20),tblDaily[WardCode],"FAE")),"")</f>
        <v/>
      </c>
      <c r="I26" s="5" t="str">
        <f>IFERROR(IF(SUMIFS(tblDaily[MalariaCases],tblDaily[EntryDate],DATE(2026,1,20),tblDaily[WardCode],"FAE")=0,"",SUMIFS(tblDaily[MalariaCases],tblDaily[EntryDate],DATE(2026,1,20),tblDaily[WardCode],"FAE")),"")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IFERROR(IF(SUMIFS(tblDaily[Admissions],tblDaily[EntryDate],DATE(2026,1,21),tblDaily[WardCode],"FAE")=0,"",SUMIFS(tblDaily[Admissions],tblDaily[EntryDate],DATE(2026,1,21),tblDaily[WardCode],"FAE")),"")</f>
        <v/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 t="str">
        <f>IFERROR(IF(SUMIFS(tblDaily[TransfersOut],tblDaily[EntryDate],DATE(2026,1,21),tblDaily[WardCode],"FAE")=0,"",SUMIFS(tblDaily[TransfersOut],tblDaily[EntryDate],DATE(2026,1,21),tblDaily[WardCode],"FAE")),"")</f>
        <v/>
      </c>
      <c r="H27" s="5" t="str">
        <f>IFERROR(IF(SUMIFS(tblDaily[Remaining],tblDaily[EntryDate],DATE(2026,1,21),tblDaily[WardCode],"FAE")=0,"",SUMIFS(tblDaily[Remaining],tblDaily[EntryDate],DATE(2026,1,21),tblDaily[WardCode],"FAE")),"")</f>
        <v/>
      </c>
      <c r="I27" s="5" t="str">
        <f>IFERROR(IF(SUMIFS(tblDaily[MalariaCases],tblDaily[EntryDate],DATE(2026,1,21),tblDaily[WardCode],"FAE")=0,"",SUMIFS(tblDaily[MalariaCases],tblDaily[EntryDate],DATE(2026,1,21),tblDaily[WardCode],"FAE")),"")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IFERROR(IF(SUMIFS(tblDaily[Admissions],tblDaily[EntryDate],DATE(2026,1,22),tblDaily[WardCode],"FAE")=0,"",SUMIFS(tblDaily[Admissions],tblDaily[EntryDate],DATE(2026,1,22),tblDaily[WardCode],"FAE")),"")</f>
        <v/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 t="str">
        <f>IFERROR(IF(SUMIFS(tblDaily[TransfersOut],tblDaily[EntryDate],DATE(2026,1,22),tblDaily[WardCode],"FAE")=0,"",SUMIFS(tblDaily[TransfersOut],tblDaily[EntryDate],DATE(2026,1,22),tblDaily[WardCode],"FAE")),"")</f>
        <v/>
      </c>
      <c r="H28" s="5" t="str">
        <f>IFERROR(IF(SUMIFS(tblDaily[Remaining],tblDaily[EntryDate],DATE(2026,1,22),tblDaily[WardCode],"FAE")=0,"",SUMIFS(tblDaily[Remaining],tblDaily[EntryDate],DATE(2026,1,22),tblDaily[WardCode],"FAE")),"")</f>
        <v/>
      </c>
      <c r="I28" s="5" t="str">
        <f>IFERROR(IF(SUMIFS(tblDaily[MalariaCases],tblDaily[EntryDate],DATE(2026,1,22),tblDaily[WardCode],"FAE")=0,"",SUMIFS(tblDaily[MalariaCases],tblDaily[EntryDate],DATE(2026,1,22),tblDaily[WardCode],"FAE")),"")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IFERROR(IF(SUMIFS(tblDaily[Admissions],tblDaily[EntryDate],DATE(2026,1,23),tblDaily[WardCode],"FAE")=0,"",SUMIFS(tblDaily[Admissions],tblDaily[EntryDate],DATE(2026,1,23),tblDaily[WardCode],"FAE")),"")</f>
        <v/>
      </c>
      <c r="C29" s="5" t="str">
        <f>IFERROR(IF(SUMIFS(tblDaily[Discharges],tblDaily[EntryDate],DATE(2026,1,23),tblDaily[WardCode],"FAE")=0,"",SUMIFS(tblDaily[Discharges],tblDaily[EntryDate],DATE(2026,1,23),tblDaily[WardCode],"FAE")),"")</f>
        <v/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 t="str">
        <f>IFERROR(IF(SUMIFS(tblDaily[Remaining],tblDaily[EntryDate],DATE(2026,1,23),tblDaily[WardCode],"FAE")=0,"",SUMIFS(tblDaily[Remaining],tblDaily[EntryDate],DATE(2026,1,23),tblDaily[WardCode],"FAE")),"")</f>
        <v/>
      </c>
      <c r="I29" s="5" t="str">
        <f>IFERROR(IF(SUMIFS(tblDaily[MalariaCases],tblDaily[EntryDate],DATE(2026,1,23),tblDaily[WardCode],"FAE")=0,"",SUMIFS(tblDaily[MalariaCases],tblDaily[EntryDate],DATE(2026,1,23),tblDaily[WardCode],"FAE")),"")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 t="str">
        <f>IFERROR(IF(SUMIFS(tblDaily[Discharges],tblDaily[EntryDate],DATE(2026,1,24),tblDaily[WardCode],"FAE")=0,"",SUMIFS(tblDaily[Discharges],tblDaily[EntryDate],DATE(2026,1,24),tblDaily[WardCode],"FAE")),"")</f>
        <v/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 t="str">
        <f>IFERROR(IF(SUMIFS(tblDaily[TransfersOut],tblDaily[EntryDate],DATE(2026,1,24),tblDaily[WardCode],"FAE")=0,"",SUMIFS(tblDaily[TransfersOut],tblDaily[EntryDate],DATE(2026,1,24),tblDaily[WardCode],"FAE")),"")</f>
        <v/>
      </c>
      <c r="H30" s="5" t="str">
        <f>IFERROR(IF(SUMIFS(tblDaily[Remaining],tblDaily[EntryDate],DATE(2026,1,24),tblDaily[WardCode],"FAE")=0,"",SUMIFS(tblDaily[Remaining],tblDaily[EntryDate],DATE(2026,1,24),tblDaily[WardCode],"FAE")),"")</f>
        <v/>
      </c>
      <c r="I30" s="5" t="str">
        <f>IFERROR(IF(SUMIFS(tblDaily[MalariaCases],tblDaily[EntryDate],DATE(2026,1,24),tblDaily[WardCode],"FAE")=0,"",SUMIFS(tblDaily[MalariaCases],tblDaily[EntryDate],DATE(2026,1,24),tblDaily[WardCode],"FAE")),"")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IFERROR(IF(SUMIFS(tblDaily[Admissions],tblDaily[EntryDate],DATE(2026,1,25),tblDaily[WardCode],"FAE")=0,"",SUMIFS(tblDaily[Admissions],tblDaily[EntryDate],DATE(2026,1,25),tblDaily[WardCode],"FAE")),"")</f>
        <v/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 t="str">
        <f>IFERROR(IF(SUMIFS(tblDaily[Remaining],tblDaily[EntryDate],DATE(2026,1,25),tblDaily[WardCode],"FAE")=0,"",SUMIFS(tblDaily[Remaining],tblDaily[EntryDate],DATE(2026,1,25),tblDaily[WardCode],"FAE")),"")</f>
        <v/>
      </c>
      <c r="I31" s="5" t="str">
        <f>IFERROR(IF(SUMIFS(tblDaily[MalariaCases],tblDaily[EntryDate],DATE(2026,1,25),tblDaily[WardCode],"FAE")=0,"",SUMIFS(tblDaily[MalariaCases],tblDaily[EntryDate],DATE(2026,1,25),tblDaily[WardCode],"FAE")),"")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 t="str">
        <f>IFERROR(IF(SUMIFS(tblDaily[TransfersOut],tblDaily[EntryDate],DATE(2026,1,26),tblDaily[WardCode],"FAE")=0,"",SUMIFS(tblDaily[TransfersOut],tblDaily[EntryDate],DATE(2026,1,26),tblDaily[WardCode],"FAE")),"")</f>
        <v/>
      </c>
      <c r="H32" s="5" t="str">
        <f>IFERROR(IF(SUMIFS(tblDaily[Remaining],tblDaily[EntryDate],DATE(2026,1,26),tblDaily[WardCode],"FAE")=0,"",SUMIFS(tblDaily[Remaining],tblDaily[EntryDate],DATE(2026,1,26),tblDaily[WardCode],"FAE")),"")</f>
        <v/>
      </c>
      <c r="I32" s="5" t="str">
        <f>IFERROR(IF(SUMIFS(tblDaily[MalariaCases],tblDaily[EntryDate],DATE(2026,1,26),tblDaily[WardCode],"FAE")=0,"",SUMIFS(tblDaily[MalariaCases],tblDaily[EntryDate],DATE(2026,1,26),tblDaily[WardCode],"FAE")),"")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IFERROR(IF(SUMIFS(tblDaily[Admissions],tblDaily[EntryDate],DATE(2026,1,27),tblDaily[WardCode],"FAE")=0,"",SUMIFS(tblDaily[Admissions],tblDaily[EntryDate],DATE(2026,1,27),tblDaily[WardCode],"FAE")),"")</f>
        <v/>
      </c>
      <c r="C33" s="5" t="str">
        <f>IFERROR(IF(SUMIFS(tblDaily[Discharges],tblDaily[EntryDate],DATE(2026,1,27),tblDaily[WardCode],"FAE")=0,"",SUMIFS(tblDaily[Discharges],tblDaily[EntryDate],DATE(2026,1,27),tblDaily[WardCode],"FAE")),"")</f>
        <v/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 t="str">
        <f>IFERROR(IF(SUMIFS(tblDaily[TransfersOut],tblDaily[EntryDate],DATE(2026,1,27),tblDaily[WardCode],"FAE")=0,"",SUMIFS(tblDaily[TransfersOut],tblDaily[EntryDate],DATE(2026,1,27),tblDaily[WardCode],"FAE")),"")</f>
        <v/>
      </c>
      <c r="H33" s="5" t="str">
        <f>IFERROR(IF(SUMIFS(tblDaily[Remaining],tblDaily[EntryDate],DATE(2026,1,27),tblDaily[WardCode],"FAE")=0,"",SUMIFS(tblDaily[Remaining],tblDaily[EntryDate],DATE(2026,1,27),tblDaily[WardCode],"FAE")),"")</f>
        <v/>
      </c>
      <c r="I33" s="5" t="str">
        <f>IFERROR(IF(SUMIFS(tblDaily[MalariaCases],tblDaily[EntryDate],DATE(2026,1,27),tblDaily[WardCode],"FAE")=0,"",SUMIFS(tblDaily[MalariaCases],tblDaily[EntryDate],DATE(2026,1,27),tblDaily[WardCode],"FAE")),"")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IFERROR(IF(SUMIFS(tblDaily[Admissions],tblDaily[EntryDate],DATE(2026,1,28),tblDaily[WardCode],"FAE")=0,"",SUMIFS(tblDaily[Admissions],tblDaily[EntryDate],DATE(2026,1,28),tblDaily[WardCode],"FAE")),"")</f>
        <v/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 t="str">
        <f>IFERROR(IF(SUMIFS(tblDaily[TransfersOut],tblDaily[EntryDate],DATE(2026,1,28),tblDaily[WardCode],"FAE")=0,"",SUMIFS(tblDaily[TransfersOut],tblDaily[EntryDate],DATE(2026,1,28),tblDaily[WardCode],"FAE")),"")</f>
        <v/>
      </c>
      <c r="H34" s="5" t="str">
        <f>IFERROR(IF(SUMIFS(tblDaily[Remaining],tblDaily[EntryDate],DATE(2026,1,28),tblDaily[WardCode],"FAE")=0,"",SUMIFS(tblDaily[Remaining],tblDaily[EntryDate],DATE(2026,1,28),tblDaily[WardCode],"FAE")),"")</f>
        <v/>
      </c>
      <c r="I34" s="5" t="str">
        <f>IFERROR(IF(SUMIFS(tblDaily[MalariaCases],tblDaily[EntryDate],DATE(2026,1,28),tblDaily[WardCode],"FAE")=0,"",SUMIFS(tblDaily[MalariaCases],tblDaily[EntryDate],DATE(2026,1,28),tblDaily[WardCode],"FAE")),"")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IFERROR(IF(SUMIFS(tblDaily[Admissions],tblDaily[EntryDate],DATE(2026,1,29),tblDaily[WardCode],"FAE")=0,"",SUMIFS(tblDaily[Admissions],tblDaily[EntryDate],DATE(2026,1,29),tblDaily[WardCode],"FAE")),"")</f>
        <v/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 t="str">
        <f>IFERROR(IF(SUMIFS(tblDaily[TransfersOut],tblDaily[EntryDate],DATE(2026,1,29),tblDaily[WardCode],"FAE")=0,"",SUMIFS(tblDaily[TransfersOut],tblDaily[EntryDate],DATE(2026,1,29),tblDaily[WardCode],"FAE")),"")</f>
        <v/>
      </c>
      <c r="H35" s="5" t="str">
        <f>IFERROR(IF(SUMIFS(tblDaily[Remaining],tblDaily[EntryDate],DATE(2026,1,29),tblDaily[WardCode],"FAE")=0,"",SUMIFS(tblDaily[Remaining],tblDaily[EntryDate],DATE(2026,1,29),tblDaily[WardCode],"FAE")),"")</f>
        <v/>
      </c>
      <c r="I35" s="5" t="str">
        <f>IFERROR(IF(SUMIFS(tblDaily[MalariaCases],tblDaily[EntryDate],DATE(2026,1,29),tblDaily[WardCode],"FAE")=0,"",SUMIFS(tblDaily[MalariaCases],tblDaily[EntryDate],DATE(2026,1,29),tblDaily[WardCode],"FAE")),"")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IFERROR(IF(SUMIFS(tblDaily[Admissions],tblDaily[EntryDate],DATE(2026,1,30),tblDaily[WardCode],"FAE")=0,"",SUMIFS(tblDaily[Admissions],tblDaily[EntryDate],DATE(2026,1,30),tblDaily[WardCode],"FAE")),"")</f>
        <v/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 t="str">
        <f>IFERROR(IF(SUMIFS(tblDaily[TransfersOut],tblDaily[EntryDate],DATE(2026,1,30),tblDaily[WardCode],"FAE")=0,"",SUMIFS(tblDaily[TransfersOut],tblDaily[EntryDate],DATE(2026,1,30),tblDaily[WardCode],"FAE")),"")</f>
        <v/>
      </c>
      <c r="H36" s="5" t="str">
        <f>IFERROR(IF(SUMIFS(tblDaily[Remaining],tblDaily[EntryDate],DATE(2026,1,30),tblDaily[WardCode],"FAE")=0,"",SUMIFS(tblDaily[Remaining],tblDaily[EntryDate],DATE(2026,1,30),tblDaily[WardCode],"FAE")),"")</f>
        <v/>
      </c>
      <c r="I36" s="5" t="str">
        <f>IFERROR(IF(SUMIFS(tblDaily[MalariaCases],tblDaily[EntryDate],DATE(2026,1,30),tblDaily[WardCode],"FAE")=0,"",SUMIFS(tblDaily[MalariaCases],tblDaily[EntryDate],DATE(2026,1,30),tblDaily[WardCode],"FAE")),"")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IFERROR(IF(SUMIFS(tblDaily[Admissions],tblDaily[EntryDate],DATE(2026,1,31),tblDaily[WardCode],"FAE")=0,"",SUMIFS(tblDaily[Admissions],tblDaily[EntryDate],DATE(2026,1,31),tblDaily[WardCode],"FAE")),"")</f>
        <v/>
      </c>
      <c r="C37" s="5" t="str">
        <f>IFERROR(IF(SUMIFS(tblDaily[Discharges],tblDaily[EntryDate],DATE(2026,1,31),tblDaily[WardCode],"FAE")=0,"",SUMIFS(tblDaily[Discharges],tblDaily[EntryDate],DATE(2026,1,31),tblDaily[WardCode],"FAE")),"")</f>
        <v/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 t="str">
        <f>IFERROR(IF(SUMIFS(tblDaily[TransfersOut],tblDaily[EntryDate],DATE(2026,1,31),tblDaily[WardCode],"FAE")=0,"",SUMIFS(tblDaily[TransfersOut],tblDaily[EntryDate],DATE(2026,1,31),tblDaily[WardCode],"FAE")),"")</f>
        <v/>
      </c>
      <c r="H37" s="5" t="str">
        <f>IFERROR(IF(SUMIFS(tblDaily[Remaining],tblDaily[EntryDate],DATE(2026,1,31),tblDaily[WardCode],"FAE")=0,"",SUMIFS(tblDaily[Remaining],tblDaily[EntryDate],DATE(2026,1,31),tblDaily[WardCode],"FAE")),"")</f>
        <v/>
      </c>
      <c r="I37" s="5" t="str">
        <f>IFERROR(IF(SUMIFS(tblDaily[MalariaCases],tblDaily[EntryDate],DATE(2026,1,31),tblDaily[WardCode],"FAE")=0,"",SUMIFS(tblDaily[MalariaCases],tblDaily[EntryDate],DATE(2026,1,31),tblDaily[WardCode],"FAE")),"")</f>
        <v/>
      </c>
    </row>
    <row r="38" spans="1:9" x14ac:dyDescent="0.25">
      <c r="A38" s="9" t="s">
        <v>94</v>
      </c>
      <c r="B38" s="9">
        <f>SUMIFS(tblDaily[Admissions],tblDaily[Month],1,tblDaily[WardCode],"FAE")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102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IFERROR(SUMIFS(tblDaily[Remaining],tblDaily[EntryDate],DATE(2026,1,31),tblDaily[WardCode],"FAE"),0)</f>
        <v>0</v>
      </c>
    </row>
    <row r="44" spans="1:9" x14ac:dyDescent="0.25">
      <c r="A44" s="1" t="s">
        <v>87</v>
      </c>
      <c r="H44" s="7">
        <f>IFERROR(INDEX(tblWardConfig[BedComplement],MATCH("FAE",tblWardConfig[Export Year-End],0)),0)</f>
        <v>10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  <c r="I46" s="5" t="str">
        <f>IFERROR(IF(SUMIFS(tblDaily[MalariaCases],tblDaily[EntryDate],DATE(2026,2,1),tblDaily[WardCode],"FAE")=0,"",SUMIFS(tblDaily[MalariaCases],tblDaily[EntryDate],DATE(2026,2,1),tblDaily[WardCode],"FAE")),"")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  <c r="I47" s="5" t="str">
        <f>IFERROR(IF(SUMIFS(tblDaily[MalariaCases],tblDaily[EntryDate],DATE(2026,2,2),tblDaily[WardCode],"FAE")=0,"",SUMIFS(tblDaily[MalariaCases],tblDaily[EntryDate],DATE(2026,2,2),tblDaily[WardCode],"FAE")),"")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  <c r="I48" s="5" t="str">
        <f>IFERROR(IF(SUMIFS(tblDaily[MalariaCases],tblDaily[EntryDate],DATE(2026,2,3),tblDaily[WardCode],"FAE")=0,"",SUMIFS(tblDaily[MalariaCases],tblDaily[EntryDate],DATE(2026,2,3),tblDaily[WardCode],"FAE")),"")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  <c r="I49" s="5" t="str">
        <f>IFERROR(IF(SUMIFS(tblDaily[MalariaCases],tblDaily[EntryDate],DATE(2026,2,4),tblDaily[WardCode],"FAE")=0,"",SUMIFS(tblDaily[MalariaCases],tblDaily[EntryDate],DATE(2026,2,4),tblDaily[WardCode],"FAE")),"")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  <c r="I50" s="5" t="str">
        <f>IFERROR(IF(SUMIFS(tblDaily[MalariaCases],tblDaily[EntryDate],DATE(2026,2,5),tblDaily[WardCode],"FAE")=0,"",SUMIFS(tblDaily[MalariaCases],tblDaily[EntryDate],DATE(2026,2,5),tblDaily[WardCode],"FAE")),"")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  <c r="I51" s="5" t="str">
        <f>IFERROR(IF(SUMIFS(tblDaily[MalariaCases],tblDaily[EntryDate],DATE(2026,2,6),tblDaily[WardCode],"FAE")=0,"",SUMIFS(tblDaily[MalariaCases],tblDaily[EntryDate],DATE(2026,2,6),tblDaily[WardCode],"FAE")),"")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  <c r="I52" s="5" t="str">
        <f>IFERROR(IF(SUMIFS(tblDaily[MalariaCases],tblDaily[EntryDate],DATE(2026,2,7),tblDaily[WardCode],"FAE")=0,"",SUMIFS(tblDaily[MalariaCases],tblDaily[EntryDate],DATE(2026,2,7),tblDaily[WardCode],"FAE")),"")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  <c r="I53" s="5" t="str">
        <f>IFERROR(IF(SUMIFS(tblDaily[MalariaCases],tblDaily[EntryDate],DATE(2026,2,8),tblDaily[WardCode],"FAE")=0,"",SUMIFS(tblDaily[MalariaCases],tblDaily[EntryDate],DATE(2026,2,8),tblDaily[WardCode],"FAE")),"")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  <c r="I54" s="5" t="str">
        <f>IFERROR(IF(SUMIFS(tblDaily[MalariaCases],tblDaily[EntryDate],DATE(2026,2,9),tblDaily[WardCode],"FAE")=0,"",SUMIFS(tblDaily[MalariaCases],tblDaily[EntryDate],DATE(2026,2,9),tblDaily[WardCode],"FAE")),"")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  <c r="I55" s="5" t="str">
        <f>IFERROR(IF(SUMIFS(tblDaily[MalariaCases],tblDaily[EntryDate],DATE(2026,2,10),tblDaily[WardCode],"FAE")=0,"",SUMIFS(tblDaily[MalariaCases],tblDaily[EntryDate],DATE(2026,2,10),tblDaily[WardCode],"FAE")),"")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  <c r="I56" s="5" t="str">
        <f>IFERROR(IF(SUMIFS(tblDaily[MalariaCases],tblDaily[EntryDate],DATE(2026,2,11),tblDaily[WardCode],"FAE")=0,"",SUMIFS(tblDaily[MalariaCases],tblDaily[EntryDate],DATE(2026,2,11),tblDaily[WardCode],"FAE")),"")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  <c r="I57" s="5" t="str">
        <f>IFERROR(IF(SUMIFS(tblDaily[MalariaCases],tblDaily[EntryDate],DATE(2026,2,12),tblDaily[WardCode],"FAE")=0,"",SUMIFS(tblDaily[MalariaCases],tblDaily[EntryDate],DATE(2026,2,12),tblDaily[WardCode],"FAE")),"")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  <c r="I58" s="5" t="str">
        <f>IFERROR(IF(SUMIFS(tblDaily[MalariaCases],tblDaily[EntryDate],DATE(2026,2,13),tblDaily[WardCode],"FAE")=0,"",SUMIFS(tblDaily[MalariaCases],tblDaily[EntryDate],DATE(2026,2,13),tblDaily[WardCode],"FAE")),"")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  <c r="I59" s="5" t="str">
        <f>IFERROR(IF(SUMIFS(tblDaily[MalariaCases],tblDaily[EntryDate],DATE(2026,2,14),tblDaily[WardCode],"FAE")=0,"",SUMIFS(tblDaily[MalariaCases],tblDaily[EntryDate],DATE(2026,2,14),tblDaily[WardCode],"FAE")),"")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  <c r="I60" s="5" t="str">
        <f>IFERROR(IF(SUMIFS(tblDaily[MalariaCases],tblDaily[EntryDate],DATE(2026,2,15),tblDaily[WardCode],"FAE")=0,"",SUMIFS(tblDaily[MalariaCases],tblDaily[EntryDate],DATE(2026,2,15),tblDaily[WardCode],"FAE")),"")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  <c r="I61" s="5" t="str">
        <f>IFERROR(IF(SUMIFS(tblDaily[MalariaCases],tblDaily[EntryDate],DATE(2026,2,16),tblDaily[WardCode],"FAE")=0,"",SUMIFS(tblDaily[MalariaCases],tblDaily[EntryDate],DATE(2026,2,16),tblDaily[WardCode],"FAE")),"")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  <c r="I62" s="5" t="str">
        <f>IFERROR(IF(SUMIFS(tblDaily[MalariaCases],tblDaily[EntryDate],DATE(2026,2,17),tblDaily[WardCode],"FAE")=0,"",SUMIFS(tblDaily[MalariaCases],tblDaily[EntryDate],DATE(2026,2,17),tblDaily[WardCode],"FAE")),"")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  <c r="I63" s="5" t="str">
        <f>IFERROR(IF(SUMIFS(tblDaily[MalariaCases],tblDaily[EntryDate],DATE(2026,2,18),tblDaily[WardCode],"FAE")=0,"",SUMIFS(tblDaily[MalariaCases],tblDaily[EntryDate],DATE(2026,2,18),tblDaily[WardCode],"FAE")),"")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  <c r="I64" s="5" t="str">
        <f>IFERROR(IF(SUMIFS(tblDaily[MalariaCases],tblDaily[EntryDate],DATE(2026,2,19),tblDaily[WardCode],"FAE")=0,"",SUMIFS(tblDaily[MalariaCases],tblDaily[EntryDate],DATE(2026,2,19),tblDaily[WardCode],"FAE")),"")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  <c r="I65" s="5" t="str">
        <f>IFERROR(IF(SUMIFS(tblDaily[MalariaCases],tblDaily[EntryDate],DATE(2026,2,20),tblDaily[WardCode],"FAE")=0,"",SUMIFS(tblDaily[MalariaCases],tblDaily[EntryDate],DATE(2026,2,20),tblDaily[WardCode],"FAE")),"")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  <c r="I66" s="5" t="str">
        <f>IFERROR(IF(SUMIFS(tblDaily[MalariaCases],tblDaily[EntryDate],DATE(2026,2,21),tblDaily[WardCode],"FAE")=0,"",SUMIFS(tblDaily[MalariaCases],tblDaily[EntryDate],DATE(2026,2,21),tblDaily[WardCode],"FAE")),"")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  <c r="I67" s="5" t="str">
        <f>IFERROR(IF(SUMIFS(tblDaily[MalariaCases],tblDaily[EntryDate],DATE(2026,2,22),tblDaily[WardCode],"FAE")=0,"",SUMIFS(tblDaily[MalariaCases],tblDaily[EntryDate],DATE(2026,2,22),tblDaily[WardCode],"FAE")),"")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  <c r="I68" s="5" t="str">
        <f>IFERROR(IF(SUMIFS(tblDaily[MalariaCases],tblDaily[EntryDate],DATE(2026,2,23),tblDaily[WardCode],"FAE")=0,"",SUMIFS(tblDaily[MalariaCases],tblDaily[EntryDate],DATE(2026,2,23),tblDaily[WardCode],"FAE")),"")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  <c r="I69" s="5" t="str">
        <f>IFERROR(IF(SUMIFS(tblDaily[MalariaCases],tblDaily[EntryDate],DATE(2026,2,24),tblDaily[WardCode],"FAE")=0,"",SUMIFS(tblDaily[MalariaCases],tblDaily[EntryDate],DATE(2026,2,24),tblDaily[WardCode],"FAE")),"")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  <c r="I70" s="5" t="str">
        <f>IFERROR(IF(SUMIFS(tblDaily[MalariaCases],tblDaily[EntryDate],DATE(2026,2,25),tblDaily[WardCode],"FAE")=0,"",SUMIFS(tblDaily[MalariaCases],tblDaily[EntryDate],DATE(2026,2,25),tblDaily[WardCode],"FAE")),"")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  <c r="I71" s="5" t="str">
        <f>IFERROR(IF(SUMIFS(tblDaily[MalariaCases],tblDaily[EntryDate],DATE(2026,2,26),tblDaily[WardCode],"FAE")=0,"",SUMIFS(tblDaily[MalariaCases],tblDaily[EntryDate],DATE(2026,2,26),tblDaily[WardCode],"FAE")),"")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  <c r="I72" s="5" t="str">
        <f>IFERROR(IF(SUMIFS(tblDaily[MalariaCases],tblDaily[EntryDate],DATE(2026,2,27),tblDaily[WardCode],"FAE")=0,"",SUMIFS(tblDaily[MalariaCases],tblDaily[EntryDate],DATE(2026,2,27),tblDaily[WardCode],"FAE")),"")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  <c r="I73" s="5" t="str">
        <f>IFERROR(IF(SUMIFS(tblDaily[MalariaCases],tblDaily[EntryDate],DATE(2026,2,28),tblDaily[WardCode],"FAE")=0,"",SUMIFS(tblDaily[MalariaCases],tblDaily[EntryDate],DATE(2026,2,28),tblDaily[WardCode],"FAE")),"")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102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IFERROR(SUMIFS(tblDaily[Remaining],tblDaily[EntryDate],DATE(2026,2,28),tblDaily[WardCode],"FAE"),0)</f>
        <v>0</v>
      </c>
    </row>
    <row r="83" spans="1:9" x14ac:dyDescent="0.25">
      <c r="A83" s="1" t="s">
        <v>87</v>
      </c>
      <c r="H83" s="7">
        <f>IFERROR(INDEX(tblWardConfig[BedComplement],MATCH("FAE",tblWardConfig[Export Year-End],0)),0)</f>
        <v>10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  <c r="I85" s="5" t="str">
        <f>IFERROR(IF(SUMIFS(tblDaily[MalariaCases],tblDaily[EntryDate],DATE(2026,3,1),tblDaily[WardCode],"FAE")=0,"",SUMIFS(tblDaily[MalariaCases],tblDaily[EntryDate],DATE(2026,3,1),tblDaily[WardCode],"FAE")),"")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  <c r="I86" s="5" t="str">
        <f>IFERROR(IF(SUMIFS(tblDaily[MalariaCases],tblDaily[EntryDate],DATE(2026,3,2),tblDaily[WardCode],"FAE")=0,"",SUMIFS(tblDaily[MalariaCases],tblDaily[EntryDate],DATE(2026,3,2),tblDaily[WardCode],"FAE")),"")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  <c r="I87" s="5" t="str">
        <f>IFERROR(IF(SUMIFS(tblDaily[MalariaCases],tblDaily[EntryDate],DATE(2026,3,3),tblDaily[WardCode],"FAE")=0,"",SUMIFS(tblDaily[MalariaCases],tblDaily[EntryDate],DATE(2026,3,3),tblDaily[WardCode],"FAE")),"")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  <c r="I88" s="5" t="str">
        <f>IFERROR(IF(SUMIFS(tblDaily[MalariaCases],tblDaily[EntryDate],DATE(2026,3,4),tblDaily[WardCode],"FAE")=0,"",SUMIFS(tblDaily[MalariaCases],tblDaily[EntryDate],DATE(2026,3,4),tblDaily[WardCode],"FAE")),"")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  <c r="I89" s="5" t="str">
        <f>IFERROR(IF(SUMIFS(tblDaily[MalariaCases],tblDaily[EntryDate],DATE(2026,3,5),tblDaily[WardCode],"FAE")=0,"",SUMIFS(tblDaily[MalariaCases],tblDaily[EntryDate],DATE(2026,3,5),tblDaily[WardCode],"FAE")),"")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  <c r="I90" s="5" t="str">
        <f>IFERROR(IF(SUMIFS(tblDaily[MalariaCases],tblDaily[EntryDate],DATE(2026,3,6),tblDaily[WardCode],"FAE")=0,"",SUMIFS(tblDaily[MalariaCases],tblDaily[EntryDate],DATE(2026,3,6),tblDaily[WardCode],"FAE")),"")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  <c r="I91" s="5" t="str">
        <f>IFERROR(IF(SUMIFS(tblDaily[MalariaCases],tblDaily[EntryDate],DATE(2026,3,7),tblDaily[WardCode],"FAE")=0,"",SUMIFS(tblDaily[MalariaCases],tblDaily[EntryDate],DATE(2026,3,7),tblDaily[WardCode],"FAE")),"")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  <c r="I92" s="5" t="str">
        <f>IFERROR(IF(SUMIFS(tblDaily[MalariaCases],tblDaily[EntryDate],DATE(2026,3,8),tblDaily[WardCode],"FAE")=0,"",SUMIFS(tblDaily[MalariaCases],tblDaily[EntryDate],DATE(2026,3,8),tblDaily[WardCode],"FAE")),"")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  <c r="I93" s="5" t="str">
        <f>IFERROR(IF(SUMIFS(tblDaily[MalariaCases],tblDaily[EntryDate],DATE(2026,3,9),tblDaily[WardCode],"FAE")=0,"",SUMIFS(tblDaily[MalariaCases],tblDaily[EntryDate],DATE(2026,3,9),tblDaily[WardCode],"FAE")),"")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  <c r="I94" s="5" t="str">
        <f>IFERROR(IF(SUMIFS(tblDaily[MalariaCases],tblDaily[EntryDate],DATE(2026,3,10),tblDaily[WardCode],"FAE")=0,"",SUMIFS(tblDaily[MalariaCases],tblDaily[EntryDate],DATE(2026,3,10),tblDaily[WardCode],"FAE")),"")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  <c r="I95" s="5" t="str">
        <f>IFERROR(IF(SUMIFS(tblDaily[MalariaCases],tblDaily[EntryDate],DATE(2026,3,11),tblDaily[WardCode],"FAE")=0,"",SUMIFS(tblDaily[MalariaCases],tblDaily[EntryDate],DATE(2026,3,11),tblDaily[WardCode],"FAE")),"")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  <c r="I96" s="5" t="str">
        <f>IFERROR(IF(SUMIFS(tblDaily[MalariaCases],tblDaily[EntryDate],DATE(2026,3,12),tblDaily[WardCode],"FAE")=0,"",SUMIFS(tblDaily[MalariaCases],tblDaily[EntryDate],DATE(2026,3,12),tblDaily[WardCode],"FAE")),"")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  <c r="I97" s="5" t="str">
        <f>IFERROR(IF(SUMIFS(tblDaily[MalariaCases],tblDaily[EntryDate],DATE(2026,3,13),tblDaily[WardCode],"FAE")=0,"",SUMIFS(tblDaily[MalariaCases],tblDaily[EntryDate],DATE(2026,3,13),tblDaily[WardCode],"FAE")),"")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  <c r="I98" s="5" t="str">
        <f>IFERROR(IF(SUMIFS(tblDaily[MalariaCases],tblDaily[EntryDate],DATE(2026,3,14),tblDaily[WardCode],"FAE")=0,"",SUMIFS(tblDaily[MalariaCases],tblDaily[EntryDate],DATE(2026,3,14),tblDaily[WardCode],"FAE")),"")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  <c r="I99" s="5" t="str">
        <f>IFERROR(IF(SUMIFS(tblDaily[MalariaCases],tblDaily[EntryDate],DATE(2026,3,15),tblDaily[WardCode],"FAE")=0,"",SUMIFS(tblDaily[MalariaCases],tblDaily[EntryDate],DATE(2026,3,15),tblDaily[WardCode],"FAE")),"")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  <c r="I100" s="5" t="str">
        <f>IFERROR(IF(SUMIFS(tblDaily[MalariaCases],tblDaily[EntryDate],DATE(2026,3,16),tblDaily[WardCode],"FAE")=0,"",SUMIFS(tblDaily[MalariaCases],tblDaily[EntryDate],DATE(2026,3,16),tblDaily[WardCode],"FAE")),"")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  <c r="I101" s="5" t="str">
        <f>IFERROR(IF(SUMIFS(tblDaily[MalariaCases],tblDaily[EntryDate],DATE(2026,3,17),tblDaily[WardCode],"FAE")=0,"",SUMIFS(tblDaily[MalariaCases],tblDaily[EntryDate],DATE(2026,3,17),tblDaily[WardCode],"FAE")),"")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  <c r="I102" s="5" t="str">
        <f>IFERROR(IF(SUMIFS(tblDaily[MalariaCases],tblDaily[EntryDate],DATE(2026,3,18),tblDaily[WardCode],"FAE")=0,"",SUMIFS(tblDaily[MalariaCases],tblDaily[EntryDate],DATE(2026,3,18),tblDaily[WardCode],"FAE")),"")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  <c r="I103" s="5" t="str">
        <f>IFERROR(IF(SUMIFS(tblDaily[MalariaCases],tblDaily[EntryDate],DATE(2026,3,19),tblDaily[WardCode],"FAE")=0,"",SUMIFS(tblDaily[MalariaCases],tblDaily[EntryDate],DATE(2026,3,19),tblDaily[WardCode],"FAE")),"")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  <c r="I104" s="5" t="str">
        <f>IFERROR(IF(SUMIFS(tblDaily[MalariaCases],tblDaily[EntryDate],DATE(2026,3,20),tblDaily[WardCode],"FAE")=0,"",SUMIFS(tblDaily[MalariaCases],tblDaily[EntryDate],DATE(2026,3,20),tblDaily[WardCode],"FAE")),"")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  <c r="I105" s="5" t="str">
        <f>IFERROR(IF(SUMIFS(tblDaily[MalariaCases],tblDaily[EntryDate],DATE(2026,3,21),tblDaily[WardCode],"FAE")=0,"",SUMIFS(tblDaily[MalariaCases],tblDaily[EntryDate],DATE(2026,3,21),tblDaily[WardCode],"FAE")),"")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  <c r="I106" s="5" t="str">
        <f>IFERROR(IF(SUMIFS(tblDaily[MalariaCases],tblDaily[EntryDate],DATE(2026,3,22),tblDaily[WardCode],"FAE")=0,"",SUMIFS(tblDaily[MalariaCases],tblDaily[EntryDate],DATE(2026,3,22),tblDaily[WardCode],"FAE")),"")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  <c r="I107" s="5" t="str">
        <f>IFERROR(IF(SUMIFS(tblDaily[MalariaCases],tblDaily[EntryDate],DATE(2026,3,23),tblDaily[WardCode],"FAE")=0,"",SUMIFS(tblDaily[MalariaCases],tblDaily[EntryDate],DATE(2026,3,23),tblDaily[WardCode],"FAE")),"")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  <c r="I108" s="5" t="str">
        <f>IFERROR(IF(SUMIFS(tblDaily[MalariaCases],tblDaily[EntryDate],DATE(2026,3,24),tblDaily[WardCode],"FAE")=0,"",SUMIFS(tblDaily[MalariaCases],tblDaily[EntryDate],DATE(2026,3,24),tblDaily[WardCode],"FAE")),"")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  <c r="I109" s="5" t="str">
        <f>IFERROR(IF(SUMIFS(tblDaily[MalariaCases],tblDaily[EntryDate],DATE(2026,3,25),tblDaily[WardCode],"FAE")=0,"",SUMIFS(tblDaily[MalariaCases],tblDaily[EntryDate],DATE(2026,3,25),tblDaily[WardCode],"FAE")),"")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  <c r="I110" s="5" t="str">
        <f>IFERROR(IF(SUMIFS(tblDaily[MalariaCases],tblDaily[EntryDate],DATE(2026,3,26),tblDaily[WardCode],"FAE")=0,"",SUMIFS(tblDaily[MalariaCases],tblDaily[EntryDate],DATE(2026,3,26),tblDaily[WardCode],"FAE")),"")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  <c r="I111" s="5" t="str">
        <f>IFERROR(IF(SUMIFS(tblDaily[MalariaCases],tblDaily[EntryDate],DATE(2026,3,27),tblDaily[WardCode],"FAE")=0,"",SUMIFS(tblDaily[MalariaCases],tblDaily[EntryDate],DATE(2026,3,27),tblDaily[WardCode],"FAE")),"")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  <c r="I112" s="5" t="str">
        <f>IFERROR(IF(SUMIFS(tblDaily[MalariaCases],tblDaily[EntryDate],DATE(2026,3,28),tblDaily[WardCode],"FAE")=0,"",SUMIFS(tblDaily[MalariaCases],tblDaily[EntryDate],DATE(2026,3,28),tblDaily[WardCode],"FAE")),"")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  <c r="I113" s="5" t="str">
        <f>IFERROR(IF(SUMIFS(tblDaily[MalariaCases],tblDaily[EntryDate],DATE(2026,3,29),tblDaily[WardCode],"FAE")=0,"",SUMIFS(tblDaily[MalariaCases],tblDaily[EntryDate],DATE(2026,3,29),tblDaily[WardCode],"FAE")),"")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  <c r="I114" s="5" t="str">
        <f>IFERROR(IF(SUMIFS(tblDaily[MalariaCases],tblDaily[EntryDate],DATE(2026,3,30),tblDaily[WardCode],"FAE")=0,"",SUMIFS(tblDaily[MalariaCases],tblDaily[EntryDate],DATE(2026,3,30),tblDaily[WardCode],"FAE")),"")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  <c r="I115" s="5" t="str">
        <f>IFERROR(IF(SUMIFS(tblDaily[MalariaCases],tblDaily[EntryDate],DATE(2026,3,31),tblDaily[WardCode],"FAE")=0,"",SUMIFS(tblDaily[MalariaCases],tblDaily[EntryDate],DATE(2026,3,31),tblDaily[WardCode],"FAE")),"")</f>
        <v/>
      </c>
    </row>
    <row r="116" spans="1:9" x14ac:dyDescent="0.25">
      <c r="A116" s="9" t="s">
        <v>94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102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IFERROR(SUMIFS(tblDaily[Remaining],tblDaily[EntryDate],DATE(2026,3,31),tblDaily[WardCode],"FAE"),0)</f>
        <v>0</v>
      </c>
    </row>
    <row r="122" spans="1:9" x14ac:dyDescent="0.25">
      <c r="A122" s="1" t="s">
        <v>87</v>
      </c>
      <c r="H122" s="7">
        <f>IFERROR(INDEX(tblWardConfig[BedComplement],MATCH("FAE",tblWardConfig[Export Year-End],0)),0)</f>
        <v>10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  <c r="I124" s="5" t="str">
        <f>IFERROR(IF(SUMIFS(tblDaily[MalariaCases],tblDaily[EntryDate],DATE(2026,4,1),tblDaily[WardCode],"FAE")=0,"",SUMIFS(tblDaily[MalariaCases],tblDaily[EntryDate],DATE(2026,4,1),tblDaily[WardCode],"FAE")),"")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  <c r="I125" s="5" t="str">
        <f>IFERROR(IF(SUMIFS(tblDaily[MalariaCases],tblDaily[EntryDate],DATE(2026,4,2),tblDaily[WardCode],"FAE")=0,"",SUMIFS(tblDaily[MalariaCases],tblDaily[EntryDate],DATE(2026,4,2),tblDaily[WardCode],"FAE")),"")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  <c r="I126" s="5" t="str">
        <f>IFERROR(IF(SUMIFS(tblDaily[MalariaCases],tblDaily[EntryDate],DATE(2026,4,3),tblDaily[WardCode],"FAE")=0,"",SUMIFS(tblDaily[MalariaCases],tblDaily[EntryDate],DATE(2026,4,3),tblDaily[WardCode],"FAE")),"")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  <c r="I127" s="5" t="str">
        <f>IFERROR(IF(SUMIFS(tblDaily[MalariaCases],tblDaily[EntryDate],DATE(2026,4,4),tblDaily[WardCode],"FAE")=0,"",SUMIFS(tblDaily[MalariaCases],tblDaily[EntryDate],DATE(2026,4,4),tblDaily[WardCode],"FAE")),"")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  <c r="I128" s="5" t="str">
        <f>IFERROR(IF(SUMIFS(tblDaily[MalariaCases],tblDaily[EntryDate],DATE(2026,4,5),tblDaily[WardCode],"FAE")=0,"",SUMIFS(tblDaily[MalariaCases],tblDaily[EntryDate],DATE(2026,4,5),tblDaily[WardCode],"FAE")),"")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  <c r="I129" s="5" t="str">
        <f>IFERROR(IF(SUMIFS(tblDaily[MalariaCases],tblDaily[EntryDate],DATE(2026,4,6),tblDaily[WardCode],"FAE")=0,"",SUMIFS(tblDaily[MalariaCases],tblDaily[EntryDate],DATE(2026,4,6),tblDaily[WardCode],"FAE")),"")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  <c r="I130" s="5" t="str">
        <f>IFERROR(IF(SUMIFS(tblDaily[MalariaCases],tblDaily[EntryDate],DATE(2026,4,7),tblDaily[WardCode],"FAE")=0,"",SUMIFS(tblDaily[MalariaCases],tblDaily[EntryDate],DATE(2026,4,7),tblDaily[WardCode],"FAE")),"")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  <c r="I131" s="5" t="str">
        <f>IFERROR(IF(SUMIFS(tblDaily[MalariaCases],tblDaily[EntryDate],DATE(2026,4,8),tblDaily[WardCode],"FAE")=0,"",SUMIFS(tblDaily[MalariaCases],tblDaily[EntryDate],DATE(2026,4,8),tblDaily[WardCode],"FAE")),"")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  <c r="I132" s="5" t="str">
        <f>IFERROR(IF(SUMIFS(tblDaily[MalariaCases],tblDaily[EntryDate],DATE(2026,4,9),tblDaily[WardCode],"FAE")=0,"",SUMIFS(tblDaily[MalariaCases],tblDaily[EntryDate],DATE(2026,4,9),tblDaily[WardCode],"FAE")),"")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  <c r="I133" s="5" t="str">
        <f>IFERROR(IF(SUMIFS(tblDaily[MalariaCases],tblDaily[EntryDate],DATE(2026,4,10),tblDaily[WardCode],"FAE")=0,"",SUMIFS(tblDaily[MalariaCases],tblDaily[EntryDate],DATE(2026,4,10),tblDaily[WardCode],"FAE")),"")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  <c r="I134" s="5" t="str">
        <f>IFERROR(IF(SUMIFS(tblDaily[MalariaCases],tblDaily[EntryDate],DATE(2026,4,11),tblDaily[WardCode],"FAE")=0,"",SUMIFS(tblDaily[MalariaCases],tblDaily[EntryDate],DATE(2026,4,11),tblDaily[WardCode],"FAE")),"")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  <c r="I135" s="5" t="str">
        <f>IFERROR(IF(SUMIFS(tblDaily[MalariaCases],tblDaily[EntryDate],DATE(2026,4,12),tblDaily[WardCode],"FAE")=0,"",SUMIFS(tblDaily[MalariaCases],tblDaily[EntryDate],DATE(2026,4,12),tblDaily[WardCode],"FAE")),"")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  <c r="I136" s="5" t="str">
        <f>IFERROR(IF(SUMIFS(tblDaily[MalariaCases],tblDaily[EntryDate],DATE(2026,4,13),tblDaily[WardCode],"FAE")=0,"",SUMIFS(tblDaily[MalariaCases],tblDaily[EntryDate],DATE(2026,4,13),tblDaily[WardCode],"FAE")),"")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  <c r="I137" s="5" t="str">
        <f>IFERROR(IF(SUMIFS(tblDaily[MalariaCases],tblDaily[EntryDate],DATE(2026,4,14),tblDaily[WardCode],"FAE")=0,"",SUMIFS(tblDaily[MalariaCases],tblDaily[EntryDate],DATE(2026,4,14),tblDaily[WardCode],"FAE")),"")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  <c r="I138" s="5" t="str">
        <f>IFERROR(IF(SUMIFS(tblDaily[MalariaCases],tblDaily[EntryDate],DATE(2026,4,15),tblDaily[WardCode],"FAE")=0,"",SUMIFS(tblDaily[MalariaCases],tblDaily[EntryDate],DATE(2026,4,15),tblDaily[WardCode],"FAE")),"")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  <c r="I139" s="5" t="str">
        <f>IFERROR(IF(SUMIFS(tblDaily[MalariaCases],tblDaily[EntryDate],DATE(2026,4,16),tblDaily[WardCode],"FAE")=0,"",SUMIFS(tblDaily[MalariaCases],tblDaily[EntryDate],DATE(2026,4,16),tblDaily[WardCode],"FAE")),"")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  <c r="I140" s="5" t="str">
        <f>IFERROR(IF(SUMIFS(tblDaily[MalariaCases],tblDaily[EntryDate],DATE(2026,4,17),tblDaily[WardCode],"FAE")=0,"",SUMIFS(tblDaily[MalariaCases],tblDaily[EntryDate],DATE(2026,4,17),tblDaily[WardCode],"FAE")),"")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  <c r="I141" s="5" t="str">
        <f>IFERROR(IF(SUMIFS(tblDaily[MalariaCases],tblDaily[EntryDate],DATE(2026,4,18),tblDaily[WardCode],"FAE")=0,"",SUMIFS(tblDaily[MalariaCases],tblDaily[EntryDate],DATE(2026,4,18),tblDaily[WardCode],"FAE")),"")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  <c r="I142" s="5" t="str">
        <f>IFERROR(IF(SUMIFS(tblDaily[MalariaCases],tblDaily[EntryDate],DATE(2026,4,19),tblDaily[WardCode],"FAE")=0,"",SUMIFS(tblDaily[MalariaCases],tblDaily[EntryDate],DATE(2026,4,19),tblDaily[WardCode],"FAE")),"")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  <c r="I143" s="5" t="str">
        <f>IFERROR(IF(SUMIFS(tblDaily[MalariaCases],tblDaily[EntryDate],DATE(2026,4,20),tblDaily[WardCode],"FAE")=0,"",SUMIFS(tblDaily[MalariaCases],tblDaily[EntryDate],DATE(2026,4,20),tblDaily[WardCode],"FAE")),"")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  <c r="I144" s="5" t="str">
        <f>IFERROR(IF(SUMIFS(tblDaily[MalariaCases],tblDaily[EntryDate],DATE(2026,4,21),tblDaily[WardCode],"FAE")=0,"",SUMIFS(tblDaily[MalariaCases],tblDaily[EntryDate],DATE(2026,4,21),tblDaily[WardCode],"FAE")),"")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  <c r="I145" s="5" t="str">
        <f>IFERROR(IF(SUMIFS(tblDaily[MalariaCases],tblDaily[EntryDate],DATE(2026,4,22),tblDaily[WardCode],"FAE")=0,"",SUMIFS(tblDaily[MalariaCases],tblDaily[EntryDate],DATE(2026,4,22),tblDaily[WardCode],"FAE")),"")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  <c r="I146" s="5" t="str">
        <f>IFERROR(IF(SUMIFS(tblDaily[MalariaCases],tblDaily[EntryDate],DATE(2026,4,23),tblDaily[WardCode],"FAE")=0,"",SUMIFS(tblDaily[MalariaCases],tblDaily[EntryDate],DATE(2026,4,23),tblDaily[WardCode],"FAE")),"")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  <c r="I147" s="5" t="str">
        <f>IFERROR(IF(SUMIFS(tblDaily[MalariaCases],tblDaily[EntryDate],DATE(2026,4,24),tblDaily[WardCode],"FAE")=0,"",SUMIFS(tblDaily[MalariaCases],tblDaily[EntryDate],DATE(2026,4,24),tblDaily[WardCode],"FAE")),"")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  <c r="I148" s="5" t="str">
        <f>IFERROR(IF(SUMIFS(tblDaily[MalariaCases],tblDaily[EntryDate],DATE(2026,4,25),tblDaily[WardCode],"FAE")=0,"",SUMIFS(tblDaily[MalariaCases],tblDaily[EntryDate],DATE(2026,4,25),tblDaily[WardCode],"FAE")),"")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  <c r="I149" s="5" t="str">
        <f>IFERROR(IF(SUMIFS(tblDaily[MalariaCases],tblDaily[EntryDate],DATE(2026,4,26),tblDaily[WardCode],"FAE")=0,"",SUMIFS(tblDaily[MalariaCases],tblDaily[EntryDate],DATE(2026,4,26),tblDaily[WardCode],"FAE")),"")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  <c r="I150" s="5" t="str">
        <f>IFERROR(IF(SUMIFS(tblDaily[MalariaCases],tblDaily[EntryDate],DATE(2026,4,27),tblDaily[WardCode],"FAE")=0,"",SUMIFS(tblDaily[MalariaCases],tblDaily[EntryDate],DATE(2026,4,27),tblDaily[WardCode],"FAE")),"")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  <c r="I151" s="5" t="str">
        <f>IFERROR(IF(SUMIFS(tblDaily[MalariaCases],tblDaily[EntryDate],DATE(2026,4,28),tblDaily[WardCode],"FAE")=0,"",SUMIFS(tblDaily[MalariaCases],tblDaily[EntryDate],DATE(2026,4,28),tblDaily[WardCode],"FAE")),"")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  <c r="I152" s="5" t="str">
        <f>IFERROR(IF(SUMIFS(tblDaily[MalariaCases],tblDaily[EntryDate],DATE(2026,4,29),tblDaily[WardCode],"FAE")=0,"",SUMIFS(tblDaily[MalariaCases],tblDaily[EntryDate],DATE(2026,4,29),tblDaily[WardCode],"FAE")),"")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  <c r="I153" s="5" t="str">
        <f>IFERROR(IF(SUMIFS(tblDaily[MalariaCases],tblDaily[EntryDate],DATE(2026,4,30),tblDaily[WardCode],"FAE")=0,"",SUMIFS(tblDaily[MalariaCases],tblDaily[EntryDate],DATE(2026,4,30),tblDaily[WardCode],"FAE")),"")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102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IFERROR(SUMIFS(tblDaily[Remaining],tblDaily[EntryDate],DATE(2026,4,30),tblDaily[WardCode],"FAE"),0)</f>
        <v>0</v>
      </c>
    </row>
    <row r="161" spans="1:9" x14ac:dyDescent="0.25">
      <c r="A161" s="1" t="s">
        <v>87</v>
      </c>
      <c r="H161" s="7">
        <f>IFERROR(INDEX(tblWardConfig[BedComplement],MATCH("FAE",tblWardConfig[Export Year-End],0)),0)</f>
        <v>10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  <c r="I163" s="5" t="str">
        <f>IFERROR(IF(SUMIFS(tblDaily[MalariaCases],tblDaily[EntryDate],DATE(2026,5,1),tblDaily[WardCode],"FAE")=0,"",SUMIFS(tblDaily[MalariaCases],tblDaily[EntryDate],DATE(2026,5,1),tblDaily[WardCode],"FAE")),"")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  <c r="I164" s="5" t="str">
        <f>IFERROR(IF(SUMIFS(tblDaily[MalariaCases],tblDaily[EntryDate],DATE(2026,5,2),tblDaily[WardCode],"FAE")=0,"",SUMIFS(tblDaily[MalariaCases],tblDaily[EntryDate],DATE(2026,5,2),tblDaily[WardCode],"FAE")),"")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  <c r="I165" s="5" t="str">
        <f>IFERROR(IF(SUMIFS(tblDaily[MalariaCases],tblDaily[EntryDate],DATE(2026,5,3),tblDaily[WardCode],"FAE")=0,"",SUMIFS(tblDaily[MalariaCases],tblDaily[EntryDate],DATE(2026,5,3),tblDaily[WardCode],"FAE")),"")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  <c r="I166" s="5" t="str">
        <f>IFERROR(IF(SUMIFS(tblDaily[MalariaCases],tblDaily[EntryDate],DATE(2026,5,4),tblDaily[WardCode],"FAE")=0,"",SUMIFS(tblDaily[MalariaCases],tblDaily[EntryDate],DATE(2026,5,4),tblDaily[WardCode],"FAE")),"")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  <c r="I167" s="5" t="str">
        <f>IFERROR(IF(SUMIFS(tblDaily[MalariaCases],tblDaily[EntryDate],DATE(2026,5,5),tblDaily[WardCode],"FAE")=0,"",SUMIFS(tblDaily[MalariaCases],tblDaily[EntryDate],DATE(2026,5,5),tblDaily[WardCode],"FAE")),"")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  <c r="I168" s="5" t="str">
        <f>IFERROR(IF(SUMIFS(tblDaily[MalariaCases],tblDaily[EntryDate],DATE(2026,5,6),tblDaily[WardCode],"FAE")=0,"",SUMIFS(tblDaily[MalariaCases],tblDaily[EntryDate],DATE(2026,5,6),tblDaily[WardCode],"FAE")),"")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  <c r="I169" s="5" t="str">
        <f>IFERROR(IF(SUMIFS(tblDaily[MalariaCases],tblDaily[EntryDate],DATE(2026,5,7),tblDaily[WardCode],"FAE")=0,"",SUMIFS(tblDaily[MalariaCases],tblDaily[EntryDate],DATE(2026,5,7),tblDaily[WardCode],"FAE")),"")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  <c r="I170" s="5" t="str">
        <f>IFERROR(IF(SUMIFS(tblDaily[MalariaCases],tblDaily[EntryDate],DATE(2026,5,8),tblDaily[WardCode],"FAE")=0,"",SUMIFS(tblDaily[MalariaCases],tblDaily[EntryDate],DATE(2026,5,8),tblDaily[WardCode],"FAE")),"")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  <c r="I171" s="5" t="str">
        <f>IFERROR(IF(SUMIFS(tblDaily[MalariaCases],tblDaily[EntryDate],DATE(2026,5,9),tblDaily[WardCode],"FAE")=0,"",SUMIFS(tblDaily[MalariaCases],tblDaily[EntryDate],DATE(2026,5,9),tblDaily[WardCode],"FAE")),"")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  <c r="I172" s="5" t="str">
        <f>IFERROR(IF(SUMIFS(tblDaily[MalariaCases],tblDaily[EntryDate],DATE(2026,5,10),tblDaily[WardCode],"FAE")=0,"",SUMIFS(tblDaily[MalariaCases],tblDaily[EntryDate],DATE(2026,5,10),tblDaily[WardCode],"FAE")),"")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  <c r="I173" s="5" t="str">
        <f>IFERROR(IF(SUMIFS(tblDaily[MalariaCases],tblDaily[EntryDate],DATE(2026,5,11),tblDaily[WardCode],"FAE")=0,"",SUMIFS(tblDaily[MalariaCases],tblDaily[EntryDate],DATE(2026,5,11),tblDaily[WardCode],"FAE")),"")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  <c r="I174" s="5" t="str">
        <f>IFERROR(IF(SUMIFS(tblDaily[MalariaCases],tblDaily[EntryDate],DATE(2026,5,12),tblDaily[WardCode],"FAE")=0,"",SUMIFS(tblDaily[MalariaCases],tblDaily[EntryDate],DATE(2026,5,12),tblDaily[WardCode],"FAE")),"")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  <c r="I175" s="5" t="str">
        <f>IFERROR(IF(SUMIFS(tblDaily[MalariaCases],tblDaily[EntryDate],DATE(2026,5,13),tblDaily[WardCode],"FAE")=0,"",SUMIFS(tblDaily[MalariaCases],tblDaily[EntryDate],DATE(2026,5,13),tblDaily[WardCode],"FAE")),"")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  <c r="I176" s="5" t="str">
        <f>IFERROR(IF(SUMIFS(tblDaily[MalariaCases],tblDaily[EntryDate],DATE(2026,5,14),tblDaily[WardCode],"FAE")=0,"",SUMIFS(tblDaily[MalariaCases],tblDaily[EntryDate],DATE(2026,5,14),tblDaily[WardCode],"FAE")),"")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  <c r="I177" s="5" t="str">
        <f>IFERROR(IF(SUMIFS(tblDaily[MalariaCases],tblDaily[EntryDate],DATE(2026,5,15),tblDaily[WardCode],"FAE")=0,"",SUMIFS(tblDaily[MalariaCases],tblDaily[EntryDate],DATE(2026,5,15),tblDaily[WardCode],"FAE")),"")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  <c r="I178" s="5" t="str">
        <f>IFERROR(IF(SUMIFS(tblDaily[MalariaCases],tblDaily[EntryDate],DATE(2026,5,16),tblDaily[WardCode],"FAE")=0,"",SUMIFS(tblDaily[MalariaCases],tblDaily[EntryDate],DATE(2026,5,16),tblDaily[WardCode],"FAE")),"")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  <c r="I179" s="5" t="str">
        <f>IFERROR(IF(SUMIFS(tblDaily[MalariaCases],tblDaily[EntryDate],DATE(2026,5,17),tblDaily[WardCode],"FAE")=0,"",SUMIFS(tblDaily[MalariaCases],tblDaily[EntryDate],DATE(2026,5,17),tblDaily[WardCode],"FAE")),"")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  <c r="I180" s="5" t="str">
        <f>IFERROR(IF(SUMIFS(tblDaily[MalariaCases],tblDaily[EntryDate],DATE(2026,5,18),tblDaily[WardCode],"FAE")=0,"",SUMIFS(tblDaily[MalariaCases],tblDaily[EntryDate],DATE(2026,5,18),tblDaily[WardCode],"FAE")),"")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  <c r="I181" s="5" t="str">
        <f>IFERROR(IF(SUMIFS(tblDaily[MalariaCases],tblDaily[EntryDate],DATE(2026,5,19),tblDaily[WardCode],"FAE")=0,"",SUMIFS(tblDaily[MalariaCases],tblDaily[EntryDate],DATE(2026,5,19),tblDaily[WardCode],"FAE")),"")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  <c r="I182" s="5" t="str">
        <f>IFERROR(IF(SUMIFS(tblDaily[MalariaCases],tblDaily[EntryDate],DATE(2026,5,20),tblDaily[WardCode],"FAE")=0,"",SUMIFS(tblDaily[MalariaCases],tblDaily[EntryDate],DATE(2026,5,20),tblDaily[WardCode],"FAE")),"")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  <c r="I183" s="5" t="str">
        <f>IFERROR(IF(SUMIFS(tblDaily[MalariaCases],tblDaily[EntryDate],DATE(2026,5,21),tblDaily[WardCode],"FAE")=0,"",SUMIFS(tblDaily[MalariaCases],tblDaily[EntryDate],DATE(2026,5,21),tblDaily[WardCode],"FAE")),"")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  <c r="I184" s="5" t="str">
        <f>IFERROR(IF(SUMIFS(tblDaily[MalariaCases],tblDaily[EntryDate],DATE(2026,5,22),tblDaily[WardCode],"FAE")=0,"",SUMIFS(tblDaily[MalariaCases],tblDaily[EntryDate],DATE(2026,5,22),tblDaily[WardCode],"FAE")),"")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  <c r="I185" s="5" t="str">
        <f>IFERROR(IF(SUMIFS(tblDaily[MalariaCases],tblDaily[EntryDate],DATE(2026,5,23),tblDaily[WardCode],"FAE")=0,"",SUMIFS(tblDaily[MalariaCases],tblDaily[EntryDate],DATE(2026,5,23),tblDaily[WardCode],"FAE")),"")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  <c r="I186" s="5" t="str">
        <f>IFERROR(IF(SUMIFS(tblDaily[MalariaCases],tblDaily[EntryDate],DATE(2026,5,24),tblDaily[WardCode],"FAE")=0,"",SUMIFS(tblDaily[MalariaCases],tblDaily[EntryDate],DATE(2026,5,24),tblDaily[WardCode],"FAE")),"")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  <c r="I187" s="5" t="str">
        <f>IFERROR(IF(SUMIFS(tblDaily[MalariaCases],tblDaily[EntryDate],DATE(2026,5,25),tblDaily[WardCode],"FAE")=0,"",SUMIFS(tblDaily[MalariaCases],tblDaily[EntryDate],DATE(2026,5,25),tblDaily[WardCode],"FAE")),"")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  <c r="I188" s="5" t="str">
        <f>IFERROR(IF(SUMIFS(tblDaily[MalariaCases],tblDaily[EntryDate],DATE(2026,5,26),tblDaily[WardCode],"FAE")=0,"",SUMIFS(tblDaily[MalariaCases],tblDaily[EntryDate],DATE(2026,5,26),tblDaily[WardCode],"FAE")),"")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  <c r="I189" s="5" t="str">
        <f>IFERROR(IF(SUMIFS(tblDaily[MalariaCases],tblDaily[EntryDate],DATE(2026,5,27),tblDaily[WardCode],"FAE")=0,"",SUMIFS(tblDaily[MalariaCases],tblDaily[EntryDate],DATE(2026,5,27),tblDaily[WardCode],"FAE")),"")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  <c r="I190" s="5" t="str">
        <f>IFERROR(IF(SUMIFS(tblDaily[MalariaCases],tblDaily[EntryDate],DATE(2026,5,28),tblDaily[WardCode],"FAE")=0,"",SUMIFS(tblDaily[MalariaCases],tblDaily[EntryDate],DATE(2026,5,28),tblDaily[WardCode],"FAE")),"")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  <c r="I191" s="5" t="str">
        <f>IFERROR(IF(SUMIFS(tblDaily[MalariaCases],tblDaily[EntryDate],DATE(2026,5,29),tblDaily[WardCode],"FAE")=0,"",SUMIFS(tblDaily[MalariaCases],tblDaily[EntryDate],DATE(2026,5,29),tblDaily[WardCode],"FAE")),"")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  <c r="I192" s="5" t="str">
        <f>IFERROR(IF(SUMIFS(tblDaily[MalariaCases],tblDaily[EntryDate],DATE(2026,5,30),tblDaily[WardCode],"FAE")=0,"",SUMIFS(tblDaily[MalariaCases],tblDaily[EntryDate],DATE(2026,5,30),tblDaily[WardCode],"FAE")),"")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  <c r="I193" s="5" t="str">
        <f>IFERROR(IF(SUMIFS(tblDaily[MalariaCases],tblDaily[EntryDate],DATE(2026,5,31),tblDaily[WardCode],"FAE")=0,"",SUMIFS(tblDaily[MalariaCases],tblDaily[EntryDate],DATE(2026,5,31),tblDaily[WardCode],"FAE")),"")</f>
        <v/>
      </c>
    </row>
    <row r="194" spans="1:9" x14ac:dyDescent="0.25">
      <c r="A194" s="9" t="s">
        <v>94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102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IFERROR(SUMIFS(tblDaily[Remaining],tblDaily[EntryDate],DATE(2026,5,31),tblDaily[WardCode],"FAE"),0)</f>
        <v>0</v>
      </c>
    </row>
    <row r="200" spans="1:9" x14ac:dyDescent="0.25">
      <c r="A200" s="1" t="s">
        <v>87</v>
      </c>
      <c r="H200" s="7">
        <f>IFERROR(INDEX(tblWardConfig[BedComplement],MATCH("FAE",tblWardConfig[Export Year-End],0)),0)</f>
        <v>10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  <c r="I202" s="5" t="str">
        <f>IFERROR(IF(SUMIFS(tblDaily[MalariaCases],tblDaily[EntryDate],DATE(2026,6,1),tblDaily[WardCode],"FAE")=0,"",SUMIFS(tblDaily[MalariaCases],tblDaily[EntryDate],DATE(2026,6,1),tblDaily[WardCode],"FAE")),"")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  <c r="I203" s="5" t="str">
        <f>IFERROR(IF(SUMIFS(tblDaily[MalariaCases],tblDaily[EntryDate],DATE(2026,6,2),tblDaily[WardCode],"FAE")=0,"",SUMIFS(tblDaily[MalariaCases],tblDaily[EntryDate],DATE(2026,6,2),tblDaily[WardCode],"FAE")),"")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  <c r="I204" s="5" t="str">
        <f>IFERROR(IF(SUMIFS(tblDaily[MalariaCases],tblDaily[EntryDate],DATE(2026,6,3),tblDaily[WardCode],"FAE")=0,"",SUMIFS(tblDaily[MalariaCases],tblDaily[EntryDate],DATE(2026,6,3),tblDaily[WardCode],"FAE")),"")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  <c r="I205" s="5" t="str">
        <f>IFERROR(IF(SUMIFS(tblDaily[MalariaCases],tblDaily[EntryDate],DATE(2026,6,4),tblDaily[WardCode],"FAE")=0,"",SUMIFS(tblDaily[MalariaCases],tblDaily[EntryDate],DATE(2026,6,4),tblDaily[WardCode],"FAE")),"")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  <c r="I206" s="5" t="str">
        <f>IFERROR(IF(SUMIFS(tblDaily[MalariaCases],tblDaily[EntryDate],DATE(2026,6,5),tblDaily[WardCode],"FAE")=0,"",SUMIFS(tblDaily[MalariaCases],tblDaily[EntryDate],DATE(2026,6,5),tblDaily[WardCode],"FAE")),"")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  <c r="I207" s="5" t="str">
        <f>IFERROR(IF(SUMIFS(tblDaily[MalariaCases],tblDaily[EntryDate],DATE(2026,6,6),tblDaily[WardCode],"FAE")=0,"",SUMIFS(tblDaily[MalariaCases],tblDaily[EntryDate],DATE(2026,6,6),tblDaily[WardCode],"FAE")),"")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  <c r="I208" s="5" t="str">
        <f>IFERROR(IF(SUMIFS(tblDaily[MalariaCases],tblDaily[EntryDate],DATE(2026,6,7),tblDaily[WardCode],"FAE")=0,"",SUMIFS(tblDaily[MalariaCases],tblDaily[EntryDate],DATE(2026,6,7),tblDaily[WardCode],"FAE")),"")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  <c r="I209" s="5" t="str">
        <f>IFERROR(IF(SUMIFS(tblDaily[MalariaCases],tblDaily[EntryDate],DATE(2026,6,8),tblDaily[WardCode],"FAE")=0,"",SUMIFS(tblDaily[MalariaCases],tblDaily[EntryDate],DATE(2026,6,8),tblDaily[WardCode],"FAE")),"")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  <c r="I210" s="5" t="str">
        <f>IFERROR(IF(SUMIFS(tblDaily[MalariaCases],tblDaily[EntryDate],DATE(2026,6,9),tblDaily[WardCode],"FAE")=0,"",SUMIFS(tblDaily[MalariaCases],tblDaily[EntryDate],DATE(2026,6,9),tblDaily[WardCode],"FAE")),"")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  <c r="I211" s="5" t="str">
        <f>IFERROR(IF(SUMIFS(tblDaily[MalariaCases],tblDaily[EntryDate],DATE(2026,6,10),tblDaily[WardCode],"FAE")=0,"",SUMIFS(tblDaily[MalariaCases],tblDaily[EntryDate],DATE(2026,6,10),tblDaily[WardCode],"FAE")),"")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  <c r="I212" s="5" t="str">
        <f>IFERROR(IF(SUMIFS(tblDaily[MalariaCases],tblDaily[EntryDate],DATE(2026,6,11),tblDaily[WardCode],"FAE")=0,"",SUMIFS(tblDaily[MalariaCases],tblDaily[EntryDate],DATE(2026,6,11),tblDaily[WardCode],"FAE")),"")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  <c r="I213" s="5" t="str">
        <f>IFERROR(IF(SUMIFS(tblDaily[MalariaCases],tblDaily[EntryDate],DATE(2026,6,12),tblDaily[WardCode],"FAE")=0,"",SUMIFS(tblDaily[MalariaCases],tblDaily[EntryDate],DATE(2026,6,12),tblDaily[WardCode],"FAE")),"")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  <c r="I214" s="5" t="str">
        <f>IFERROR(IF(SUMIFS(tblDaily[MalariaCases],tblDaily[EntryDate],DATE(2026,6,13),tblDaily[WardCode],"FAE")=0,"",SUMIFS(tblDaily[MalariaCases],tblDaily[EntryDate],DATE(2026,6,13),tblDaily[WardCode],"FAE")),"")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  <c r="I215" s="5" t="str">
        <f>IFERROR(IF(SUMIFS(tblDaily[MalariaCases],tblDaily[EntryDate],DATE(2026,6,14),tblDaily[WardCode],"FAE")=0,"",SUMIFS(tblDaily[MalariaCases],tblDaily[EntryDate],DATE(2026,6,14),tblDaily[WardCode],"FAE")),"")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  <c r="I216" s="5" t="str">
        <f>IFERROR(IF(SUMIFS(tblDaily[MalariaCases],tblDaily[EntryDate],DATE(2026,6,15),tblDaily[WardCode],"FAE")=0,"",SUMIFS(tblDaily[MalariaCases],tblDaily[EntryDate],DATE(2026,6,15),tblDaily[WardCode],"FAE")),"")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  <c r="I217" s="5" t="str">
        <f>IFERROR(IF(SUMIFS(tblDaily[MalariaCases],tblDaily[EntryDate],DATE(2026,6,16),tblDaily[WardCode],"FAE")=0,"",SUMIFS(tblDaily[MalariaCases],tblDaily[EntryDate],DATE(2026,6,16),tblDaily[WardCode],"FAE")),"")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  <c r="I218" s="5" t="str">
        <f>IFERROR(IF(SUMIFS(tblDaily[MalariaCases],tblDaily[EntryDate],DATE(2026,6,17),tblDaily[WardCode],"FAE")=0,"",SUMIFS(tblDaily[MalariaCases],tblDaily[EntryDate],DATE(2026,6,17),tblDaily[WardCode],"FAE")),"")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  <c r="I219" s="5" t="str">
        <f>IFERROR(IF(SUMIFS(tblDaily[MalariaCases],tblDaily[EntryDate],DATE(2026,6,18),tblDaily[WardCode],"FAE")=0,"",SUMIFS(tblDaily[MalariaCases],tblDaily[EntryDate],DATE(2026,6,18),tblDaily[WardCode],"FAE")),"")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  <c r="I220" s="5" t="str">
        <f>IFERROR(IF(SUMIFS(tblDaily[MalariaCases],tblDaily[EntryDate],DATE(2026,6,19),tblDaily[WardCode],"FAE")=0,"",SUMIFS(tblDaily[MalariaCases],tblDaily[EntryDate],DATE(2026,6,19),tblDaily[WardCode],"FAE")),"")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  <c r="I221" s="5" t="str">
        <f>IFERROR(IF(SUMIFS(tblDaily[MalariaCases],tblDaily[EntryDate],DATE(2026,6,20),tblDaily[WardCode],"FAE")=0,"",SUMIFS(tblDaily[MalariaCases],tblDaily[EntryDate],DATE(2026,6,20),tblDaily[WardCode],"FAE")),"")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  <c r="I222" s="5" t="str">
        <f>IFERROR(IF(SUMIFS(tblDaily[MalariaCases],tblDaily[EntryDate],DATE(2026,6,21),tblDaily[WardCode],"FAE")=0,"",SUMIFS(tblDaily[MalariaCases],tblDaily[EntryDate],DATE(2026,6,21),tblDaily[WardCode],"FAE")),"")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  <c r="I223" s="5" t="str">
        <f>IFERROR(IF(SUMIFS(tblDaily[MalariaCases],tblDaily[EntryDate],DATE(2026,6,22),tblDaily[WardCode],"FAE")=0,"",SUMIFS(tblDaily[MalariaCases],tblDaily[EntryDate],DATE(2026,6,22),tblDaily[WardCode],"FAE")),"")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  <c r="I224" s="5" t="str">
        <f>IFERROR(IF(SUMIFS(tblDaily[MalariaCases],tblDaily[EntryDate],DATE(2026,6,23),tblDaily[WardCode],"FAE")=0,"",SUMIFS(tblDaily[MalariaCases],tblDaily[EntryDate],DATE(2026,6,23),tblDaily[WardCode],"FAE")),"")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  <c r="I225" s="5" t="str">
        <f>IFERROR(IF(SUMIFS(tblDaily[MalariaCases],tblDaily[EntryDate],DATE(2026,6,24),tblDaily[WardCode],"FAE")=0,"",SUMIFS(tblDaily[MalariaCases],tblDaily[EntryDate],DATE(2026,6,24),tblDaily[WardCode],"FAE")),"")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  <c r="I226" s="5" t="str">
        <f>IFERROR(IF(SUMIFS(tblDaily[MalariaCases],tblDaily[EntryDate],DATE(2026,6,25),tblDaily[WardCode],"FAE")=0,"",SUMIFS(tblDaily[MalariaCases],tblDaily[EntryDate],DATE(2026,6,25),tblDaily[WardCode],"FAE")),"")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  <c r="I227" s="5" t="str">
        <f>IFERROR(IF(SUMIFS(tblDaily[MalariaCases],tblDaily[EntryDate],DATE(2026,6,26),tblDaily[WardCode],"FAE")=0,"",SUMIFS(tblDaily[MalariaCases],tblDaily[EntryDate],DATE(2026,6,26),tblDaily[WardCode],"FAE")),"")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  <c r="I228" s="5" t="str">
        <f>IFERROR(IF(SUMIFS(tblDaily[MalariaCases],tblDaily[EntryDate],DATE(2026,6,27),tblDaily[WardCode],"FAE")=0,"",SUMIFS(tblDaily[MalariaCases],tblDaily[EntryDate],DATE(2026,6,27),tblDaily[WardCode],"FAE")),"")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  <c r="I229" s="5" t="str">
        <f>IFERROR(IF(SUMIFS(tblDaily[MalariaCases],tblDaily[EntryDate],DATE(2026,6,28),tblDaily[WardCode],"FAE")=0,"",SUMIFS(tblDaily[MalariaCases],tblDaily[EntryDate],DATE(2026,6,28),tblDaily[WardCode],"FAE")),"")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  <c r="I230" s="5" t="str">
        <f>IFERROR(IF(SUMIFS(tblDaily[MalariaCases],tblDaily[EntryDate],DATE(2026,6,29),tblDaily[WardCode],"FAE")=0,"",SUMIFS(tblDaily[MalariaCases],tblDaily[EntryDate],DATE(2026,6,29),tblDaily[WardCode],"FAE")),"")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  <c r="I231" s="5" t="str">
        <f>IFERROR(IF(SUMIFS(tblDaily[MalariaCases],tblDaily[EntryDate],DATE(2026,6,30),tblDaily[WardCode],"FAE")=0,"",SUMIFS(tblDaily[MalariaCases],tblDaily[EntryDate],DATE(2026,6,30),tblDaily[WardCode],"FAE")),"")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102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IFERROR(SUMIFS(tblDaily[Remaining],tblDaily[EntryDate],DATE(2026,6,30),tblDaily[WardCode],"FAE"),0)</f>
        <v>0</v>
      </c>
    </row>
    <row r="239" spans="1:9" x14ac:dyDescent="0.25">
      <c r="A239" s="1" t="s">
        <v>87</v>
      </c>
      <c r="H239" s="7">
        <f>IFERROR(INDEX(tblWardConfig[BedComplement],MATCH("FAE",tblWardConfig[Export Year-End],0)),0)</f>
        <v>10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  <c r="I241" s="5" t="str">
        <f>IFERROR(IF(SUMIFS(tblDaily[MalariaCases],tblDaily[EntryDate],DATE(2026,7,1),tblDaily[WardCode],"FAE")=0,"",SUMIFS(tblDaily[MalariaCases],tblDaily[EntryDate],DATE(2026,7,1),tblDaily[WardCode],"FAE")),"")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  <c r="I242" s="5" t="str">
        <f>IFERROR(IF(SUMIFS(tblDaily[MalariaCases],tblDaily[EntryDate],DATE(2026,7,2),tblDaily[WardCode],"FAE")=0,"",SUMIFS(tblDaily[MalariaCases],tblDaily[EntryDate],DATE(2026,7,2),tblDaily[WardCode],"FAE")),"")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  <c r="I243" s="5" t="str">
        <f>IFERROR(IF(SUMIFS(tblDaily[MalariaCases],tblDaily[EntryDate],DATE(2026,7,3),tblDaily[WardCode],"FAE")=0,"",SUMIFS(tblDaily[MalariaCases],tblDaily[EntryDate],DATE(2026,7,3),tblDaily[WardCode],"FAE")),"")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  <c r="I244" s="5" t="str">
        <f>IFERROR(IF(SUMIFS(tblDaily[MalariaCases],tblDaily[EntryDate],DATE(2026,7,4),tblDaily[WardCode],"FAE")=0,"",SUMIFS(tblDaily[MalariaCases],tblDaily[EntryDate],DATE(2026,7,4),tblDaily[WardCode],"FAE")),"")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  <c r="I245" s="5" t="str">
        <f>IFERROR(IF(SUMIFS(tblDaily[MalariaCases],tblDaily[EntryDate],DATE(2026,7,5),tblDaily[WardCode],"FAE")=0,"",SUMIFS(tblDaily[MalariaCases],tblDaily[EntryDate],DATE(2026,7,5),tblDaily[WardCode],"FAE")),"")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  <c r="I246" s="5" t="str">
        <f>IFERROR(IF(SUMIFS(tblDaily[MalariaCases],tblDaily[EntryDate],DATE(2026,7,6),tblDaily[WardCode],"FAE")=0,"",SUMIFS(tblDaily[MalariaCases],tblDaily[EntryDate],DATE(2026,7,6),tblDaily[WardCode],"FAE")),"")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  <c r="I247" s="5" t="str">
        <f>IFERROR(IF(SUMIFS(tblDaily[MalariaCases],tblDaily[EntryDate],DATE(2026,7,7),tblDaily[WardCode],"FAE")=0,"",SUMIFS(tblDaily[MalariaCases],tblDaily[EntryDate],DATE(2026,7,7),tblDaily[WardCode],"FAE")),"")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  <c r="I248" s="5" t="str">
        <f>IFERROR(IF(SUMIFS(tblDaily[MalariaCases],tblDaily[EntryDate],DATE(2026,7,8),tblDaily[WardCode],"FAE")=0,"",SUMIFS(tblDaily[MalariaCases],tblDaily[EntryDate],DATE(2026,7,8),tblDaily[WardCode],"FAE")),"")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  <c r="I249" s="5" t="str">
        <f>IFERROR(IF(SUMIFS(tblDaily[MalariaCases],tblDaily[EntryDate],DATE(2026,7,9),tblDaily[WardCode],"FAE")=0,"",SUMIFS(tblDaily[MalariaCases],tblDaily[EntryDate],DATE(2026,7,9),tblDaily[WardCode],"FAE")),"")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  <c r="I250" s="5" t="str">
        <f>IFERROR(IF(SUMIFS(tblDaily[MalariaCases],tblDaily[EntryDate],DATE(2026,7,10),tblDaily[WardCode],"FAE")=0,"",SUMIFS(tblDaily[MalariaCases],tblDaily[EntryDate],DATE(2026,7,10),tblDaily[WardCode],"FAE")),"")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  <c r="I251" s="5" t="str">
        <f>IFERROR(IF(SUMIFS(tblDaily[MalariaCases],tblDaily[EntryDate],DATE(2026,7,11),tblDaily[WardCode],"FAE")=0,"",SUMIFS(tblDaily[MalariaCases],tblDaily[EntryDate],DATE(2026,7,11),tblDaily[WardCode],"FAE")),"")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  <c r="I252" s="5" t="str">
        <f>IFERROR(IF(SUMIFS(tblDaily[MalariaCases],tblDaily[EntryDate],DATE(2026,7,12),tblDaily[WardCode],"FAE")=0,"",SUMIFS(tblDaily[MalariaCases],tblDaily[EntryDate],DATE(2026,7,12),tblDaily[WardCode],"FAE")),"")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  <c r="I253" s="5" t="str">
        <f>IFERROR(IF(SUMIFS(tblDaily[MalariaCases],tblDaily[EntryDate],DATE(2026,7,13),tblDaily[WardCode],"FAE")=0,"",SUMIFS(tblDaily[MalariaCases],tblDaily[EntryDate],DATE(2026,7,13),tblDaily[WardCode],"FAE")),"")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  <c r="I254" s="5" t="str">
        <f>IFERROR(IF(SUMIFS(tblDaily[MalariaCases],tblDaily[EntryDate],DATE(2026,7,14),tblDaily[WardCode],"FAE")=0,"",SUMIFS(tblDaily[MalariaCases],tblDaily[EntryDate],DATE(2026,7,14),tblDaily[WardCode],"FAE")),"")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  <c r="I255" s="5" t="str">
        <f>IFERROR(IF(SUMIFS(tblDaily[MalariaCases],tblDaily[EntryDate],DATE(2026,7,15),tblDaily[WardCode],"FAE")=0,"",SUMIFS(tblDaily[MalariaCases],tblDaily[EntryDate],DATE(2026,7,15),tblDaily[WardCode],"FAE")),"")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  <c r="I256" s="5" t="str">
        <f>IFERROR(IF(SUMIFS(tblDaily[MalariaCases],tblDaily[EntryDate],DATE(2026,7,16),tblDaily[WardCode],"FAE")=0,"",SUMIFS(tblDaily[MalariaCases],tblDaily[EntryDate],DATE(2026,7,16),tblDaily[WardCode],"FAE")),"")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  <c r="I257" s="5" t="str">
        <f>IFERROR(IF(SUMIFS(tblDaily[MalariaCases],tblDaily[EntryDate],DATE(2026,7,17),tblDaily[WardCode],"FAE")=0,"",SUMIFS(tblDaily[MalariaCases],tblDaily[EntryDate],DATE(2026,7,17),tblDaily[WardCode],"FAE")),"")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  <c r="I258" s="5" t="str">
        <f>IFERROR(IF(SUMIFS(tblDaily[MalariaCases],tblDaily[EntryDate],DATE(2026,7,18),tblDaily[WardCode],"FAE")=0,"",SUMIFS(tblDaily[MalariaCases],tblDaily[EntryDate],DATE(2026,7,18),tblDaily[WardCode],"FAE")),"")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  <c r="I259" s="5" t="str">
        <f>IFERROR(IF(SUMIFS(tblDaily[MalariaCases],tblDaily[EntryDate],DATE(2026,7,19),tblDaily[WardCode],"FAE")=0,"",SUMIFS(tblDaily[MalariaCases],tblDaily[EntryDate],DATE(2026,7,19),tblDaily[WardCode],"FAE")),"")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  <c r="I260" s="5" t="str">
        <f>IFERROR(IF(SUMIFS(tblDaily[MalariaCases],tblDaily[EntryDate],DATE(2026,7,20),tblDaily[WardCode],"FAE")=0,"",SUMIFS(tblDaily[MalariaCases],tblDaily[EntryDate],DATE(2026,7,20),tblDaily[WardCode],"FAE")),"")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  <c r="I261" s="5" t="str">
        <f>IFERROR(IF(SUMIFS(tblDaily[MalariaCases],tblDaily[EntryDate],DATE(2026,7,21),tblDaily[WardCode],"FAE")=0,"",SUMIFS(tblDaily[MalariaCases],tblDaily[EntryDate],DATE(2026,7,21),tblDaily[WardCode],"FAE")),"")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  <c r="I262" s="5" t="str">
        <f>IFERROR(IF(SUMIFS(tblDaily[MalariaCases],tblDaily[EntryDate],DATE(2026,7,22),tblDaily[WardCode],"FAE")=0,"",SUMIFS(tblDaily[MalariaCases],tblDaily[EntryDate],DATE(2026,7,22),tblDaily[WardCode],"FAE")),"")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  <c r="I263" s="5" t="str">
        <f>IFERROR(IF(SUMIFS(tblDaily[MalariaCases],tblDaily[EntryDate],DATE(2026,7,23),tblDaily[WardCode],"FAE")=0,"",SUMIFS(tblDaily[MalariaCases],tblDaily[EntryDate],DATE(2026,7,23),tblDaily[WardCode],"FAE")),"")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  <c r="I264" s="5" t="str">
        <f>IFERROR(IF(SUMIFS(tblDaily[MalariaCases],tblDaily[EntryDate],DATE(2026,7,24),tblDaily[WardCode],"FAE")=0,"",SUMIFS(tblDaily[MalariaCases],tblDaily[EntryDate],DATE(2026,7,24),tblDaily[WardCode],"FAE")),"")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  <c r="I265" s="5" t="str">
        <f>IFERROR(IF(SUMIFS(tblDaily[MalariaCases],tblDaily[EntryDate],DATE(2026,7,25),tblDaily[WardCode],"FAE")=0,"",SUMIFS(tblDaily[MalariaCases],tblDaily[EntryDate],DATE(2026,7,25),tblDaily[WardCode],"FAE")),"")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  <c r="I266" s="5" t="str">
        <f>IFERROR(IF(SUMIFS(tblDaily[MalariaCases],tblDaily[EntryDate],DATE(2026,7,26),tblDaily[WardCode],"FAE")=0,"",SUMIFS(tblDaily[MalariaCases],tblDaily[EntryDate],DATE(2026,7,26),tblDaily[WardCode],"FAE")),"")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  <c r="I267" s="5" t="str">
        <f>IFERROR(IF(SUMIFS(tblDaily[MalariaCases],tblDaily[EntryDate],DATE(2026,7,27),tblDaily[WardCode],"FAE")=0,"",SUMIFS(tblDaily[MalariaCases],tblDaily[EntryDate],DATE(2026,7,27),tblDaily[WardCode],"FAE")),"")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  <c r="I268" s="5" t="str">
        <f>IFERROR(IF(SUMIFS(tblDaily[MalariaCases],tblDaily[EntryDate],DATE(2026,7,28),tblDaily[WardCode],"FAE")=0,"",SUMIFS(tblDaily[MalariaCases],tblDaily[EntryDate],DATE(2026,7,28),tblDaily[WardCode],"FAE")),"")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  <c r="I269" s="5" t="str">
        <f>IFERROR(IF(SUMIFS(tblDaily[MalariaCases],tblDaily[EntryDate],DATE(2026,7,29),tblDaily[WardCode],"FAE")=0,"",SUMIFS(tblDaily[MalariaCases],tblDaily[EntryDate],DATE(2026,7,29),tblDaily[WardCode],"FAE")),"")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  <c r="I270" s="5" t="str">
        <f>IFERROR(IF(SUMIFS(tblDaily[MalariaCases],tblDaily[EntryDate],DATE(2026,7,30),tblDaily[WardCode],"FAE")=0,"",SUMIFS(tblDaily[MalariaCases],tblDaily[EntryDate],DATE(2026,7,30),tblDaily[WardCode],"FAE")),"")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  <c r="I271" s="5" t="str">
        <f>IFERROR(IF(SUMIFS(tblDaily[MalariaCases],tblDaily[EntryDate],DATE(2026,7,31),tblDaily[WardCode],"FAE")=0,"",SUMIFS(tblDaily[MalariaCases],tblDaily[EntryDate],DATE(2026,7,31),tblDaily[WardCode],"FAE")),"")</f>
        <v/>
      </c>
    </row>
    <row r="272" spans="1:9" x14ac:dyDescent="0.25">
      <c r="A272" s="9" t="s">
        <v>94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102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IFERROR(SUMIFS(tblDaily[Remaining],tblDaily[EntryDate],DATE(2026,7,31),tblDaily[WardCode],"FAE"),0)</f>
        <v>0</v>
      </c>
    </row>
    <row r="278" spans="1:9" x14ac:dyDescent="0.25">
      <c r="A278" s="1" t="s">
        <v>87</v>
      </c>
      <c r="H278" s="7">
        <f>IFERROR(INDEX(tblWardConfig[BedComplement],MATCH("FAE",tblWardConfig[Export Year-End],0)),0)</f>
        <v>10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  <c r="I280" s="5" t="str">
        <f>IFERROR(IF(SUMIFS(tblDaily[MalariaCases],tblDaily[EntryDate],DATE(2026,8,1),tblDaily[WardCode],"FAE")=0,"",SUMIFS(tblDaily[MalariaCases],tblDaily[EntryDate],DATE(2026,8,1),tblDaily[WardCode],"FAE")),"")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  <c r="I281" s="5" t="str">
        <f>IFERROR(IF(SUMIFS(tblDaily[MalariaCases],tblDaily[EntryDate],DATE(2026,8,2),tblDaily[WardCode],"FAE")=0,"",SUMIFS(tblDaily[MalariaCases],tblDaily[EntryDate],DATE(2026,8,2),tblDaily[WardCode],"FAE")),"")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  <c r="I282" s="5" t="str">
        <f>IFERROR(IF(SUMIFS(tblDaily[MalariaCases],tblDaily[EntryDate],DATE(2026,8,3),tblDaily[WardCode],"FAE")=0,"",SUMIFS(tblDaily[MalariaCases],tblDaily[EntryDate],DATE(2026,8,3),tblDaily[WardCode],"FAE")),"")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  <c r="I283" s="5" t="str">
        <f>IFERROR(IF(SUMIFS(tblDaily[MalariaCases],tblDaily[EntryDate],DATE(2026,8,4),tblDaily[WardCode],"FAE")=0,"",SUMIFS(tblDaily[MalariaCases],tblDaily[EntryDate],DATE(2026,8,4),tblDaily[WardCode],"FAE")),"")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  <c r="I284" s="5" t="str">
        <f>IFERROR(IF(SUMIFS(tblDaily[MalariaCases],tblDaily[EntryDate],DATE(2026,8,5),tblDaily[WardCode],"FAE")=0,"",SUMIFS(tblDaily[MalariaCases],tblDaily[EntryDate],DATE(2026,8,5),tblDaily[WardCode],"FAE")),"")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  <c r="I285" s="5" t="str">
        <f>IFERROR(IF(SUMIFS(tblDaily[MalariaCases],tblDaily[EntryDate],DATE(2026,8,6),tblDaily[WardCode],"FAE")=0,"",SUMIFS(tblDaily[MalariaCases],tblDaily[EntryDate],DATE(2026,8,6),tblDaily[WardCode],"FAE")),"")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  <c r="I286" s="5" t="str">
        <f>IFERROR(IF(SUMIFS(tblDaily[MalariaCases],tblDaily[EntryDate],DATE(2026,8,7),tblDaily[WardCode],"FAE")=0,"",SUMIFS(tblDaily[MalariaCases],tblDaily[EntryDate],DATE(2026,8,7),tblDaily[WardCode],"FAE")),"")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  <c r="I287" s="5" t="str">
        <f>IFERROR(IF(SUMIFS(tblDaily[MalariaCases],tblDaily[EntryDate],DATE(2026,8,8),tblDaily[WardCode],"FAE")=0,"",SUMIFS(tblDaily[MalariaCases],tblDaily[EntryDate],DATE(2026,8,8),tblDaily[WardCode],"FAE")),"")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  <c r="I288" s="5" t="str">
        <f>IFERROR(IF(SUMIFS(tblDaily[MalariaCases],tblDaily[EntryDate],DATE(2026,8,9),tblDaily[WardCode],"FAE")=0,"",SUMIFS(tblDaily[MalariaCases],tblDaily[EntryDate],DATE(2026,8,9),tblDaily[WardCode],"FAE")),"")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  <c r="I289" s="5" t="str">
        <f>IFERROR(IF(SUMIFS(tblDaily[MalariaCases],tblDaily[EntryDate],DATE(2026,8,10),tblDaily[WardCode],"FAE")=0,"",SUMIFS(tblDaily[MalariaCases],tblDaily[EntryDate],DATE(2026,8,10),tblDaily[WardCode],"FAE")),"")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  <c r="I290" s="5" t="str">
        <f>IFERROR(IF(SUMIFS(tblDaily[MalariaCases],tblDaily[EntryDate],DATE(2026,8,11),tblDaily[WardCode],"FAE")=0,"",SUMIFS(tblDaily[MalariaCases],tblDaily[EntryDate],DATE(2026,8,11),tblDaily[WardCode],"FAE")),"")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  <c r="I291" s="5" t="str">
        <f>IFERROR(IF(SUMIFS(tblDaily[MalariaCases],tblDaily[EntryDate],DATE(2026,8,12),tblDaily[WardCode],"FAE")=0,"",SUMIFS(tblDaily[MalariaCases],tblDaily[EntryDate],DATE(2026,8,12),tblDaily[WardCode],"FAE")),"")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  <c r="I292" s="5" t="str">
        <f>IFERROR(IF(SUMIFS(tblDaily[MalariaCases],tblDaily[EntryDate],DATE(2026,8,13),tblDaily[WardCode],"FAE")=0,"",SUMIFS(tblDaily[MalariaCases],tblDaily[EntryDate],DATE(2026,8,13),tblDaily[WardCode],"FAE")),"")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  <c r="I293" s="5" t="str">
        <f>IFERROR(IF(SUMIFS(tblDaily[MalariaCases],tblDaily[EntryDate],DATE(2026,8,14),tblDaily[WardCode],"FAE")=0,"",SUMIFS(tblDaily[MalariaCases],tblDaily[EntryDate],DATE(2026,8,14),tblDaily[WardCode],"FAE")),"")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  <c r="I294" s="5" t="str">
        <f>IFERROR(IF(SUMIFS(tblDaily[MalariaCases],tblDaily[EntryDate],DATE(2026,8,15),tblDaily[WardCode],"FAE")=0,"",SUMIFS(tblDaily[MalariaCases],tblDaily[EntryDate],DATE(2026,8,15),tblDaily[WardCode],"FAE")),"")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  <c r="I295" s="5" t="str">
        <f>IFERROR(IF(SUMIFS(tblDaily[MalariaCases],tblDaily[EntryDate],DATE(2026,8,16),tblDaily[WardCode],"FAE")=0,"",SUMIFS(tblDaily[MalariaCases],tblDaily[EntryDate],DATE(2026,8,16),tblDaily[WardCode],"FAE")),"")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  <c r="I296" s="5" t="str">
        <f>IFERROR(IF(SUMIFS(tblDaily[MalariaCases],tblDaily[EntryDate],DATE(2026,8,17),tblDaily[WardCode],"FAE")=0,"",SUMIFS(tblDaily[MalariaCases],tblDaily[EntryDate],DATE(2026,8,17),tblDaily[WardCode],"FAE")),"")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  <c r="I297" s="5" t="str">
        <f>IFERROR(IF(SUMIFS(tblDaily[MalariaCases],tblDaily[EntryDate],DATE(2026,8,18),tblDaily[WardCode],"FAE")=0,"",SUMIFS(tblDaily[MalariaCases],tblDaily[EntryDate],DATE(2026,8,18),tblDaily[WardCode],"FAE")),"")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  <c r="I298" s="5" t="str">
        <f>IFERROR(IF(SUMIFS(tblDaily[MalariaCases],tblDaily[EntryDate],DATE(2026,8,19),tblDaily[WardCode],"FAE")=0,"",SUMIFS(tblDaily[MalariaCases],tblDaily[EntryDate],DATE(2026,8,19),tblDaily[WardCode],"FAE")),"")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  <c r="I299" s="5" t="str">
        <f>IFERROR(IF(SUMIFS(tblDaily[MalariaCases],tblDaily[EntryDate],DATE(2026,8,20),tblDaily[WardCode],"FAE")=0,"",SUMIFS(tblDaily[MalariaCases],tblDaily[EntryDate],DATE(2026,8,20),tblDaily[WardCode],"FAE")),"")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  <c r="I300" s="5" t="str">
        <f>IFERROR(IF(SUMIFS(tblDaily[MalariaCases],tblDaily[EntryDate],DATE(2026,8,21),tblDaily[WardCode],"FAE")=0,"",SUMIFS(tblDaily[MalariaCases],tblDaily[EntryDate],DATE(2026,8,21),tblDaily[WardCode],"FAE")),"")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  <c r="I301" s="5" t="str">
        <f>IFERROR(IF(SUMIFS(tblDaily[MalariaCases],tblDaily[EntryDate],DATE(2026,8,22),tblDaily[WardCode],"FAE")=0,"",SUMIFS(tblDaily[MalariaCases],tblDaily[EntryDate],DATE(2026,8,22),tblDaily[WardCode],"FAE")),"")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  <c r="I302" s="5" t="str">
        <f>IFERROR(IF(SUMIFS(tblDaily[MalariaCases],tblDaily[EntryDate],DATE(2026,8,23),tblDaily[WardCode],"FAE")=0,"",SUMIFS(tblDaily[MalariaCases],tblDaily[EntryDate],DATE(2026,8,23),tblDaily[WardCode],"FAE")),"")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  <c r="I303" s="5" t="str">
        <f>IFERROR(IF(SUMIFS(tblDaily[MalariaCases],tblDaily[EntryDate],DATE(2026,8,24),tblDaily[WardCode],"FAE")=0,"",SUMIFS(tblDaily[MalariaCases],tblDaily[EntryDate],DATE(2026,8,24),tblDaily[WardCode],"FAE")),"")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  <c r="I304" s="5" t="str">
        <f>IFERROR(IF(SUMIFS(tblDaily[MalariaCases],tblDaily[EntryDate],DATE(2026,8,25),tblDaily[WardCode],"FAE")=0,"",SUMIFS(tblDaily[MalariaCases],tblDaily[EntryDate],DATE(2026,8,25),tblDaily[WardCode],"FAE")),"")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  <c r="I305" s="5" t="str">
        <f>IFERROR(IF(SUMIFS(tblDaily[MalariaCases],tblDaily[EntryDate],DATE(2026,8,26),tblDaily[WardCode],"FAE")=0,"",SUMIFS(tblDaily[MalariaCases],tblDaily[EntryDate],DATE(2026,8,26),tblDaily[WardCode],"FAE")),"")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  <c r="I306" s="5" t="str">
        <f>IFERROR(IF(SUMIFS(tblDaily[MalariaCases],tblDaily[EntryDate],DATE(2026,8,27),tblDaily[WardCode],"FAE")=0,"",SUMIFS(tblDaily[MalariaCases],tblDaily[EntryDate],DATE(2026,8,27),tblDaily[WardCode],"FAE")),"")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  <c r="I307" s="5" t="str">
        <f>IFERROR(IF(SUMIFS(tblDaily[MalariaCases],tblDaily[EntryDate],DATE(2026,8,28),tblDaily[WardCode],"FAE")=0,"",SUMIFS(tblDaily[MalariaCases],tblDaily[EntryDate],DATE(2026,8,28),tblDaily[WardCode],"FAE")),"")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  <c r="I308" s="5" t="str">
        <f>IFERROR(IF(SUMIFS(tblDaily[MalariaCases],tblDaily[EntryDate],DATE(2026,8,29),tblDaily[WardCode],"FAE")=0,"",SUMIFS(tblDaily[MalariaCases],tblDaily[EntryDate],DATE(2026,8,29),tblDaily[WardCode],"FAE")),"")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  <c r="I309" s="5" t="str">
        <f>IFERROR(IF(SUMIFS(tblDaily[MalariaCases],tblDaily[EntryDate],DATE(2026,8,30),tblDaily[WardCode],"FAE")=0,"",SUMIFS(tblDaily[MalariaCases],tblDaily[EntryDate],DATE(2026,8,30),tblDaily[WardCode],"FAE")),"")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  <c r="I310" s="5" t="str">
        <f>IFERROR(IF(SUMIFS(tblDaily[MalariaCases],tblDaily[EntryDate],DATE(2026,8,31),tblDaily[WardCode],"FAE")=0,"",SUMIFS(tblDaily[MalariaCases],tblDaily[EntryDate],DATE(2026,8,31),tblDaily[WardCode],"FAE")),"")</f>
        <v/>
      </c>
    </row>
    <row r="311" spans="1:9" x14ac:dyDescent="0.25">
      <c r="A311" s="9" t="s">
        <v>94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102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IFERROR(SUMIFS(tblDaily[Remaining],tblDaily[EntryDate],DATE(2026,8,31),tblDaily[WardCode],"FAE"),0)</f>
        <v>0</v>
      </c>
    </row>
    <row r="317" spans="1:9" x14ac:dyDescent="0.25">
      <c r="A317" s="1" t="s">
        <v>87</v>
      </c>
      <c r="H317" s="7">
        <f>IFERROR(INDEX(tblWardConfig[BedComplement],MATCH("FAE",tblWardConfig[Export Year-End],0)),0)</f>
        <v>10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  <c r="I319" s="5" t="str">
        <f>IFERROR(IF(SUMIFS(tblDaily[MalariaCases],tblDaily[EntryDate],DATE(2026,9,1),tblDaily[WardCode],"FAE")=0,"",SUMIFS(tblDaily[MalariaCases],tblDaily[EntryDate],DATE(2026,9,1),tblDaily[WardCode],"FAE")),"")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  <c r="I320" s="5" t="str">
        <f>IFERROR(IF(SUMIFS(tblDaily[MalariaCases],tblDaily[EntryDate],DATE(2026,9,2),tblDaily[WardCode],"FAE")=0,"",SUMIFS(tblDaily[MalariaCases],tblDaily[EntryDate],DATE(2026,9,2),tblDaily[WardCode],"FAE")),"")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  <c r="I321" s="5" t="str">
        <f>IFERROR(IF(SUMIFS(tblDaily[MalariaCases],tblDaily[EntryDate],DATE(2026,9,3),tblDaily[WardCode],"FAE")=0,"",SUMIFS(tblDaily[MalariaCases],tblDaily[EntryDate],DATE(2026,9,3),tblDaily[WardCode],"FAE")),"")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  <c r="I322" s="5" t="str">
        <f>IFERROR(IF(SUMIFS(tblDaily[MalariaCases],tblDaily[EntryDate],DATE(2026,9,4),tblDaily[WardCode],"FAE")=0,"",SUMIFS(tblDaily[MalariaCases],tblDaily[EntryDate],DATE(2026,9,4),tblDaily[WardCode],"FAE")),"")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  <c r="I323" s="5" t="str">
        <f>IFERROR(IF(SUMIFS(tblDaily[MalariaCases],tblDaily[EntryDate],DATE(2026,9,5),tblDaily[WardCode],"FAE")=0,"",SUMIFS(tblDaily[MalariaCases],tblDaily[EntryDate],DATE(2026,9,5),tblDaily[WardCode],"FAE")),"")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  <c r="I324" s="5" t="str">
        <f>IFERROR(IF(SUMIFS(tblDaily[MalariaCases],tblDaily[EntryDate],DATE(2026,9,6),tblDaily[WardCode],"FAE")=0,"",SUMIFS(tblDaily[MalariaCases],tblDaily[EntryDate],DATE(2026,9,6),tblDaily[WardCode],"FAE")),"")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  <c r="I325" s="5" t="str">
        <f>IFERROR(IF(SUMIFS(tblDaily[MalariaCases],tblDaily[EntryDate],DATE(2026,9,7),tblDaily[WardCode],"FAE")=0,"",SUMIFS(tblDaily[MalariaCases],tblDaily[EntryDate],DATE(2026,9,7),tblDaily[WardCode],"FAE")),"")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  <c r="I326" s="5" t="str">
        <f>IFERROR(IF(SUMIFS(tblDaily[MalariaCases],tblDaily[EntryDate],DATE(2026,9,8),tblDaily[WardCode],"FAE")=0,"",SUMIFS(tblDaily[MalariaCases],tblDaily[EntryDate],DATE(2026,9,8),tblDaily[WardCode],"FAE")),"")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  <c r="I327" s="5" t="str">
        <f>IFERROR(IF(SUMIFS(tblDaily[MalariaCases],tblDaily[EntryDate],DATE(2026,9,9),tblDaily[WardCode],"FAE")=0,"",SUMIFS(tblDaily[MalariaCases],tblDaily[EntryDate],DATE(2026,9,9),tblDaily[WardCode],"FAE")),"")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  <c r="I328" s="5" t="str">
        <f>IFERROR(IF(SUMIFS(tblDaily[MalariaCases],tblDaily[EntryDate],DATE(2026,9,10),tblDaily[WardCode],"FAE")=0,"",SUMIFS(tblDaily[MalariaCases],tblDaily[EntryDate],DATE(2026,9,10),tblDaily[WardCode],"FAE")),"")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  <c r="I329" s="5" t="str">
        <f>IFERROR(IF(SUMIFS(tblDaily[MalariaCases],tblDaily[EntryDate],DATE(2026,9,11),tblDaily[WardCode],"FAE")=0,"",SUMIFS(tblDaily[MalariaCases],tblDaily[EntryDate],DATE(2026,9,11),tblDaily[WardCode],"FAE")),"")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  <c r="I330" s="5" t="str">
        <f>IFERROR(IF(SUMIFS(tblDaily[MalariaCases],tblDaily[EntryDate],DATE(2026,9,12),tblDaily[WardCode],"FAE")=0,"",SUMIFS(tblDaily[MalariaCases],tblDaily[EntryDate],DATE(2026,9,12),tblDaily[WardCode],"FAE")),"")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  <c r="I331" s="5" t="str">
        <f>IFERROR(IF(SUMIFS(tblDaily[MalariaCases],tblDaily[EntryDate],DATE(2026,9,13),tblDaily[WardCode],"FAE")=0,"",SUMIFS(tblDaily[MalariaCases],tblDaily[EntryDate],DATE(2026,9,13),tblDaily[WardCode],"FAE")),"")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  <c r="I332" s="5" t="str">
        <f>IFERROR(IF(SUMIFS(tblDaily[MalariaCases],tblDaily[EntryDate],DATE(2026,9,14),tblDaily[WardCode],"FAE")=0,"",SUMIFS(tblDaily[MalariaCases],tblDaily[EntryDate],DATE(2026,9,14),tblDaily[WardCode],"FAE")),"")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  <c r="I333" s="5" t="str">
        <f>IFERROR(IF(SUMIFS(tblDaily[MalariaCases],tblDaily[EntryDate],DATE(2026,9,15),tblDaily[WardCode],"FAE")=0,"",SUMIFS(tblDaily[MalariaCases],tblDaily[EntryDate],DATE(2026,9,15),tblDaily[WardCode],"FAE")),"")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  <c r="I334" s="5" t="str">
        <f>IFERROR(IF(SUMIFS(tblDaily[MalariaCases],tblDaily[EntryDate],DATE(2026,9,16),tblDaily[WardCode],"FAE")=0,"",SUMIFS(tblDaily[MalariaCases],tblDaily[EntryDate],DATE(2026,9,16),tblDaily[WardCode],"FAE")),"")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  <c r="I335" s="5" t="str">
        <f>IFERROR(IF(SUMIFS(tblDaily[MalariaCases],tblDaily[EntryDate],DATE(2026,9,17),tblDaily[WardCode],"FAE")=0,"",SUMIFS(tblDaily[MalariaCases],tblDaily[EntryDate],DATE(2026,9,17),tblDaily[WardCode],"FAE")),"")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  <c r="I336" s="5" t="str">
        <f>IFERROR(IF(SUMIFS(tblDaily[MalariaCases],tblDaily[EntryDate],DATE(2026,9,18),tblDaily[WardCode],"FAE")=0,"",SUMIFS(tblDaily[MalariaCases],tblDaily[EntryDate],DATE(2026,9,18),tblDaily[WardCode],"FAE")),"")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  <c r="I337" s="5" t="str">
        <f>IFERROR(IF(SUMIFS(tblDaily[MalariaCases],tblDaily[EntryDate],DATE(2026,9,19),tblDaily[WardCode],"FAE")=0,"",SUMIFS(tblDaily[MalariaCases],tblDaily[EntryDate],DATE(2026,9,19),tblDaily[WardCode],"FAE")),"")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  <c r="I338" s="5" t="str">
        <f>IFERROR(IF(SUMIFS(tblDaily[MalariaCases],tblDaily[EntryDate],DATE(2026,9,20),tblDaily[WardCode],"FAE")=0,"",SUMIFS(tblDaily[MalariaCases],tblDaily[EntryDate],DATE(2026,9,20),tblDaily[WardCode],"FAE")),"")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  <c r="I339" s="5" t="str">
        <f>IFERROR(IF(SUMIFS(tblDaily[MalariaCases],tblDaily[EntryDate],DATE(2026,9,21),tblDaily[WardCode],"FAE")=0,"",SUMIFS(tblDaily[MalariaCases],tblDaily[EntryDate],DATE(2026,9,21),tblDaily[WardCode],"FAE")),"")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  <c r="I340" s="5" t="str">
        <f>IFERROR(IF(SUMIFS(tblDaily[MalariaCases],tblDaily[EntryDate],DATE(2026,9,22),tblDaily[WardCode],"FAE")=0,"",SUMIFS(tblDaily[MalariaCases],tblDaily[EntryDate],DATE(2026,9,22),tblDaily[WardCode],"FAE")),"")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  <c r="I341" s="5" t="str">
        <f>IFERROR(IF(SUMIFS(tblDaily[MalariaCases],tblDaily[EntryDate],DATE(2026,9,23),tblDaily[WardCode],"FAE")=0,"",SUMIFS(tblDaily[MalariaCases],tblDaily[EntryDate],DATE(2026,9,23),tblDaily[WardCode],"FAE")),"")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  <c r="I342" s="5" t="str">
        <f>IFERROR(IF(SUMIFS(tblDaily[MalariaCases],tblDaily[EntryDate],DATE(2026,9,24),tblDaily[WardCode],"FAE")=0,"",SUMIFS(tblDaily[MalariaCases],tblDaily[EntryDate],DATE(2026,9,24),tblDaily[WardCode],"FAE")),"")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  <c r="I343" s="5" t="str">
        <f>IFERROR(IF(SUMIFS(tblDaily[MalariaCases],tblDaily[EntryDate],DATE(2026,9,25),tblDaily[WardCode],"FAE")=0,"",SUMIFS(tblDaily[MalariaCases],tblDaily[EntryDate],DATE(2026,9,25),tblDaily[WardCode],"FAE")),"")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  <c r="I344" s="5" t="str">
        <f>IFERROR(IF(SUMIFS(tblDaily[MalariaCases],tblDaily[EntryDate],DATE(2026,9,26),tblDaily[WardCode],"FAE")=0,"",SUMIFS(tblDaily[MalariaCases],tblDaily[EntryDate],DATE(2026,9,26),tblDaily[WardCode],"FAE")),"")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  <c r="I345" s="5" t="str">
        <f>IFERROR(IF(SUMIFS(tblDaily[MalariaCases],tblDaily[EntryDate],DATE(2026,9,27),tblDaily[WardCode],"FAE")=0,"",SUMIFS(tblDaily[MalariaCases],tblDaily[EntryDate],DATE(2026,9,27),tblDaily[WardCode],"FAE")),"")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  <c r="I346" s="5" t="str">
        <f>IFERROR(IF(SUMIFS(tblDaily[MalariaCases],tblDaily[EntryDate],DATE(2026,9,28),tblDaily[WardCode],"FAE")=0,"",SUMIFS(tblDaily[MalariaCases],tblDaily[EntryDate],DATE(2026,9,28),tblDaily[WardCode],"FAE")),"")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  <c r="I347" s="5" t="str">
        <f>IFERROR(IF(SUMIFS(tblDaily[MalariaCases],tblDaily[EntryDate],DATE(2026,9,29),tblDaily[WardCode],"FAE")=0,"",SUMIFS(tblDaily[MalariaCases],tblDaily[EntryDate],DATE(2026,9,29),tblDaily[WardCode],"FAE")),"")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  <c r="I348" s="5" t="str">
        <f>IFERROR(IF(SUMIFS(tblDaily[MalariaCases],tblDaily[EntryDate],DATE(2026,9,30),tblDaily[WardCode],"FAE")=0,"",SUMIFS(tblDaily[MalariaCases],tblDaily[EntryDate],DATE(2026,9,30),tblDaily[WardCode],"FAE")),"")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102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IFERROR(SUMIFS(tblDaily[Remaining],tblDaily[EntryDate],DATE(2026,9,30),tblDaily[WardCode],"FAE"),0)</f>
        <v>0</v>
      </c>
    </row>
    <row r="356" spans="1:9" x14ac:dyDescent="0.25">
      <c r="A356" s="1" t="s">
        <v>87</v>
      </c>
      <c r="H356" s="7">
        <f>IFERROR(INDEX(tblWardConfig[BedComplement],MATCH("FAE",tblWardConfig[Export Year-End],0)),0)</f>
        <v>10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  <c r="I358" s="5" t="str">
        <f>IFERROR(IF(SUMIFS(tblDaily[MalariaCases],tblDaily[EntryDate],DATE(2026,10,1),tblDaily[WardCode],"FAE")=0,"",SUMIFS(tblDaily[MalariaCases],tblDaily[EntryDate],DATE(2026,10,1),tblDaily[WardCode],"FAE")),"")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  <c r="I359" s="5" t="str">
        <f>IFERROR(IF(SUMIFS(tblDaily[MalariaCases],tblDaily[EntryDate],DATE(2026,10,2),tblDaily[WardCode],"FAE")=0,"",SUMIFS(tblDaily[MalariaCases],tblDaily[EntryDate],DATE(2026,10,2),tblDaily[WardCode],"FAE")),"")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  <c r="I360" s="5" t="str">
        <f>IFERROR(IF(SUMIFS(tblDaily[MalariaCases],tblDaily[EntryDate],DATE(2026,10,3),tblDaily[WardCode],"FAE")=0,"",SUMIFS(tblDaily[MalariaCases],tblDaily[EntryDate],DATE(2026,10,3),tblDaily[WardCode],"FAE")),"")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  <c r="I361" s="5" t="str">
        <f>IFERROR(IF(SUMIFS(tblDaily[MalariaCases],tblDaily[EntryDate],DATE(2026,10,4),tblDaily[WardCode],"FAE")=0,"",SUMIFS(tblDaily[MalariaCases],tblDaily[EntryDate],DATE(2026,10,4),tblDaily[WardCode],"FAE")),"")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  <c r="I362" s="5" t="str">
        <f>IFERROR(IF(SUMIFS(tblDaily[MalariaCases],tblDaily[EntryDate],DATE(2026,10,5),tblDaily[WardCode],"FAE")=0,"",SUMIFS(tblDaily[MalariaCases],tblDaily[EntryDate],DATE(2026,10,5),tblDaily[WardCode],"FAE")),"")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  <c r="I363" s="5" t="str">
        <f>IFERROR(IF(SUMIFS(tblDaily[MalariaCases],tblDaily[EntryDate],DATE(2026,10,6),tblDaily[WardCode],"FAE")=0,"",SUMIFS(tblDaily[MalariaCases],tblDaily[EntryDate],DATE(2026,10,6),tblDaily[WardCode],"FAE")),"")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  <c r="I364" s="5" t="str">
        <f>IFERROR(IF(SUMIFS(tblDaily[MalariaCases],tblDaily[EntryDate],DATE(2026,10,7),tblDaily[WardCode],"FAE")=0,"",SUMIFS(tblDaily[MalariaCases],tblDaily[EntryDate],DATE(2026,10,7),tblDaily[WardCode],"FAE")),"")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  <c r="I365" s="5" t="str">
        <f>IFERROR(IF(SUMIFS(tblDaily[MalariaCases],tblDaily[EntryDate],DATE(2026,10,8),tblDaily[WardCode],"FAE")=0,"",SUMIFS(tblDaily[MalariaCases],tblDaily[EntryDate],DATE(2026,10,8),tblDaily[WardCode],"FAE")),"")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  <c r="I366" s="5" t="str">
        <f>IFERROR(IF(SUMIFS(tblDaily[MalariaCases],tblDaily[EntryDate],DATE(2026,10,9),tblDaily[WardCode],"FAE")=0,"",SUMIFS(tblDaily[MalariaCases],tblDaily[EntryDate],DATE(2026,10,9),tblDaily[WardCode],"FAE")),"")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  <c r="I367" s="5" t="str">
        <f>IFERROR(IF(SUMIFS(tblDaily[MalariaCases],tblDaily[EntryDate],DATE(2026,10,10),tblDaily[WardCode],"FAE")=0,"",SUMIFS(tblDaily[MalariaCases],tblDaily[EntryDate],DATE(2026,10,10),tblDaily[WardCode],"FAE")),"")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  <c r="I368" s="5" t="str">
        <f>IFERROR(IF(SUMIFS(tblDaily[MalariaCases],tblDaily[EntryDate],DATE(2026,10,11),tblDaily[WardCode],"FAE")=0,"",SUMIFS(tblDaily[MalariaCases],tblDaily[EntryDate],DATE(2026,10,11),tblDaily[WardCode],"FAE")),"")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  <c r="I369" s="5" t="str">
        <f>IFERROR(IF(SUMIFS(tblDaily[MalariaCases],tblDaily[EntryDate],DATE(2026,10,12),tblDaily[WardCode],"FAE")=0,"",SUMIFS(tblDaily[MalariaCases],tblDaily[EntryDate],DATE(2026,10,12),tblDaily[WardCode],"FAE")),"")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  <c r="I370" s="5" t="str">
        <f>IFERROR(IF(SUMIFS(tblDaily[MalariaCases],tblDaily[EntryDate],DATE(2026,10,13),tblDaily[WardCode],"FAE")=0,"",SUMIFS(tblDaily[MalariaCases],tblDaily[EntryDate],DATE(2026,10,13),tblDaily[WardCode],"FAE")),"")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  <c r="I371" s="5" t="str">
        <f>IFERROR(IF(SUMIFS(tblDaily[MalariaCases],tblDaily[EntryDate],DATE(2026,10,14),tblDaily[WardCode],"FAE")=0,"",SUMIFS(tblDaily[MalariaCases],tblDaily[EntryDate],DATE(2026,10,14),tblDaily[WardCode],"FAE")),"")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  <c r="I372" s="5" t="str">
        <f>IFERROR(IF(SUMIFS(tblDaily[MalariaCases],tblDaily[EntryDate],DATE(2026,10,15),tblDaily[WardCode],"FAE")=0,"",SUMIFS(tblDaily[MalariaCases],tblDaily[EntryDate],DATE(2026,10,15),tblDaily[WardCode],"FAE")),"")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  <c r="I373" s="5" t="str">
        <f>IFERROR(IF(SUMIFS(tblDaily[MalariaCases],tblDaily[EntryDate],DATE(2026,10,16),tblDaily[WardCode],"FAE")=0,"",SUMIFS(tblDaily[MalariaCases],tblDaily[EntryDate],DATE(2026,10,16),tblDaily[WardCode],"FAE")),"")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  <c r="I374" s="5" t="str">
        <f>IFERROR(IF(SUMIFS(tblDaily[MalariaCases],tblDaily[EntryDate],DATE(2026,10,17),tblDaily[WardCode],"FAE")=0,"",SUMIFS(tblDaily[MalariaCases],tblDaily[EntryDate],DATE(2026,10,17),tblDaily[WardCode],"FAE")),"")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  <c r="I375" s="5" t="str">
        <f>IFERROR(IF(SUMIFS(tblDaily[MalariaCases],tblDaily[EntryDate],DATE(2026,10,18),tblDaily[WardCode],"FAE")=0,"",SUMIFS(tblDaily[MalariaCases],tblDaily[EntryDate],DATE(2026,10,18),tblDaily[WardCode],"FAE")),"")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  <c r="I376" s="5" t="str">
        <f>IFERROR(IF(SUMIFS(tblDaily[MalariaCases],tblDaily[EntryDate],DATE(2026,10,19),tblDaily[WardCode],"FAE")=0,"",SUMIFS(tblDaily[MalariaCases],tblDaily[EntryDate],DATE(2026,10,19),tblDaily[WardCode],"FAE")),"")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  <c r="I377" s="5" t="str">
        <f>IFERROR(IF(SUMIFS(tblDaily[MalariaCases],tblDaily[EntryDate],DATE(2026,10,20),tblDaily[WardCode],"FAE")=0,"",SUMIFS(tblDaily[MalariaCases],tblDaily[EntryDate],DATE(2026,10,20),tblDaily[WardCode],"FAE")),"")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  <c r="I378" s="5" t="str">
        <f>IFERROR(IF(SUMIFS(tblDaily[MalariaCases],tblDaily[EntryDate],DATE(2026,10,21),tblDaily[WardCode],"FAE")=0,"",SUMIFS(tblDaily[MalariaCases],tblDaily[EntryDate],DATE(2026,10,21),tblDaily[WardCode],"FAE")),"")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  <c r="I379" s="5" t="str">
        <f>IFERROR(IF(SUMIFS(tblDaily[MalariaCases],tblDaily[EntryDate],DATE(2026,10,22),tblDaily[WardCode],"FAE")=0,"",SUMIFS(tblDaily[MalariaCases],tblDaily[EntryDate],DATE(2026,10,22),tblDaily[WardCode],"FAE")),"")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  <c r="I380" s="5" t="str">
        <f>IFERROR(IF(SUMIFS(tblDaily[MalariaCases],tblDaily[EntryDate],DATE(2026,10,23),tblDaily[WardCode],"FAE")=0,"",SUMIFS(tblDaily[MalariaCases],tblDaily[EntryDate],DATE(2026,10,23),tblDaily[WardCode],"FAE")),"")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  <c r="I381" s="5" t="str">
        <f>IFERROR(IF(SUMIFS(tblDaily[MalariaCases],tblDaily[EntryDate],DATE(2026,10,24),tblDaily[WardCode],"FAE")=0,"",SUMIFS(tblDaily[MalariaCases],tblDaily[EntryDate],DATE(2026,10,24),tblDaily[WardCode],"FAE")),"")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  <c r="I382" s="5" t="str">
        <f>IFERROR(IF(SUMIFS(tblDaily[MalariaCases],tblDaily[EntryDate],DATE(2026,10,25),tblDaily[WardCode],"FAE")=0,"",SUMIFS(tblDaily[MalariaCases],tblDaily[EntryDate],DATE(2026,10,25),tblDaily[WardCode],"FAE")),"")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  <c r="I383" s="5" t="str">
        <f>IFERROR(IF(SUMIFS(tblDaily[MalariaCases],tblDaily[EntryDate],DATE(2026,10,26),tblDaily[WardCode],"FAE")=0,"",SUMIFS(tblDaily[MalariaCases],tblDaily[EntryDate],DATE(2026,10,26),tblDaily[WardCode],"FAE")),"")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  <c r="I384" s="5" t="str">
        <f>IFERROR(IF(SUMIFS(tblDaily[MalariaCases],tblDaily[EntryDate],DATE(2026,10,27),tblDaily[WardCode],"FAE")=0,"",SUMIFS(tblDaily[MalariaCases],tblDaily[EntryDate],DATE(2026,10,27),tblDaily[WardCode],"FAE")),"")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  <c r="I385" s="5" t="str">
        <f>IFERROR(IF(SUMIFS(tblDaily[MalariaCases],tblDaily[EntryDate],DATE(2026,10,28),tblDaily[WardCode],"FAE")=0,"",SUMIFS(tblDaily[MalariaCases],tblDaily[EntryDate],DATE(2026,10,28),tblDaily[WardCode],"FAE")),"")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  <c r="I386" s="5" t="str">
        <f>IFERROR(IF(SUMIFS(tblDaily[MalariaCases],tblDaily[EntryDate],DATE(2026,10,29),tblDaily[WardCode],"FAE")=0,"",SUMIFS(tblDaily[MalariaCases],tblDaily[EntryDate],DATE(2026,10,29),tblDaily[WardCode],"FAE")),"")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  <c r="I387" s="5" t="str">
        <f>IFERROR(IF(SUMIFS(tblDaily[MalariaCases],tblDaily[EntryDate],DATE(2026,10,30),tblDaily[WardCode],"FAE")=0,"",SUMIFS(tblDaily[MalariaCases],tblDaily[EntryDate],DATE(2026,10,30),tblDaily[WardCode],"FAE")),"")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  <c r="I388" s="5" t="str">
        <f>IFERROR(IF(SUMIFS(tblDaily[MalariaCases],tblDaily[EntryDate],DATE(2026,10,31),tblDaily[WardCode],"FAE")=0,"",SUMIFS(tblDaily[MalariaCases],tblDaily[EntryDate],DATE(2026,10,31),tblDaily[WardCode],"FAE")),"")</f>
        <v/>
      </c>
    </row>
    <row r="389" spans="1:9" x14ac:dyDescent="0.25">
      <c r="A389" s="9" t="s">
        <v>94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102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IFERROR(SUMIFS(tblDaily[Remaining],tblDaily[EntryDate],DATE(2026,10,31),tblDaily[WardCode],"FAE"),0)</f>
        <v>0</v>
      </c>
    </row>
    <row r="395" spans="1:9" x14ac:dyDescent="0.25">
      <c r="A395" s="1" t="s">
        <v>87</v>
      </c>
      <c r="H395" s="7">
        <f>IFERROR(INDEX(tblWardConfig[BedComplement],MATCH("FAE",tblWardConfig[Export Year-End],0)),0)</f>
        <v>10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  <c r="I397" s="5" t="str">
        <f>IFERROR(IF(SUMIFS(tblDaily[MalariaCases],tblDaily[EntryDate],DATE(2026,11,1),tblDaily[WardCode],"FAE")=0,"",SUMIFS(tblDaily[MalariaCases],tblDaily[EntryDate],DATE(2026,11,1),tblDaily[WardCode],"FAE")),"")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  <c r="I398" s="5" t="str">
        <f>IFERROR(IF(SUMIFS(tblDaily[MalariaCases],tblDaily[EntryDate],DATE(2026,11,2),tblDaily[WardCode],"FAE")=0,"",SUMIFS(tblDaily[MalariaCases],tblDaily[EntryDate],DATE(2026,11,2),tblDaily[WardCode],"FAE")),"")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  <c r="I399" s="5" t="str">
        <f>IFERROR(IF(SUMIFS(tblDaily[MalariaCases],tblDaily[EntryDate],DATE(2026,11,3),tblDaily[WardCode],"FAE")=0,"",SUMIFS(tblDaily[MalariaCases],tblDaily[EntryDate],DATE(2026,11,3),tblDaily[WardCode],"FAE")),"")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  <c r="I400" s="5" t="str">
        <f>IFERROR(IF(SUMIFS(tblDaily[MalariaCases],tblDaily[EntryDate],DATE(2026,11,4),tblDaily[WardCode],"FAE")=0,"",SUMIFS(tblDaily[MalariaCases],tblDaily[EntryDate],DATE(2026,11,4),tblDaily[WardCode],"FAE")),"")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  <c r="I401" s="5" t="str">
        <f>IFERROR(IF(SUMIFS(tblDaily[MalariaCases],tblDaily[EntryDate],DATE(2026,11,5),tblDaily[WardCode],"FAE")=0,"",SUMIFS(tblDaily[MalariaCases],tblDaily[EntryDate],DATE(2026,11,5),tblDaily[WardCode],"FAE")),"")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  <c r="I402" s="5" t="str">
        <f>IFERROR(IF(SUMIFS(tblDaily[MalariaCases],tblDaily[EntryDate],DATE(2026,11,6),tblDaily[WardCode],"FAE")=0,"",SUMIFS(tblDaily[MalariaCases],tblDaily[EntryDate],DATE(2026,11,6),tblDaily[WardCode],"FAE")),"")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  <c r="I403" s="5" t="str">
        <f>IFERROR(IF(SUMIFS(tblDaily[MalariaCases],tblDaily[EntryDate],DATE(2026,11,7),tblDaily[WardCode],"FAE")=0,"",SUMIFS(tblDaily[MalariaCases],tblDaily[EntryDate],DATE(2026,11,7),tblDaily[WardCode],"FAE")),"")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  <c r="I404" s="5" t="str">
        <f>IFERROR(IF(SUMIFS(tblDaily[MalariaCases],tblDaily[EntryDate],DATE(2026,11,8),tblDaily[WardCode],"FAE")=0,"",SUMIFS(tblDaily[MalariaCases],tblDaily[EntryDate],DATE(2026,11,8),tblDaily[WardCode],"FAE")),"")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  <c r="I405" s="5" t="str">
        <f>IFERROR(IF(SUMIFS(tblDaily[MalariaCases],tblDaily[EntryDate],DATE(2026,11,9),tblDaily[WardCode],"FAE")=0,"",SUMIFS(tblDaily[MalariaCases],tblDaily[EntryDate],DATE(2026,11,9),tblDaily[WardCode],"FAE")),"")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  <c r="I406" s="5" t="str">
        <f>IFERROR(IF(SUMIFS(tblDaily[MalariaCases],tblDaily[EntryDate],DATE(2026,11,10),tblDaily[WardCode],"FAE")=0,"",SUMIFS(tblDaily[MalariaCases],tblDaily[EntryDate],DATE(2026,11,10),tblDaily[WardCode],"FAE")),"")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  <c r="I407" s="5" t="str">
        <f>IFERROR(IF(SUMIFS(tblDaily[MalariaCases],tblDaily[EntryDate],DATE(2026,11,11),tblDaily[WardCode],"FAE")=0,"",SUMIFS(tblDaily[MalariaCases],tblDaily[EntryDate],DATE(2026,11,11),tblDaily[WardCode],"FAE")),"")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  <c r="I408" s="5" t="str">
        <f>IFERROR(IF(SUMIFS(tblDaily[MalariaCases],tblDaily[EntryDate],DATE(2026,11,12),tblDaily[WardCode],"FAE")=0,"",SUMIFS(tblDaily[MalariaCases],tblDaily[EntryDate],DATE(2026,11,12),tblDaily[WardCode],"FAE")),"")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  <c r="I409" s="5" t="str">
        <f>IFERROR(IF(SUMIFS(tblDaily[MalariaCases],tblDaily[EntryDate],DATE(2026,11,13),tblDaily[WardCode],"FAE")=0,"",SUMIFS(tblDaily[MalariaCases],tblDaily[EntryDate],DATE(2026,11,13),tblDaily[WardCode],"FAE")),"")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  <c r="I410" s="5" t="str">
        <f>IFERROR(IF(SUMIFS(tblDaily[MalariaCases],tblDaily[EntryDate],DATE(2026,11,14),tblDaily[WardCode],"FAE")=0,"",SUMIFS(tblDaily[MalariaCases],tblDaily[EntryDate],DATE(2026,11,14),tblDaily[WardCode],"FAE")),"")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  <c r="I411" s="5" t="str">
        <f>IFERROR(IF(SUMIFS(tblDaily[MalariaCases],tblDaily[EntryDate],DATE(2026,11,15),tblDaily[WardCode],"FAE")=0,"",SUMIFS(tblDaily[MalariaCases],tblDaily[EntryDate],DATE(2026,11,15),tblDaily[WardCode],"FAE")),"")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  <c r="I412" s="5" t="str">
        <f>IFERROR(IF(SUMIFS(tblDaily[MalariaCases],tblDaily[EntryDate],DATE(2026,11,16),tblDaily[WardCode],"FAE")=0,"",SUMIFS(tblDaily[MalariaCases],tblDaily[EntryDate],DATE(2026,11,16),tblDaily[WardCode],"FAE")),"")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  <c r="I413" s="5" t="str">
        <f>IFERROR(IF(SUMIFS(tblDaily[MalariaCases],tblDaily[EntryDate],DATE(2026,11,17),tblDaily[WardCode],"FAE")=0,"",SUMIFS(tblDaily[MalariaCases],tblDaily[EntryDate],DATE(2026,11,17),tblDaily[WardCode],"FAE")),"")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  <c r="I414" s="5" t="str">
        <f>IFERROR(IF(SUMIFS(tblDaily[MalariaCases],tblDaily[EntryDate],DATE(2026,11,18),tblDaily[WardCode],"FAE")=0,"",SUMIFS(tblDaily[MalariaCases],tblDaily[EntryDate],DATE(2026,11,18),tblDaily[WardCode],"FAE")),"")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  <c r="I415" s="5" t="str">
        <f>IFERROR(IF(SUMIFS(tblDaily[MalariaCases],tblDaily[EntryDate],DATE(2026,11,19),tblDaily[WardCode],"FAE")=0,"",SUMIFS(tblDaily[MalariaCases],tblDaily[EntryDate],DATE(2026,11,19),tblDaily[WardCode],"FAE")),"")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  <c r="I416" s="5" t="str">
        <f>IFERROR(IF(SUMIFS(tblDaily[MalariaCases],tblDaily[EntryDate],DATE(2026,11,20),tblDaily[WardCode],"FAE")=0,"",SUMIFS(tblDaily[MalariaCases],tblDaily[EntryDate],DATE(2026,11,20),tblDaily[WardCode],"FAE")),"")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  <c r="I417" s="5" t="str">
        <f>IFERROR(IF(SUMIFS(tblDaily[MalariaCases],tblDaily[EntryDate],DATE(2026,11,21),tblDaily[WardCode],"FAE")=0,"",SUMIFS(tblDaily[MalariaCases],tblDaily[EntryDate],DATE(2026,11,21),tblDaily[WardCode],"FAE")),"")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  <c r="I418" s="5" t="str">
        <f>IFERROR(IF(SUMIFS(tblDaily[MalariaCases],tblDaily[EntryDate],DATE(2026,11,22),tblDaily[WardCode],"FAE")=0,"",SUMIFS(tblDaily[MalariaCases],tblDaily[EntryDate],DATE(2026,11,22),tblDaily[WardCode],"FAE")),"")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  <c r="I419" s="5" t="str">
        <f>IFERROR(IF(SUMIFS(tblDaily[MalariaCases],tblDaily[EntryDate],DATE(2026,11,23),tblDaily[WardCode],"FAE")=0,"",SUMIFS(tblDaily[MalariaCases],tblDaily[EntryDate],DATE(2026,11,23),tblDaily[WardCode],"FAE")),"")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  <c r="I420" s="5" t="str">
        <f>IFERROR(IF(SUMIFS(tblDaily[MalariaCases],tblDaily[EntryDate],DATE(2026,11,24),tblDaily[WardCode],"FAE")=0,"",SUMIFS(tblDaily[MalariaCases],tblDaily[EntryDate],DATE(2026,11,24),tblDaily[WardCode],"FAE")),"")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  <c r="I421" s="5" t="str">
        <f>IFERROR(IF(SUMIFS(tblDaily[MalariaCases],tblDaily[EntryDate],DATE(2026,11,25),tblDaily[WardCode],"FAE")=0,"",SUMIFS(tblDaily[MalariaCases],tblDaily[EntryDate],DATE(2026,11,25),tblDaily[WardCode],"FAE")),"")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  <c r="I422" s="5" t="str">
        <f>IFERROR(IF(SUMIFS(tblDaily[MalariaCases],tblDaily[EntryDate],DATE(2026,11,26),tblDaily[WardCode],"FAE")=0,"",SUMIFS(tblDaily[MalariaCases],tblDaily[EntryDate],DATE(2026,11,26),tblDaily[WardCode],"FAE")),"")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  <c r="I423" s="5" t="str">
        <f>IFERROR(IF(SUMIFS(tblDaily[MalariaCases],tblDaily[EntryDate],DATE(2026,11,27),tblDaily[WardCode],"FAE")=0,"",SUMIFS(tblDaily[MalariaCases],tblDaily[EntryDate],DATE(2026,11,27),tblDaily[WardCode],"FAE")),"")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  <c r="I424" s="5" t="str">
        <f>IFERROR(IF(SUMIFS(tblDaily[MalariaCases],tblDaily[EntryDate],DATE(2026,11,28),tblDaily[WardCode],"FAE")=0,"",SUMIFS(tblDaily[MalariaCases],tblDaily[EntryDate],DATE(2026,11,28),tblDaily[WardCode],"FAE")),"")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  <c r="I425" s="5" t="str">
        <f>IFERROR(IF(SUMIFS(tblDaily[MalariaCases],tblDaily[EntryDate],DATE(2026,11,29),tblDaily[WardCode],"FAE")=0,"",SUMIFS(tblDaily[MalariaCases],tblDaily[EntryDate],DATE(2026,11,29),tblDaily[WardCode],"FAE")),"")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  <c r="I426" s="5" t="str">
        <f>IFERROR(IF(SUMIFS(tblDaily[MalariaCases],tblDaily[EntryDate],DATE(2026,11,30),tblDaily[WardCode],"FAE")=0,"",SUMIFS(tblDaily[MalariaCases],tblDaily[EntryDate],DATE(2026,11,30),tblDaily[WardCode],"FAE")),"")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102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IFERROR(SUMIFS(tblDaily[Remaining],tblDaily[EntryDate],DATE(2026,11,30),tblDaily[WardCode],"FAE"),0)</f>
        <v>0</v>
      </c>
    </row>
    <row r="434" spans="1:9" x14ac:dyDescent="0.25">
      <c r="A434" s="1" t="s">
        <v>87</v>
      </c>
      <c r="H434" s="7">
        <f>IFERROR(INDEX(tblWardConfig[BedComplement],MATCH("FAE",tblWardConfig[Export Year-End],0)),0)</f>
        <v>10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  <c r="I436" s="5" t="str">
        <f>IFERROR(IF(SUMIFS(tblDaily[MalariaCases],tblDaily[EntryDate],DATE(2026,12,1),tblDaily[WardCode],"FAE")=0,"",SUMIFS(tblDaily[MalariaCases],tblDaily[EntryDate],DATE(2026,12,1),tblDaily[WardCode],"FAE")),"")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  <c r="I437" s="5" t="str">
        <f>IFERROR(IF(SUMIFS(tblDaily[MalariaCases],tblDaily[EntryDate],DATE(2026,12,2),tblDaily[WardCode],"FAE")=0,"",SUMIFS(tblDaily[MalariaCases],tblDaily[EntryDate],DATE(2026,12,2),tblDaily[WardCode],"FAE")),"")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  <c r="I438" s="5" t="str">
        <f>IFERROR(IF(SUMIFS(tblDaily[MalariaCases],tblDaily[EntryDate],DATE(2026,12,3),tblDaily[WardCode],"FAE")=0,"",SUMIFS(tblDaily[MalariaCases],tblDaily[EntryDate],DATE(2026,12,3),tblDaily[WardCode],"FAE")),"")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  <c r="I439" s="5" t="str">
        <f>IFERROR(IF(SUMIFS(tblDaily[MalariaCases],tblDaily[EntryDate],DATE(2026,12,4),tblDaily[WardCode],"FAE")=0,"",SUMIFS(tblDaily[MalariaCases],tblDaily[EntryDate],DATE(2026,12,4),tblDaily[WardCode],"FAE")),"")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  <c r="I440" s="5" t="str">
        <f>IFERROR(IF(SUMIFS(tblDaily[MalariaCases],tblDaily[EntryDate],DATE(2026,12,5),tblDaily[WardCode],"FAE")=0,"",SUMIFS(tblDaily[MalariaCases],tblDaily[EntryDate],DATE(2026,12,5),tblDaily[WardCode],"FAE")),"")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  <c r="I441" s="5" t="str">
        <f>IFERROR(IF(SUMIFS(tblDaily[MalariaCases],tblDaily[EntryDate],DATE(2026,12,6),tblDaily[WardCode],"FAE")=0,"",SUMIFS(tblDaily[MalariaCases],tblDaily[EntryDate],DATE(2026,12,6),tblDaily[WardCode],"FAE")),"")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  <c r="I442" s="5" t="str">
        <f>IFERROR(IF(SUMIFS(tblDaily[MalariaCases],tblDaily[EntryDate],DATE(2026,12,7),tblDaily[WardCode],"FAE")=0,"",SUMIFS(tblDaily[MalariaCases],tblDaily[EntryDate],DATE(2026,12,7),tblDaily[WardCode],"FAE")),"")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  <c r="I443" s="5" t="str">
        <f>IFERROR(IF(SUMIFS(tblDaily[MalariaCases],tblDaily[EntryDate],DATE(2026,12,8),tblDaily[WardCode],"FAE")=0,"",SUMIFS(tblDaily[MalariaCases],tblDaily[EntryDate],DATE(2026,12,8),tblDaily[WardCode],"FAE")),"")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  <c r="I444" s="5" t="str">
        <f>IFERROR(IF(SUMIFS(tblDaily[MalariaCases],tblDaily[EntryDate],DATE(2026,12,9),tblDaily[WardCode],"FAE")=0,"",SUMIFS(tblDaily[MalariaCases],tblDaily[EntryDate],DATE(2026,12,9),tblDaily[WardCode],"FAE")),"")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  <c r="I445" s="5" t="str">
        <f>IFERROR(IF(SUMIFS(tblDaily[MalariaCases],tblDaily[EntryDate],DATE(2026,12,10),tblDaily[WardCode],"FAE")=0,"",SUMIFS(tblDaily[MalariaCases],tblDaily[EntryDate],DATE(2026,12,10),tblDaily[WardCode],"FAE")),"")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  <c r="I446" s="5" t="str">
        <f>IFERROR(IF(SUMIFS(tblDaily[MalariaCases],tblDaily[EntryDate],DATE(2026,12,11),tblDaily[WardCode],"FAE")=0,"",SUMIFS(tblDaily[MalariaCases],tblDaily[EntryDate],DATE(2026,12,11),tblDaily[WardCode],"FAE")),"")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  <c r="I447" s="5" t="str">
        <f>IFERROR(IF(SUMIFS(tblDaily[MalariaCases],tblDaily[EntryDate],DATE(2026,12,12),tblDaily[WardCode],"FAE")=0,"",SUMIFS(tblDaily[MalariaCases],tblDaily[EntryDate],DATE(2026,12,12),tblDaily[WardCode],"FAE")),"")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  <c r="I448" s="5" t="str">
        <f>IFERROR(IF(SUMIFS(tblDaily[MalariaCases],tblDaily[EntryDate],DATE(2026,12,13),tblDaily[WardCode],"FAE")=0,"",SUMIFS(tblDaily[MalariaCases],tblDaily[EntryDate],DATE(2026,12,13),tblDaily[WardCode],"FAE")),"")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  <c r="I449" s="5" t="str">
        <f>IFERROR(IF(SUMIFS(tblDaily[MalariaCases],tblDaily[EntryDate],DATE(2026,12,14),tblDaily[WardCode],"FAE")=0,"",SUMIFS(tblDaily[MalariaCases],tblDaily[EntryDate],DATE(2026,12,14),tblDaily[WardCode],"FAE")),"")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  <c r="I450" s="5" t="str">
        <f>IFERROR(IF(SUMIFS(tblDaily[MalariaCases],tblDaily[EntryDate],DATE(2026,12,15),tblDaily[WardCode],"FAE")=0,"",SUMIFS(tblDaily[MalariaCases],tblDaily[EntryDate],DATE(2026,12,15),tblDaily[WardCode],"FAE")),"")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  <c r="I451" s="5" t="str">
        <f>IFERROR(IF(SUMIFS(tblDaily[MalariaCases],tblDaily[EntryDate],DATE(2026,12,16),tblDaily[WardCode],"FAE")=0,"",SUMIFS(tblDaily[MalariaCases],tblDaily[EntryDate],DATE(2026,12,16),tblDaily[WardCode],"FAE")),"")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  <c r="I452" s="5" t="str">
        <f>IFERROR(IF(SUMIFS(tblDaily[MalariaCases],tblDaily[EntryDate],DATE(2026,12,17),tblDaily[WardCode],"FAE")=0,"",SUMIFS(tblDaily[MalariaCases],tblDaily[EntryDate],DATE(2026,12,17),tblDaily[WardCode],"FAE")),"")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  <c r="I453" s="5" t="str">
        <f>IFERROR(IF(SUMIFS(tblDaily[MalariaCases],tblDaily[EntryDate],DATE(2026,12,18),tblDaily[WardCode],"FAE")=0,"",SUMIFS(tblDaily[MalariaCases],tblDaily[EntryDate],DATE(2026,12,18),tblDaily[WardCode],"FAE")),"")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  <c r="I454" s="5" t="str">
        <f>IFERROR(IF(SUMIFS(tblDaily[MalariaCases],tblDaily[EntryDate],DATE(2026,12,19),tblDaily[WardCode],"FAE")=0,"",SUMIFS(tblDaily[MalariaCases],tblDaily[EntryDate],DATE(2026,12,19),tblDaily[WardCode],"FAE")),"")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  <c r="I455" s="5" t="str">
        <f>IFERROR(IF(SUMIFS(tblDaily[MalariaCases],tblDaily[EntryDate],DATE(2026,12,20),tblDaily[WardCode],"FAE")=0,"",SUMIFS(tblDaily[MalariaCases],tblDaily[EntryDate],DATE(2026,12,20),tblDaily[WardCode],"FAE")),"")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  <c r="I456" s="5" t="str">
        <f>IFERROR(IF(SUMIFS(tblDaily[MalariaCases],tblDaily[EntryDate],DATE(2026,12,21),tblDaily[WardCode],"FAE")=0,"",SUMIFS(tblDaily[MalariaCases],tblDaily[EntryDate],DATE(2026,12,21),tblDaily[WardCode],"FAE")),"")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  <c r="I457" s="5" t="str">
        <f>IFERROR(IF(SUMIFS(tblDaily[MalariaCases],tblDaily[EntryDate],DATE(2026,12,22),tblDaily[WardCode],"FAE")=0,"",SUMIFS(tblDaily[MalariaCases],tblDaily[EntryDate],DATE(2026,12,22),tblDaily[WardCode],"FAE")),"")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  <c r="I458" s="5" t="str">
        <f>IFERROR(IF(SUMIFS(tblDaily[MalariaCases],tblDaily[EntryDate],DATE(2026,12,23),tblDaily[WardCode],"FAE")=0,"",SUMIFS(tblDaily[MalariaCases],tblDaily[EntryDate],DATE(2026,12,23),tblDaily[WardCode],"FAE")),"")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  <c r="I459" s="5" t="str">
        <f>IFERROR(IF(SUMIFS(tblDaily[MalariaCases],tblDaily[EntryDate],DATE(2026,12,24),tblDaily[WardCode],"FAE")=0,"",SUMIFS(tblDaily[MalariaCases],tblDaily[EntryDate],DATE(2026,12,24),tblDaily[WardCode],"FAE")),"")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  <c r="I460" s="5" t="str">
        <f>IFERROR(IF(SUMIFS(tblDaily[MalariaCases],tblDaily[EntryDate],DATE(2026,12,25),tblDaily[WardCode],"FAE")=0,"",SUMIFS(tblDaily[MalariaCases],tblDaily[EntryDate],DATE(2026,12,25),tblDaily[WardCode],"FAE")),"")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  <c r="I461" s="5" t="str">
        <f>IFERROR(IF(SUMIFS(tblDaily[MalariaCases],tblDaily[EntryDate],DATE(2026,12,26),tblDaily[WardCode],"FAE")=0,"",SUMIFS(tblDaily[MalariaCases],tblDaily[EntryDate],DATE(2026,12,26),tblDaily[WardCode],"FAE")),"")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  <c r="I462" s="5" t="str">
        <f>IFERROR(IF(SUMIFS(tblDaily[MalariaCases],tblDaily[EntryDate],DATE(2026,12,27),tblDaily[WardCode],"FAE")=0,"",SUMIFS(tblDaily[MalariaCases],tblDaily[EntryDate],DATE(2026,12,27),tblDaily[WardCode],"FAE")),"")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  <c r="I463" s="5" t="str">
        <f>IFERROR(IF(SUMIFS(tblDaily[MalariaCases],tblDaily[EntryDate],DATE(2026,12,28),tblDaily[WardCode],"FAE")=0,"",SUMIFS(tblDaily[MalariaCases],tblDaily[EntryDate],DATE(2026,12,28),tblDaily[WardCode],"FAE")),"")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  <c r="I464" s="5" t="str">
        <f>IFERROR(IF(SUMIFS(tblDaily[MalariaCases],tblDaily[EntryDate],DATE(2026,12,29),tblDaily[WardCode],"FAE")=0,"",SUMIFS(tblDaily[MalariaCases],tblDaily[EntryDate],DATE(2026,12,29),tblDaily[WardCode],"FAE")),"")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  <c r="I465" s="5" t="str">
        <f>IFERROR(IF(SUMIFS(tblDaily[MalariaCases],tblDaily[EntryDate],DATE(2026,12,30),tblDaily[WardCode],"FAE")=0,"",SUMIFS(tblDaily[MalariaCases],tblDaily[EntryDate],DATE(2026,12,30),tblDaily[WardCode],"FAE")),"")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  <c r="I466" s="5" t="str">
        <f>IFERROR(IF(SUMIFS(tblDaily[MalariaCases],tblDaily[EntryDate],DATE(2026,12,31),tblDaily[WardCode],"FAE")=0,"",SUMIFS(tblDaily[MalariaCases],tblDaily[EntryDate],DATE(2026,12,31),tblDaily[WardCode],"FAE")),"")</f>
        <v/>
      </c>
    </row>
    <row r="467" spans="1:9" x14ac:dyDescent="0.25">
      <c r="A467" s="9" t="s">
        <v>94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5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5.75" x14ac:dyDescent="0.25">
      <c r="A2" s="24" t="s">
        <v>103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</row>
    <row r="3" spans="1:16" ht="38.25" x14ac:dyDescent="0.25">
      <c r="A3" s="8" t="s">
        <v>104</v>
      </c>
      <c r="B3" s="8" t="s">
        <v>105</v>
      </c>
      <c r="C3" s="8" t="s">
        <v>106</v>
      </c>
      <c r="D3" s="8" t="s">
        <v>54</v>
      </c>
      <c r="E3" s="8" t="s">
        <v>55</v>
      </c>
      <c r="F3" s="8" t="s">
        <v>56</v>
      </c>
      <c r="G3" s="8" t="s">
        <v>89</v>
      </c>
      <c r="H3" s="8" t="s">
        <v>107</v>
      </c>
      <c r="I3" s="8" t="s">
        <v>108</v>
      </c>
      <c r="J3" s="8" t="s">
        <v>109</v>
      </c>
      <c r="K3" s="8" t="s">
        <v>110</v>
      </c>
      <c r="L3" s="8" t="s">
        <v>111</v>
      </c>
      <c r="M3" s="8" t="s">
        <v>112</v>
      </c>
      <c r="N3" s="8" t="s">
        <v>113</v>
      </c>
      <c r="O3" s="8" t="s">
        <v>114</v>
      </c>
      <c r="P3" s="8" t="s">
        <v>115</v>
      </c>
    </row>
    <row r="4" spans="1:16" x14ac:dyDescent="0.25">
      <c r="A4" s="11" t="s">
        <v>19</v>
      </c>
      <c r="B4" s="5">
        <f>IFERROR(INDEX(tblWardConfig[PrevYearRemaining],MATCH("MW",tblWardConfig[Export Year-End],0)),0)</f>
        <v>0</v>
      </c>
      <c r="C4" s="5">
        <f>IFERROR(INDEX(tblWardConfig[BedComplement],MATCH("MW",tblWardConfig[Export Year-End],0)),0)</f>
        <v>32</v>
      </c>
      <c r="D4" s="5">
        <f>SUMIFS(tblDaily[Admissions],tblDaily[Month],1,tblDaily[WardCode],"MW")</f>
        <v>0</v>
      </c>
      <c r="E4" s="5">
        <f>SUMIFS(tblDaily[Discharges],tblDaily[Month],1,tblDaily[WardCode],"MW")</f>
        <v>0</v>
      </c>
      <c r="F4" s="5">
        <f>SUMIFS(tblDaily[Deaths],tblDaily[Month],1,tblDaily[WardCode],"MW")</f>
        <v>0</v>
      </c>
      <c r="G4" s="5">
        <f>SUMIFS(tblDaily[DeathsUnder24Hrs],tblDaily[Month],1,tblDaily[WardCode],"MW")</f>
        <v>0</v>
      </c>
      <c r="H4" s="5">
        <f>SUMIFS(tblDaily[Remaining],tblDaily[Month],1,tblDaily[WardCode],"MW")</f>
        <v>0</v>
      </c>
      <c r="I4" s="5">
        <f>SUMIFS(tblDaily[TransfersIn],tblDaily[Month],1,tblDaily[WardCode],"MW")</f>
        <v>0</v>
      </c>
      <c r="J4" s="5">
        <f>SUMIFS(tblDaily[TransfersOut],tblDaily[Month],1,tblDaily[WardCode],"MW")</f>
        <v>0</v>
      </c>
      <c r="K4" s="12">
        <f t="shared" ref="K4:K14" si="0">IFERROR(H4/31,0)</f>
        <v>0</v>
      </c>
      <c r="L4" s="12">
        <f t="shared" ref="L4:L14" si="1">IFERROR(H4/(E4+F4),0)</f>
        <v>0</v>
      </c>
      <c r="M4" s="12">
        <f t="shared" ref="M4:M14" si="2">IFERROR((C4*31-H4)/(E4+F4),0)</f>
        <v>0</v>
      </c>
      <c r="N4" s="12">
        <f t="shared" ref="N4:N14" si="3">IFERROR((E4+F4)/C4,0)</f>
        <v>0</v>
      </c>
      <c r="O4" s="12">
        <f t="shared" ref="O4:O14" si="4">IFERROR((H4/(C4*31))*100,0)</f>
        <v>0</v>
      </c>
      <c r="P4" s="12">
        <f t="shared" ref="P4:P14" si="5">IFERROR((F4/(D4+B4))*100,0)</f>
        <v>0</v>
      </c>
    </row>
    <row r="5" spans="1:16" x14ac:dyDescent="0.25">
      <c r="A5" s="11" t="s">
        <v>21</v>
      </c>
      <c r="B5" s="5">
        <f>IFERROR(INDEX(tblWardConfig[PrevYearRemaining],MATCH("FW",tblWardConfig[Export Year-End],0)),0)</f>
        <v>0</v>
      </c>
      <c r="C5" s="5">
        <f>IFERROR(INDEX(tblWardConfig[BedComplement],MATCH("FW",tblWardConfig[Export Year-End],0)),0)</f>
        <v>28</v>
      </c>
      <c r="D5" s="5">
        <f>SUMIFS(tblDaily[Admissions],tblDaily[Month],1,tblDaily[WardCode],"FW")</f>
        <v>0</v>
      </c>
      <c r="E5" s="5">
        <f>SUMIFS(tblDaily[Discharges],tblDaily[Month],1,tblDaily[WardCode],"FW")</f>
        <v>0</v>
      </c>
      <c r="F5" s="5">
        <f>SUMIFS(tblDaily[Deaths],tblDaily[Month],1,tblDaily[WardCode],"FW")</f>
        <v>0</v>
      </c>
      <c r="G5" s="5">
        <f>SUMIFS(tblDaily[DeathsUnder24Hrs],tblDaily[Month],1,tblDaily[WardCode],"FW")</f>
        <v>0</v>
      </c>
      <c r="H5" s="5">
        <f>SUMIFS(tblDaily[Remaining],tblDaily[Month],1,tblDaily[WardCode],"FW")</f>
        <v>0</v>
      </c>
      <c r="I5" s="5">
        <f>SUMIFS(tblDaily[TransfersIn],tblDaily[Month],1,tblDaily[WardCode],"FW")</f>
        <v>0</v>
      </c>
      <c r="J5" s="5">
        <f>SUMIFS(tblDaily[TransfersOut],tblDaily[Month],1,tblDaily[WardCode],"FW")</f>
        <v>0</v>
      </c>
      <c r="K5" s="12">
        <f t="shared" si="0"/>
        <v>0</v>
      </c>
      <c r="L5" s="12">
        <f t="shared" si="1"/>
        <v>0</v>
      </c>
      <c r="M5" s="12">
        <f t="shared" si="2"/>
        <v>0</v>
      </c>
      <c r="N5" s="12">
        <f t="shared" si="3"/>
        <v>0</v>
      </c>
      <c r="O5" s="12">
        <f t="shared" si="4"/>
        <v>0</v>
      </c>
      <c r="P5" s="12">
        <f t="shared" si="5"/>
        <v>0</v>
      </c>
    </row>
    <row r="6" spans="1:16" x14ac:dyDescent="0.25">
      <c r="A6" s="11" t="s">
        <v>23</v>
      </c>
      <c r="B6" s="5">
        <f>IFERROR(INDEX(tblWardConfig[PrevYearRemaining],MATCH("CW",tblWardConfig[Export Year-End],0)),0)</f>
        <v>0</v>
      </c>
      <c r="C6" s="5">
        <f>IFERROR(INDEX(tblWardConfig[BedComplement],MATCH("CW",tblWardConfig[Export Year-End],0)),0)</f>
        <v>27</v>
      </c>
      <c r="D6" s="5">
        <f>SUMIFS(tblDaily[Admissions],tblDaily[Month],1,tblDaily[WardCode],"CW")</f>
        <v>0</v>
      </c>
      <c r="E6" s="5">
        <f>SUMIFS(tblDaily[Discharges],tblDaily[Month],1,tblDaily[WardCode],"CW")</f>
        <v>0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0</v>
      </c>
      <c r="I6" s="5">
        <f>SUMIFS(tblDaily[TransfersIn],tblDaily[Month],1,tblDaily[WardCode],"CW")</f>
        <v>0</v>
      </c>
      <c r="J6" s="5">
        <f>SUMIFS(tblDaily[TransfersOut],tblDaily[Month],1,tblDaily[WardCode],"CW")</f>
        <v>0</v>
      </c>
      <c r="K6" s="12">
        <f t="shared" si="0"/>
        <v>0</v>
      </c>
      <c r="L6" s="12">
        <f t="shared" si="1"/>
        <v>0</v>
      </c>
      <c r="M6" s="12">
        <f t="shared" si="2"/>
        <v>0</v>
      </c>
      <c r="N6" s="12">
        <f t="shared" si="3"/>
        <v>0</v>
      </c>
      <c r="O6" s="12">
        <f t="shared" si="4"/>
        <v>0</v>
      </c>
      <c r="P6" s="12">
        <f t="shared" si="5"/>
        <v>0</v>
      </c>
    </row>
    <row r="7" spans="1:16" x14ac:dyDescent="0.25">
      <c r="A7" s="11" t="s">
        <v>25</v>
      </c>
      <c r="B7" s="5">
        <f>IFERROR(INDEX(tblWardConfig[PrevYearRemaining],MATCH("BF",tblWardConfig[Export Year-End],0)),0)</f>
        <v>0</v>
      </c>
      <c r="C7" s="5">
        <f>IFERROR(INDEX(tblWardConfig[BedComplement],MATCH("BF",tblWardConfig[Export Year-End],0)),0)</f>
        <v>20</v>
      </c>
      <c r="D7" s="5">
        <f>SUMIFS(tblDaily[Admissions],tblDaily[Month],1,tblDaily[WardCode],"BF")</f>
        <v>0</v>
      </c>
      <c r="E7" s="5">
        <f>SUMIFS(tblDaily[Discharges],tblDaily[Month],1,tblDaily[WardCode],"BF")</f>
        <v>0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0</v>
      </c>
      <c r="I7" s="5">
        <f>SUMIFS(tblDaily[TransfersIn],tblDaily[Month],1,tblDaily[WardCode],"BF")</f>
        <v>0</v>
      </c>
      <c r="J7" s="5">
        <f>SUMIFS(tblDaily[TransfersOut],tblDaily[Month],1,tblDaily[WardCode],"BF")</f>
        <v>0</v>
      </c>
      <c r="K7" s="12">
        <f t="shared" si="0"/>
        <v>0</v>
      </c>
      <c r="L7" s="12">
        <f t="shared" si="1"/>
        <v>0</v>
      </c>
      <c r="M7" s="12">
        <f t="shared" si="2"/>
        <v>0</v>
      </c>
      <c r="N7" s="12">
        <f t="shared" si="3"/>
        <v>0</v>
      </c>
      <c r="O7" s="12">
        <f t="shared" si="4"/>
        <v>0</v>
      </c>
      <c r="P7" s="12">
        <f t="shared" si="5"/>
        <v>0</v>
      </c>
    </row>
    <row r="8" spans="1:16" x14ac:dyDescent="0.25">
      <c r="A8" s="11" t="s">
        <v>27</v>
      </c>
      <c r="B8" s="5">
        <f>IFERROR(INDEX(tblWardConfig[PrevYearRemaining],MATCH("BG",tblWardConfig[Export Year-End],0)),0)</f>
        <v>0</v>
      </c>
      <c r="C8" s="5">
        <f>IFERROR(INDEX(tblWardConfig[BedComplement],MATCH("BG",tblWardConfig[Export Year-End],0)),0)</f>
        <v>14</v>
      </c>
      <c r="D8" s="5">
        <f>SUMIFS(tblDaily[Admissions],tblDaily[Month],1,tblDaily[WardCode],"BG")</f>
        <v>0</v>
      </c>
      <c r="E8" s="5">
        <f>SUMIFS(tblDaily[Discharges],tblDaily[Month],1,tblDaily[WardCode],"BG")</f>
        <v>0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0</v>
      </c>
      <c r="I8" s="5">
        <f>SUMIFS(tblDaily[TransfersIn],tblDaily[Month],1,tblDaily[WardCode],"BG")</f>
        <v>0</v>
      </c>
      <c r="J8" s="5">
        <f>SUMIFS(tblDaily[TransfersOut],tblDaily[Month],1,tblDaily[WardCode],"BG")</f>
        <v>0</v>
      </c>
      <c r="K8" s="12">
        <f t="shared" si="0"/>
        <v>0</v>
      </c>
      <c r="L8" s="12">
        <f t="shared" si="1"/>
        <v>0</v>
      </c>
      <c r="M8" s="12">
        <f t="shared" si="2"/>
        <v>0</v>
      </c>
      <c r="N8" s="12">
        <f t="shared" si="3"/>
        <v>0</v>
      </c>
      <c r="O8" s="12">
        <f t="shared" si="4"/>
        <v>0</v>
      </c>
      <c r="P8" s="12">
        <f t="shared" si="5"/>
        <v>0</v>
      </c>
    </row>
    <row r="9" spans="1:16" x14ac:dyDescent="0.25">
      <c r="A9" s="11" t="s">
        <v>29</v>
      </c>
      <c r="B9" s="5">
        <f>IFERROR(INDEX(tblWardConfig[PrevYearRemaining],MATCH("BH",tblWardConfig[Export Year-End],0)),0)</f>
        <v>0</v>
      </c>
      <c r="C9" s="5">
        <f>IFERROR(INDEX(tblWardConfig[BedComplement],MATCH("BH",tblWardConfig[Export Year-End],0)),0)</f>
        <v>22</v>
      </c>
      <c r="D9" s="5">
        <f>SUMIFS(tblDaily[Admissions],tblDaily[Month],1,tblDaily[WardCode],"BH")</f>
        <v>0</v>
      </c>
      <c r="E9" s="5">
        <f>SUMIFS(tblDaily[Discharges],tblDaily[Month],1,tblDaily[WardCode],"BH")</f>
        <v>0</v>
      </c>
      <c r="F9" s="5">
        <f>SUMIFS(tblDaily[Deaths],tblDaily[Month],1,tblDaily[WardCode],"BH")</f>
        <v>0</v>
      </c>
      <c r="G9" s="5">
        <f>SUMIFS(tblDaily[DeathsUnder24Hrs],tblDaily[Month],1,tblDaily[WardCode],"BH")</f>
        <v>0</v>
      </c>
      <c r="H9" s="5">
        <f>SUMIFS(tblDaily[Remaining],tblDaily[Month],1,tblDaily[WardCode],"BH")</f>
        <v>0</v>
      </c>
      <c r="I9" s="5">
        <f>SUMIFS(tblDaily[TransfersIn],tblDaily[Month],1,tblDaily[WardCode],"BH")</f>
        <v>0</v>
      </c>
      <c r="J9" s="5">
        <f>SUMIFS(tblDaily[TransfersOut],tblDaily[Month],1,tblDaily[WardCode],"BH")</f>
        <v>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12">
        <f t="shared" si="3"/>
        <v>0</v>
      </c>
      <c r="O9" s="12">
        <f t="shared" si="4"/>
        <v>0</v>
      </c>
      <c r="P9" s="12">
        <f t="shared" si="5"/>
        <v>0</v>
      </c>
    </row>
    <row r="10" spans="1:16" x14ac:dyDescent="0.25">
      <c r="A10" s="11" t="s">
        <v>31</v>
      </c>
      <c r="B10" s="5">
        <f>IFERROR(INDEX(tblWardConfig[PrevYearRemaining],MATCH("NICU",tblWardConfig[Export Year-End],0)),0)</f>
        <v>0</v>
      </c>
      <c r="C10" s="5">
        <f>IFERROR(INDEX(tblWardConfig[BedComplement],MATCH("NICU",tblWardConfig[Export Year-End],0)),0)</f>
        <v>15</v>
      </c>
      <c r="D10" s="5">
        <f>SUMIFS(tblDaily[Admissions],tblDaily[Month],1,tblDaily[WardCode],"NICU")</f>
        <v>0</v>
      </c>
      <c r="E10" s="5">
        <f>SUMIFS(tblDaily[Discharges],tblDaily[Month],1,tblDaily[WardCode],"NICU")</f>
        <v>0</v>
      </c>
      <c r="F10" s="5">
        <f>SUMIFS(tblDaily[Deaths],tblDaily[Month],1,tblDaily[WardCode],"NICU")</f>
        <v>0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0</v>
      </c>
      <c r="L10" s="12">
        <f t="shared" si="1"/>
        <v>0</v>
      </c>
      <c r="M10" s="12">
        <f t="shared" si="2"/>
        <v>0</v>
      </c>
      <c r="N10" s="12">
        <f t="shared" si="3"/>
        <v>0</v>
      </c>
      <c r="O10" s="12">
        <f t="shared" si="4"/>
        <v>0</v>
      </c>
      <c r="P10" s="12">
        <f t="shared" si="5"/>
        <v>0</v>
      </c>
    </row>
    <row r="11" spans="1:16" x14ac:dyDescent="0.25">
      <c r="A11" s="11" t="s">
        <v>33</v>
      </c>
      <c r="B11" s="5">
        <f>IFERROR(INDEX(tblWardConfig[PrevYearRemaining],MATCH("MAE",tblWardConfig[Export Year-End],0)),0)</f>
        <v>0</v>
      </c>
      <c r="C11" s="5">
        <f>IFERROR(INDEX(tblWardConfig[BedComplement],MATCH("MAE",tblWardConfig[Export Year-End],0)),0)</f>
        <v>10</v>
      </c>
      <c r="D11" s="5">
        <f>SUMIFS(tblDaily[Admissions],tblDaily[Month],1,tblDaily[WardCode],"MAE")</f>
        <v>0</v>
      </c>
      <c r="E11" s="5">
        <f>SUMIFS(tblDaily[Discharges],tblDaily[Month],1,tblDaily[WardCode],"MAE")</f>
        <v>0</v>
      </c>
      <c r="F11" s="5">
        <f>SUMIFS(tblDaily[Deaths],tblDaily[Month],1,tblDaily[WardCode],"MAE")</f>
        <v>0</v>
      </c>
      <c r="G11" s="5">
        <f>SUMIFS(tblDaily[DeathsUnder24Hrs],tblDaily[Month],1,tblDaily[WardCode],"MAE")</f>
        <v>0</v>
      </c>
      <c r="H11" s="5">
        <f>SUMIFS(tblDaily[Remaining],tblDaily[Month],1,tblDaily[WardCode],"MAE")</f>
        <v>0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0</v>
      </c>
      <c r="K11" s="12">
        <f t="shared" si="0"/>
        <v>0</v>
      </c>
      <c r="L11" s="12">
        <f t="shared" si="1"/>
        <v>0</v>
      </c>
      <c r="M11" s="12">
        <f t="shared" si="2"/>
        <v>0</v>
      </c>
      <c r="N11" s="12">
        <f t="shared" si="3"/>
        <v>0</v>
      </c>
      <c r="O11" s="12">
        <f t="shared" si="4"/>
        <v>0</v>
      </c>
      <c r="P11" s="12">
        <f t="shared" si="5"/>
        <v>0</v>
      </c>
    </row>
    <row r="12" spans="1:16" x14ac:dyDescent="0.25">
      <c r="A12" s="11" t="s">
        <v>35</v>
      </c>
      <c r="B12" s="5">
        <f>IFERROR(INDEX(tblWardConfig[PrevYearRemaining],MATCH("FAE",tblWardConfig[Export Year-End],0)),0)</f>
        <v>0</v>
      </c>
      <c r="C12" s="5">
        <f>IFERROR(INDEX(tblWardConfig[BedComplement],MATCH("FAE",tblWardConfig[Export Year-End],0)),0)</f>
        <v>10</v>
      </c>
      <c r="D12" s="5">
        <f>SUMIFS(tblDaily[Admissions],tblDaily[Month],1,tblDaily[WardCode],"FAE")</f>
        <v>0</v>
      </c>
      <c r="E12" s="5">
        <f>SUMIFS(tblDaily[Discharges],tblDaily[Month],1,tblDaily[WardCode],"FAE")</f>
        <v>0</v>
      </c>
      <c r="F12" s="5">
        <f>SUMIFS(tblDaily[Deaths],tblDaily[Month],1,tblDaily[WardCode],"FAE")</f>
        <v>0</v>
      </c>
      <c r="G12" s="5">
        <f>SUMIFS(tblDaily[DeathsUnder24Hrs],tblDaily[Month],1,tblDaily[WardCode],"FAE")</f>
        <v>0</v>
      </c>
      <c r="H12" s="5">
        <f>SUMIFS(tblDaily[Remaining],tblDaily[Month],1,tblDaily[WardCode],"FAE")</f>
        <v>0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0</v>
      </c>
      <c r="K12" s="12">
        <f t="shared" si="0"/>
        <v>0</v>
      </c>
      <c r="L12" s="12">
        <f t="shared" si="1"/>
        <v>0</v>
      </c>
      <c r="M12" s="12">
        <f t="shared" si="2"/>
        <v>0</v>
      </c>
      <c r="N12" s="12">
        <f t="shared" si="3"/>
        <v>0</v>
      </c>
      <c r="O12" s="12">
        <f t="shared" si="4"/>
        <v>0</v>
      </c>
      <c r="P12" s="12">
        <f t="shared" si="5"/>
        <v>0</v>
      </c>
    </row>
    <row r="13" spans="1:16" x14ac:dyDescent="0.25">
      <c r="A13" s="9" t="s">
        <v>94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3">
        <f t="shared" si="0"/>
        <v>0</v>
      </c>
      <c r="L13" s="13">
        <f t="shared" si="1"/>
        <v>0</v>
      </c>
      <c r="M13" s="13">
        <f t="shared" si="2"/>
        <v>0</v>
      </c>
      <c r="N13" s="13">
        <f t="shared" si="3"/>
        <v>0</v>
      </c>
      <c r="O13" s="13">
        <f t="shared" si="4"/>
        <v>0</v>
      </c>
      <c r="P13" s="13">
        <f t="shared" si="5"/>
        <v>0</v>
      </c>
    </row>
    <row r="14" spans="1:16" x14ac:dyDescent="0.25">
      <c r="A14" s="14" t="s">
        <v>116</v>
      </c>
      <c r="B14" s="14">
        <f t="shared" ref="B14:J14" si="7">B11+B12</f>
        <v>0</v>
      </c>
      <c r="C14" s="14">
        <f t="shared" si="7"/>
        <v>20</v>
      </c>
      <c r="D14" s="14">
        <f t="shared" si="7"/>
        <v>0</v>
      </c>
      <c r="E14" s="14">
        <f t="shared" si="7"/>
        <v>0</v>
      </c>
      <c r="F14" s="14">
        <f t="shared" si="7"/>
        <v>0</v>
      </c>
      <c r="G14" s="14">
        <f t="shared" si="7"/>
        <v>0</v>
      </c>
      <c r="H14" s="14">
        <f t="shared" si="7"/>
        <v>0</v>
      </c>
      <c r="I14" s="14">
        <f t="shared" si="7"/>
        <v>0</v>
      </c>
      <c r="J14" s="14">
        <f t="shared" si="7"/>
        <v>0</v>
      </c>
      <c r="K14" s="15">
        <f t="shared" si="0"/>
        <v>0</v>
      </c>
      <c r="L14" s="15">
        <f t="shared" si="1"/>
        <v>0</v>
      </c>
      <c r="M14" s="15">
        <f t="shared" si="2"/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</row>
    <row r="16" spans="1:16" ht="18.75" x14ac:dyDescent="0.25">
      <c r="A16" s="25" t="s">
        <v>0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</row>
    <row r="17" spans="1:16" ht="15.75" x14ac:dyDescent="0.25">
      <c r="A17" s="24" t="s">
        <v>117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</row>
    <row r="18" spans="1:16" ht="38.25" x14ac:dyDescent="0.25">
      <c r="A18" s="8" t="s">
        <v>104</v>
      </c>
      <c r="B18" s="8" t="s">
        <v>105</v>
      </c>
      <c r="C18" s="8" t="s">
        <v>106</v>
      </c>
      <c r="D18" s="8" t="s">
        <v>54</v>
      </c>
      <c r="E18" s="8" t="s">
        <v>55</v>
      </c>
      <c r="F18" s="8" t="s">
        <v>56</v>
      </c>
      <c r="G18" s="8" t="s">
        <v>89</v>
      </c>
      <c r="H18" s="8" t="s">
        <v>107</v>
      </c>
      <c r="I18" s="8" t="s">
        <v>108</v>
      </c>
      <c r="J18" s="8" t="s">
        <v>109</v>
      </c>
      <c r="K18" s="8" t="s">
        <v>110</v>
      </c>
      <c r="L18" s="8" t="s">
        <v>111</v>
      </c>
      <c r="M18" s="8" t="s">
        <v>112</v>
      </c>
      <c r="N18" s="8" t="s">
        <v>113</v>
      </c>
      <c r="O18" s="8" t="s">
        <v>114</v>
      </c>
      <c r="P18" s="8" t="s">
        <v>115</v>
      </c>
    </row>
    <row r="19" spans="1:16" x14ac:dyDescent="0.25">
      <c r="A19" s="11" t="s">
        <v>19</v>
      </c>
      <c r="B19" s="5">
        <f>IFERROR(SUMIFS(tblDaily[Remaining],tblDaily[EntryDate],DATE(2026,1,31),tblDaily[WardCode],"MW"),0)</f>
        <v>0</v>
      </c>
      <c r="C19" s="5">
        <f>IFERROR(INDEX(tblWardConfig[BedComplement],MATCH("MW",tblWardConfig[Export Year-End],0)),0)</f>
        <v>32</v>
      </c>
      <c r="D19" s="5">
        <f>SUMIFS(tblDaily[Admissions],tblDaily[Month],2,tblDaily[WardCode],"MW")</f>
        <v>0</v>
      </c>
      <c r="E19" s="5">
        <f>SUMIFS(tblDaily[Discharges],tblDaily[Month],2,tblDaily[WardCode],"MW")</f>
        <v>0</v>
      </c>
      <c r="F19" s="5">
        <f>SUMIFS(tblDaily[Deaths],tblDaily[Month],2,tblDaily[WardCode],"MW")</f>
        <v>0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0</v>
      </c>
      <c r="I19" s="5">
        <f>SUMIFS(tblDaily[TransfersIn],tblDaily[Month],2,tblDaily[WardCode],"MW")</f>
        <v>0</v>
      </c>
      <c r="J19" s="5">
        <f>SUMIFS(tblDaily[TransfersOut],tblDaily[Month],2,tblDaily[WardCode],"MW")</f>
        <v>0</v>
      </c>
      <c r="K19" s="12">
        <f t="shared" ref="K19:K29" si="8">IFERROR(H19/28,0)</f>
        <v>0</v>
      </c>
      <c r="L19" s="12">
        <f t="shared" ref="L19:L29" si="9">IFERROR(H19/(E19+F19),0)</f>
        <v>0</v>
      </c>
      <c r="M19" s="12">
        <f t="shared" ref="M19:M29" si="10">IFERROR((C19*28-H19)/(E19+F19),0)</f>
        <v>0</v>
      </c>
      <c r="N19" s="12">
        <f t="shared" ref="N19:N29" si="11">IFERROR((E19+F19)/C19,0)</f>
        <v>0</v>
      </c>
      <c r="O19" s="12">
        <f t="shared" ref="O19:O29" si="12">IFERROR((H19/(C19*28))*100,0)</f>
        <v>0</v>
      </c>
      <c r="P19" s="12">
        <f t="shared" ref="P19:P29" si="13">IFERROR((F19/(D19+B19))*100,0)</f>
        <v>0</v>
      </c>
    </row>
    <row r="20" spans="1:16" x14ac:dyDescent="0.25">
      <c r="A20" s="11" t="s">
        <v>21</v>
      </c>
      <c r="B20" s="5">
        <f>IFERROR(SUMIFS(tblDaily[Remaining],tblDaily[EntryDate],DATE(2026,1,31),tblDaily[WardCode],"FW"),0)</f>
        <v>0</v>
      </c>
      <c r="C20" s="5">
        <f>IFERROR(INDEX(tblWardConfig[BedComplement],MATCH("FW",tblWardConfig[Export Year-End],0)),0)</f>
        <v>28</v>
      </c>
      <c r="D20" s="5">
        <f>SUMIFS(tblDaily[Admissions],tblDaily[Month],2,tblDaily[WardCode],"FW")</f>
        <v>0</v>
      </c>
      <c r="E20" s="5">
        <f>SUMIFS(tblDaily[Discharges],tblDaily[Month],2,tblDaily[WardCode],"FW")</f>
        <v>0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0</v>
      </c>
      <c r="I20" s="5">
        <f>SUMIFS(tblDaily[TransfersIn],tblDaily[Month],2,tblDaily[WardCode],"FW")</f>
        <v>0</v>
      </c>
      <c r="J20" s="5">
        <f>SUMIFS(tblDaily[TransfersOut],tblDaily[Month],2,tblDaily[WardCode],"FW")</f>
        <v>0</v>
      </c>
      <c r="K20" s="12">
        <f t="shared" si="8"/>
        <v>0</v>
      </c>
      <c r="L20" s="12">
        <f t="shared" si="9"/>
        <v>0</v>
      </c>
      <c r="M20" s="12">
        <f t="shared" si="10"/>
        <v>0</v>
      </c>
      <c r="N20" s="12">
        <f t="shared" si="11"/>
        <v>0</v>
      </c>
      <c r="O20" s="12">
        <f t="shared" si="12"/>
        <v>0</v>
      </c>
      <c r="P20" s="12">
        <f t="shared" si="13"/>
        <v>0</v>
      </c>
    </row>
    <row r="21" spans="1:16" x14ac:dyDescent="0.25">
      <c r="A21" s="11" t="s">
        <v>23</v>
      </c>
      <c r="B21" s="5">
        <f>IFERROR(SUMIFS(tblDaily[Remaining],tblDaily[EntryDate],DATE(2026,1,31),tblDaily[WardCode],"CW"),0)</f>
        <v>0</v>
      </c>
      <c r="C21" s="5">
        <f>IFERROR(INDEX(tblWardConfig[BedComplement],MATCH("CW",tblWardConfig[Export Year-End],0)),0)</f>
        <v>27</v>
      </c>
      <c r="D21" s="5">
        <f>SUMIFS(tblDaily[Admissions],tblDaily[Month],2,tblDaily[WardCode],"CW")</f>
        <v>0</v>
      </c>
      <c r="E21" s="5">
        <f>SUMIFS(tblDaily[Discharges],tblDaily[Month],2,tblDaily[WardCode],"CW")</f>
        <v>0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0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</v>
      </c>
      <c r="L21" s="12">
        <f t="shared" si="9"/>
        <v>0</v>
      </c>
      <c r="M21" s="12">
        <f t="shared" si="10"/>
        <v>0</v>
      </c>
      <c r="N21" s="12">
        <f t="shared" si="11"/>
        <v>0</v>
      </c>
      <c r="O21" s="12">
        <f t="shared" si="12"/>
        <v>0</v>
      </c>
      <c r="P21" s="12">
        <f t="shared" si="13"/>
        <v>0</v>
      </c>
    </row>
    <row r="22" spans="1:16" x14ac:dyDescent="0.25">
      <c r="A22" s="11" t="s">
        <v>25</v>
      </c>
      <c r="B22" s="5">
        <f>IFERROR(SUMIFS(tblDaily[Remaining],tblDaily[EntryDate],DATE(2026,1,31),tblDaily[WardCode],"BF"),0)</f>
        <v>0</v>
      </c>
      <c r="C22" s="5">
        <f>IFERROR(INDEX(tblWardConfig[BedComplement],MATCH("BF",tblWardConfig[Export Year-End],0)),0)</f>
        <v>20</v>
      </c>
      <c r="D22" s="5">
        <f>SUMIFS(tblDaily[Admissions],tblDaily[Month],2,tblDaily[WardCode],"BF")</f>
        <v>0</v>
      </c>
      <c r="E22" s="5">
        <f>SUMIFS(tblDaily[Discharges],tblDaily[Month],2,tblDaily[WardCode],"BF")</f>
        <v>0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0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</v>
      </c>
      <c r="L22" s="12">
        <f t="shared" si="9"/>
        <v>0</v>
      </c>
      <c r="M22" s="12">
        <f t="shared" si="10"/>
        <v>0</v>
      </c>
      <c r="N22" s="12">
        <f t="shared" si="11"/>
        <v>0</v>
      </c>
      <c r="O22" s="12">
        <f t="shared" si="12"/>
        <v>0</v>
      </c>
      <c r="P22" s="12">
        <f t="shared" si="13"/>
        <v>0</v>
      </c>
    </row>
    <row r="23" spans="1:16" x14ac:dyDescent="0.25">
      <c r="A23" s="11" t="s">
        <v>27</v>
      </c>
      <c r="B23" s="5">
        <f>IFERROR(SUMIFS(tblDaily[Remaining],tblDaily[EntryDate],DATE(2026,1,31),tblDaily[WardCode],"BG"),0)</f>
        <v>0</v>
      </c>
      <c r="C23" s="5">
        <f>IFERROR(INDEX(tblWardConfig[BedComplement],MATCH("BG",tblWardConfig[Export Year-End],0)),0)</f>
        <v>14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0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</v>
      </c>
      <c r="P23" s="12">
        <f t="shared" si="13"/>
        <v>0</v>
      </c>
    </row>
    <row r="24" spans="1:16" x14ac:dyDescent="0.25">
      <c r="A24" s="11" t="s">
        <v>29</v>
      </c>
      <c r="B24" s="5">
        <f>IFERROR(SUMIFS(tblDaily[Remaining],tblDaily[EntryDate],DATE(2026,1,31),tblDaily[WardCode],"BH"),0)</f>
        <v>0</v>
      </c>
      <c r="C24" s="5">
        <f>IFERROR(INDEX(tblWardConfig[BedComplement],MATCH("BH",tblWardConfig[Export Year-End],0)),0)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0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0</v>
      </c>
      <c r="P24" s="12">
        <f t="shared" si="13"/>
        <v>0</v>
      </c>
    </row>
    <row r="25" spans="1:16" x14ac:dyDescent="0.25">
      <c r="A25" s="11" t="s">
        <v>31</v>
      </c>
      <c r="B25" s="5">
        <f>IFERROR(SUMIFS(tblDaily[Remaining],tblDaily[EntryDate],DATE(2026,1,31),tblDaily[WardCode],"NICU"),0)</f>
        <v>0</v>
      </c>
      <c r="C25" s="5">
        <f>IFERROR(INDEX(tblWardConfig[BedComplement],MATCH("NICU",tblWardConfig[Export Year-End],0)),0)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0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0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</v>
      </c>
      <c r="L25" s="12">
        <f t="shared" si="9"/>
        <v>0</v>
      </c>
      <c r="M25" s="12">
        <f t="shared" si="10"/>
        <v>0</v>
      </c>
      <c r="N25" s="12">
        <f t="shared" si="11"/>
        <v>0</v>
      </c>
      <c r="O25" s="12">
        <f t="shared" si="12"/>
        <v>0</v>
      </c>
      <c r="P25" s="12">
        <f t="shared" si="13"/>
        <v>0</v>
      </c>
    </row>
    <row r="26" spans="1:16" x14ac:dyDescent="0.25">
      <c r="A26" s="11" t="s">
        <v>33</v>
      </c>
      <c r="B26" s="5">
        <f>IFERROR(SUMIFS(tblDaily[Remaining],tblDaily[EntryDate],DATE(2026,1,31),tblDaily[WardCode],"MAE"),0)</f>
        <v>0</v>
      </c>
      <c r="C26" s="5">
        <f>IFERROR(INDEX(tblWardConfig[BedComplement],MATCH("MAE",tblWardConfig[Export Year-End],0)),0)</f>
        <v>10</v>
      </c>
      <c r="D26" s="5">
        <f>SUMIFS(tblDaily[Admissions],tblDaily[Month],2,tblDaily[WardCode],"MAE")</f>
        <v>0</v>
      </c>
      <c r="E26" s="5">
        <f>SUMIFS(tblDaily[Discharges],tblDaily[Month],2,tblDaily[WardCode],"MAE")</f>
        <v>0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0</v>
      </c>
      <c r="I26" s="5">
        <f>SUMIFS(tblDaily[TransfersIn],tblDaily[Month],2,tblDaily[WardCode],"MAE")</f>
        <v>0</v>
      </c>
      <c r="J26" s="5">
        <f>SUMIFS(tblDaily[TransfersOut],tblDaily[Month],2,tblDaily[WardCode],"MAE")</f>
        <v>0</v>
      </c>
      <c r="K26" s="12">
        <f t="shared" si="8"/>
        <v>0</v>
      </c>
      <c r="L26" s="12">
        <f t="shared" si="9"/>
        <v>0</v>
      </c>
      <c r="M26" s="12">
        <f t="shared" si="10"/>
        <v>0</v>
      </c>
      <c r="N26" s="12">
        <f t="shared" si="11"/>
        <v>0</v>
      </c>
      <c r="O26" s="12">
        <f t="shared" si="12"/>
        <v>0</v>
      </c>
      <c r="P26" s="12">
        <f t="shared" si="13"/>
        <v>0</v>
      </c>
    </row>
    <row r="27" spans="1:16" x14ac:dyDescent="0.25">
      <c r="A27" s="11" t="s">
        <v>35</v>
      </c>
      <c r="B27" s="5">
        <f>IFERROR(SUMIFS(tblDaily[Remaining],tblDaily[EntryDate],DATE(2026,1,31),tblDaily[WardCode],"FAE"),0)</f>
        <v>0</v>
      </c>
      <c r="C27" s="5">
        <f>IFERROR(INDEX(tblWardConfig[BedComplement],MATCH("FAE",tblWardConfig[Export Year-End],0)),0)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94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3">
        <f t="shared" si="8"/>
        <v>0</v>
      </c>
      <c r="L28" s="13">
        <f t="shared" si="9"/>
        <v>0</v>
      </c>
      <c r="M28" s="13">
        <f t="shared" si="10"/>
        <v>0</v>
      </c>
      <c r="N28" s="13">
        <f t="shared" si="11"/>
        <v>0</v>
      </c>
      <c r="O28" s="13">
        <f t="shared" si="12"/>
        <v>0</v>
      </c>
      <c r="P28" s="13">
        <f t="shared" si="13"/>
        <v>0</v>
      </c>
    </row>
    <row r="29" spans="1:16" x14ac:dyDescent="0.25">
      <c r="A29" s="14" t="s">
        <v>116</v>
      </c>
      <c r="B29" s="14">
        <f t="shared" ref="B29:J29" si="15">B26+B27</f>
        <v>0</v>
      </c>
      <c r="C29" s="14">
        <f t="shared" si="15"/>
        <v>20</v>
      </c>
      <c r="D29" s="14">
        <f t="shared" si="15"/>
        <v>0</v>
      </c>
      <c r="E29" s="14">
        <f t="shared" si="15"/>
        <v>0</v>
      </c>
      <c r="F29" s="14">
        <f t="shared" si="15"/>
        <v>0</v>
      </c>
      <c r="G29" s="14">
        <f t="shared" si="15"/>
        <v>0</v>
      </c>
      <c r="H29" s="14">
        <f t="shared" si="15"/>
        <v>0</v>
      </c>
      <c r="I29" s="14">
        <f t="shared" si="15"/>
        <v>0</v>
      </c>
      <c r="J29" s="14">
        <f t="shared" si="15"/>
        <v>0</v>
      </c>
      <c r="K29" s="15">
        <f t="shared" si="8"/>
        <v>0</v>
      </c>
      <c r="L29" s="15">
        <f t="shared" si="9"/>
        <v>0</v>
      </c>
      <c r="M29" s="15">
        <f t="shared" si="10"/>
        <v>0</v>
      </c>
      <c r="N29" s="15">
        <f t="shared" si="11"/>
        <v>0</v>
      </c>
      <c r="O29" s="15">
        <f t="shared" si="12"/>
        <v>0</v>
      </c>
      <c r="P29" s="15">
        <f t="shared" si="13"/>
        <v>0</v>
      </c>
    </row>
    <row r="31" spans="1:16" ht="18.75" x14ac:dyDescent="0.25">
      <c r="A31" s="25" t="s">
        <v>0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</row>
    <row r="32" spans="1:16" ht="15.75" x14ac:dyDescent="0.25">
      <c r="A32" s="24" t="s">
        <v>118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</row>
    <row r="33" spans="1:16" ht="38.25" x14ac:dyDescent="0.25">
      <c r="A33" s="8" t="s">
        <v>104</v>
      </c>
      <c r="B33" s="8" t="s">
        <v>105</v>
      </c>
      <c r="C33" s="8" t="s">
        <v>106</v>
      </c>
      <c r="D33" s="8" t="s">
        <v>54</v>
      </c>
      <c r="E33" s="8" t="s">
        <v>55</v>
      </c>
      <c r="F33" s="8" t="s">
        <v>56</v>
      </c>
      <c r="G33" s="8" t="s">
        <v>89</v>
      </c>
      <c r="H33" s="8" t="s">
        <v>107</v>
      </c>
      <c r="I33" s="8" t="s">
        <v>108</v>
      </c>
      <c r="J33" s="8" t="s">
        <v>109</v>
      </c>
      <c r="K33" s="8" t="s">
        <v>110</v>
      </c>
      <c r="L33" s="8" t="s">
        <v>111</v>
      </c>
      <c r="M33" s="8" t="s">
        <v>112</v>
      </c>
      <c r="N33" s="8" t="s">
        <v>113</v>
      </c>
      <c r="O33" s="8" t="s">
        <v>114</v>
      </c>
      <c r="P33" s="8" t="s">
        <v>115</v>
      </c>
    </row>
    <row r="34" spans="1:16" x14ac:dyDescent="0.25">
      <c r="A34" s="11" t="s">
        <v>19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IFERROR(INDEX(tblWardConfig[BedComplement],MATCH("MW",tblWardConfig[Export Year-End],0)),0)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21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IFERROR(INDEX(tblWardConfig[BedComplement],MATCH("FW",tblWardConfig[Export Year-End],0)),0)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23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IFERROR(INDEX(tblWardConfig[BedComplement],MATCH("CW",tblWardConfig[Export Year-End],0)),0)</f>
        <v>27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25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IFERROR(INDEX(tblWardConfig[BedComplement],MATCH("BF",tblWardConfig[Export Year-End],0)),0)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27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IFERROR(INDEX(tblWardConfig[BedComplement],MATCH("BG",tblWardConfig[Export Year-End],0)),0)</f>
        <v>14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29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IFERROR(INDEX(tblWardConfig[BedComplement],MATCH("BH",tblWardConfig[Export Year-End],0)),0)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31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IFERROR(INDEX(tblWardConfig[BedComplement],MATCH("NICU",tblWardConfig[Export Year-End],0)),0)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33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IFERROR(INDEX(tblWardConfig[BedComplement],MATCH("MAE",tblWardConfig[Export Year-End],0)),0)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35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IFERROR(INDEX(tblWardConfig[BedComplement],MATCH("FAE",tblWardConfig[Export Year-End],0)),0)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94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116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5" t="s">
        <v>0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1:16" ht="15.75" x14ac:dyDescent="0.25">
      <c r="A47" s="24" t="s">
        <v>119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1:16" ht="38.25" x14ac:dyDescent="0.25">
      <c r="A48" s="8" t="s">
        <v>104</v>
      </c>
      <c r="B48" s="8" t="s">
        <v>105</v>
      </c>
      <c r="C48" s="8" t="s">
        <v>106</v>
      </c>
      <c r="D48" s="8" t="s">
        <v>54</v>
      </c>
      <c r="E48" s="8" t="s">
        <v>55</v>
      </c>
      <c r="F48" s="8" t="s">
        <v>56</v>
      </c>
      <c r="G48" s="8" t="s">
        <v>89</v>
      </c>
      <c r="H48" s="8" t="s">
        <v>107</v>
      </c>
      <c r="I48" s="8" t="s">
        <v>108</v>
      </c>
      <c r="J48" s="8" t="s">
        <v>109</v>
      </c>
      <c r="K48" s="8" t="s">
        <v>110</v>
      </c>
      <c r="L48" s="8" t="s">
        <v>111</v>
      </c>
      <c r="M48" s="8" t="s">
        <v>112</v>
      </c>
      <c r="N48" s="8" t="s">
        <v>113</v>
      </c>
      <c r="O48" s="8" t="s">
        <v>114</v>
      </c>
      <c r="P48" s="8" t="s">
        <v>115</v>
      </c>
    </row>
    <row r="49" spans="1:16" x14ac:dyDescent="0.25">
      <c r="A49" s="11" t="s">
        <v>19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IFERROR(INDEX(tblWardConfig[BedComplement],MATCH("MW",tblWardConfig[Export Year-End],0)),0)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21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IFERROR(INDEX(tblWardConfig[BedComplement],MATCH("FW",tblWardConfig[Export Year-End],0)),0)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23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IFERROR(INDEX(tblWardConfig[BedComplement],MATCH("CW",tblWardConfig[Export Year-End],0)),0)</f>
        <v>27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25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IFERROR(INDEX(tblWardConfig[BedComplement],MATCH("BF",tblWardConfig[Export Year-End],0)),0)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27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IFERROR(INDEX(tblWardConfig[BedComplement],MATCH("BG",tblWardConfig[Export Year-End],0)),0)</f>
        <v>14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29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IFERROR(INDEX(tblWardConfig[BedComplement],MATCH("BH",tblWardConfig[Export Year-End],0)),0)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31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IFERROR(INDEX(tblWardConfig[BedComplement],MATCH("NICU",tblWardConfig[Export Year-End],0)),0)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33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IFERROR(INDEX(tblWardConfig[BedComplement],MATCH("MAE",tblWardConfig[Export Year-End],0)),0)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35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IFERROR(INDEX(tblWardConfig[BedComplement],MATCH("FAE",tblWardConfig[Export Year-End],0)),0)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94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116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5" t="s">
        <v>0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</row>
    <row r="62" spans="1:16" ht="15.75" x14ac:dyDescent="0.25">
      <c r="A62" s="24" t="s">
        <v>120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</row>
    <row r="63" spans="1:16" ht="38.25" x14ac:dyDescent="0.25">
      <c r="A63" s="8" t="s">
        <v>104</v>
      </c>
      <c r="B63" s="8" t="s">
        <v>105</v>
      </c>
      <c r="C63" s="8" t="s">
        <v>106</v>
      </c>
      <c r="D63" s="8" t="s">
        <v>54</v>
      </c>
      <c r="E63" s="8" t="s">
        <v>55</v>
      </c>
      <c r="F63" s="8" t="s">
        <v>56</v>
      </c>
      <c r="G63" s="8" t="s">
        <v>89</v>
      </c>
      <c r="H63" s="8" t="s">
        <v>107</v>
      </c>
      <c r="I63" s="8" t="s">
        <v>108</v>
      </c>
      <c r="J63" s="8" t="s">
        <v>109</v>
      </c>
      <c r="K63" s="8" t="s">
        <v>110</v>
      </c>
      <c r="L63" s="8" t="s">
        <v>111</v>
      </c>
      <c r="M63" s="8" t="s">
        <v>112</v>
      </c>
      <c r="N63" s="8" t="s">
        <v>113</v>
      </c>
      <c r="O63" s="8" t="s">
        <v>114</v>
      </c>
      <c r="P63" s="8" t="s">
        <v>115</v>
      </c>
    </row>
    <row r="64" spans="1:16" x14ac:dyDescent="0.25">
      <c r="A64" s="11" t="s">
        <v>19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IFERROR(INDEX(tblWardConfig[BedComplement],MATCH("MW",tblWardConfig[Export Year-End],0)),0)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21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IFERROR(INDEX(tblWardConfig[BedComplement],MATCH("FW",tblWardConfig[Export Year-End],0)),0)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23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IFERROR(INDEX(tblWardConfig[BedComplement],MATCH("CW",tblWardConfig[Export Year-End],0)),0)</f>
        <v>27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25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IFERROR(INDEX(tblWardConfig[BedComplement],MATCH("BF",tblWardConfig[Export Year-End],0)),0)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27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IFERROR(INDEX(tblWardConfig[BedComplement],MATCH("BG",tblWardConfig[Export Year-End],0)),0)</f>
        <v>14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29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IFERROR(INDEX(tblWardConfig[BedComplement],MATCH("BH",tblWardConfig[Export Year-End],0)),0)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31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IFERROR(INDEX(tblWardConfig[BedComplement],MATCH("NICU",tblWardConfig[Export Year-End],0)),0)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33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IFERROR(INDEX(tblWardConfig[BedComplement],MATCH("MAE",tblWardConfig[Export Year-End],0)),0)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35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IFERROR(INDEX(tblWardConfig[BedComplement],MATCH("FAE",tblWardConfig[Export Year-End],0)),0)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94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116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5" t="s">
        <v>0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</row>
    <row r="77" spans="1:16" ht="15.75" x14ac:dyDescent="0.25">
      <c r="A77" s="24" t="s">
        <v>121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</row>
    <row r="78" spans="1:16" ht="38.25" x14ac:dyDescent="0.25">
      <c r="A78" s="8" t="s">
        <v>104</v>
      </c>
      <c r="B78" s="8" t="s">
        <v>105</v>
      </c>
      <c r="C78" s="8" t="s">
        <v>106</v>
      </c>
      <c r="D78" s="8" t="s">
        <v>54</v>
      </c>
      <c r="E78" s="8" t="s">
        <v>55</v>
      </c>
      <c r="F78" s="8" t="s">
        <v>56</v>
      </c>
      <c r="G78" s="8" t="s">
        <v>89</v>
      </c>
      <c r="H78" s="8" t="s">
        <v>107</v>
      </c>
      <c r="I78" s="8" t="s">
        <v>108</v>
      </c>
      <c r="J78" s="8" t="s">
        <v>109</v>
      </c>
      <c r="K78" s="8" t="s">
        <v>110</v>
      </c>
      <c r="L78" s="8" t="s">
        <v>111</v>
      </c>
      <c r="M78" s="8" t="s">
        <v>112</v>
      </c>
      <c r="N78" s="8" t="s">
        <v>113</v>
      </c>
      <c r="O78" s="8" t="s">
        <v>114</v>
      </c>
      <c r="P78" s="8" t="s">
        <v>115</v>
      </c>
    </row>
    <row r="79" spans="1:16" x14ac:dyDescent="0.25">
      <c r="A79" s="11" t="s">
        <v>19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IFERROR(INDEX(tblWardConfig[BedComplement],MATCH("MW",tblWardConfig[Export Year-End],0)),0)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21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IFERROR(INDEX(tblWardConfig[BedComplement],MATCH("FW",tblWardConfig[Export Year-End],0)),0)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23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IFERROR(INDEX(tblWardConfig[BedComplement],MATCH("CW",tblWardConfig[Export Year-End],0)),0)</f>
        <v>27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25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IFERROR(INDEX(tblWardConfig[BedComplement],MATCH("BF",tblWardConfig[Export Year-End],0)),0)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27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IFERROR(INDEX(tblWardConfig[BedComplement],MATCH("BG",tblWardConfig[Export Year-End],0)),0)</f>
        <v>14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29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IFERROR(INDEX(tblWardConfig[BedComplement],MATCH("BH",tblWardConfig[Export Year-End],0)),0)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31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IFERROR(INDEX(tblWardConfig[BedComplement],MATCH("NICU",tblWardConfig[Export Year-End],0)),0)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33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IFERROR(INDEX(tblWardConfig[BedComplement],MATCH("MAE",tblWardConfig[Export Year-End],0)),0)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35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IFERROR(INDEX(tblWardConfig[BedComplement],MATCH("FAE",tblWardConfig[Export Year-End],0)),0)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94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116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5" t="s">
        <v>0</v>
      </c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</row>
    <row r="92" spans="1:16" ht="15.75" x14ac:dyDescent="0.25">
      <c r="A92" s="24" t="s">
        <v>122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</row>
    <row r="93" spans="1:16" ht="38.25" x14ac:dyDescent="0.25">
      <c r="A93" s="8" t="s">
        <v>104</v>
      </c>
      <c r="B93" s="8" t="s">
        <v>105</v>
      </c>
      <c r="C93" s="8" t="s">
        <v>106</v>
      </c>
      <c r="D93" s="8" t="s">
        <v>54</v>
      </c>
      <c r="E93" s="8" t="s">
        <v>55</v>
      </c>
      <c r="F93" s="8" t="s">
        <v>56</v>
      </c>
      <c r="G93" s="8" t="s">
        <v>89</v>
      </c>
      <c r="H93" s="8" t="s">
        <v>107</v>
      </c>
      <c r="I93" s="8" t="s">
        <v>108</v>
      </c>
      <c r="J93" s="8" t="s">
        <v>109</v>
      </c>
      <c r="K93" s="8" t="s">
        <v>110</v>
      </c>
      <c r="L93" s="8" t="s">
        <v>111</v>
      </c>
      <c r="M93" s="8" t="s">
        <v>112</v>
      </c>
      <c r="N93" s="8" t="s">
        <v>113</v>
      </c>
      <c r="O93" s="8" t="s">
        <v>114</v>
      </c>
      <c r="P93" s="8" t="s">
        <v>115</v>
      </c>
    </row>
    <row r="94" spans="1:16" x14ac:dyDescent="0.25">
      <c r="A94" s="11" t="s">
        <v>19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IFERROR(INDEX(tblWardConfig[BedComplement],MATCH("MW",tblWardConfig[Export Year-End],0)),0)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21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IFERROR(INDEX(tblWardConfig[BedComplement],MATCH("FW",tblWardConfig[Export Year-End],0)),0)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23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IFERROR(INDEX(tblWardConfig[BedComplement],MATCH("CW",tblWardConfig[Export Year-End],0)),0)</f>
        <v>27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25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IFERROR(INDEX(tblWardConfig[BedComplement],MATCH("BF",tblWardConfig[Export Year-End],0)),0)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27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IFERROR(INDEX(tblWardConfig[BedComplement],MATCH("BG",tblWardConfig[Export Year-End],0)),0)</f>
        <v>14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29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IFERROR(INDEX(tblWardConfig[BedComplement],MATCH("BH",tblWardConfig[Export Year-End],0)),0)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31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IFERROR(INDEX(tblWardConfig[BedComplement],MATCH("NICU",tblWardConfig[Export Year-End],0)),0)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33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IFERROR(INDEX(tblWardConfig[BedComplement],MATCH("MAE",tblWardConfig[Export Year-End],0)),0)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35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IFERROR(INDEX(tblWardConfig[BedComplement],MATCH("FAE",tblWardConfig[Export Year-End],0)),0)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94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116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5" t="s">
        <v>0</v>
      </c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</row>
    <row r="107" spans="1:16" ht="15.75" x14ac:dyDescent="0.25">
      <c r="A107" s="24" t="s">
        <v>123</v>
      </c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</row>
    <row r="108" spans="1:16" ht="38.25" x14ac:dyDescent="0.25">
      <c r="A108" s="8" t="s">
        <v>104</v>
      </c>
      <c r="B108" s="8" t="s">
        <v>105</v>
      </c>
      <c r="C108" s="8" t="s">
        <v>106</v>
      </c>
      <c r="D108" s="8" t="s">
        <v>54</v>
      </c>
      <c r="E108" s="8" t="s">
        <v>55</v>
      </c>
      <c r="F108" s="8" t="s">
        <v>56</v>
      </c>
      <c r="G108" s="8" t="s">
        <v>89</v>
      </c>
      <c r="H108" s="8" t="s">
        <v>107</v>
      </c>
      <c r="I108" s="8" t="s">
        <v>108</v>
      </c>
      <c r="J108" s="8" t="s">
        <v>109</v>
      </c>
      <c r="K108" s="8" t="s">
        <v>110</v>
      </c>
      <c r="L108" s="8" t="s">
        <v>111</v>
      </c>
      <c r="M108" s="8" t="s">
        <v>112</v>
      </c>
      <c r="N108" s="8" t="s">
        <v>113</v>
      </c>
      <c r="O108" s="8" t="s">
        <v>114</v>
      </c>
      <c r="P108" s="8" t="s">
        <v>115</v>
      </c>
    </row>
    <row r="109" spans="1:16" x14ac:dyDescent="0.25">
      <c r="A109" s="11" t="s">
        <v>19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IFERROR(INDEX(tblWardConfig[BedComplement],MATCH("MW",tblWardConfig[Export Year-End],0)),0)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21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IFERROR(INDEX(tblWardConfig[BedComplement],MATCH("FW",tblWardConfig[Export Year-End],0)),0)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23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IFERROR(INDEX(tblWardConfig[BedComplement],MATCH("CW",tblWardConfig[Export Year-End],0)),0)</f>
        <v>27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25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IFERROR(INDEX(tblWardConfig[BedComplement],MATCH("BF",tblWardConfig[Export Year-End],0)),0)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27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IFERROR(INDEX(tblWardConfig[BedComplement],MATCH("BG",tblWardConfig[Export Year-End],0)),0)</f>
        <v>14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29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IFERROR(INDEX(tblWardConfig[BedComplement],MATCH("BH",tblWardConfig[Export Year-End],0)),0)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31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IFERROR(INDEX(tblWardConfig[BedComplement],MATCH("NICU",tblWardConfig[Export Year-End],0)),0)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33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IFERROR(INDEX(tblWardConfig[BedComplement],MATCH("MAE",tblWardConfig[Export Year-End],0)),0)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35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IFERROR(INDEX(tblWardConfig[BedComplement],MATCH("FAE",tblWardConfig[Export Year-End],0)),0)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94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116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5" t="s">
        <v>0</v>
      </c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</row>
    <row r="122" spans="1:16" ht="15.75" x14ac:dyDescent="0.25">
      <c r="A122" s="24" t="s">
        <v>124</v>
      </c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</row>
    <row r="123" spans="1:16" ht="38.25" x14ac:dyDescent="0.25">
      <c r="A123" s="8" t="s">
        <v>104</v>
      </c>
      <c r="B123" s="8" t="s">
        <v>105</v>
      </c>
      <c r="C123" s="8" t="s">
        <v>106</v>
      </c>
      <c r="D123" s="8" t="s">
        <v>54</v>
      </c>
      <c r="E123" s="8" t="s">
        <v>55</v>
      </c>
      <c r="F123" s="8" t="s">
        <v>56</v>
      </c>
      <c r="G123" s="8" t="s">
        <v>89</v>
      </c>
      <c r="H123" s="8" t="s">
        <v>107</v>
      </c>
      <c r="I123" s="8" t="s">
        <v>108</v>
      </c>
      <c r="J123" s="8" t="s">
        <v>109</v>
      </c>
      <c r="K123" s="8" t="s">
        <v>110</v>
      </c>
      <c r="L123" s="8" t="s">
        <v>111</v>
      </c>
      <c r="M123" s="8" t="s">
        <v>112</v>
      </c>
      <c r="N123" s="8" t="s">
        <v>113</v>
      </c>
      <c r="O123" s="8" t="s">
        <v>114</v>
      </c>
      <c r="P123" s="8" t="s">
        <v>115</v>
      </c>
    </row>
    <row r="124" spans="1:16" x14ac:dyDescent="0.25">
      <c r="A124" s="11" t="s">
        <v>19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IFERROR(INDEX(tblWardConfig[BedComplement],MATCH("MW",tblWardConfig[Export Year-End],0)),0)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21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IFERROR(INDEX(tblWardConfig[BedComplement],MATCH("FW",tblWardConfig[Export Year-End],0)),0)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23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IFERROR(INDEX(tblWardConfig[BedComplement],MATCH("CW",tblWardConfig[Export Year-End],0)),0)</f>
        <v>27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25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IFERROR(INDEX(tblWardConfig[BedComplement],MATCH("BF",tblWardConfig[Export Year-End],0)),0)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27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IFERROR(INDEX(tblWardConfig[BedComplement],MATCH("BG",tblWardConfig[Export Year-End],0)),0)</f>
        <v>14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29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IFERROR(INDEX(tblWardConfig[BedComplement],MATCH("BH",tblWardConfig[Export Year-End],0)),0)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31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IFERROR(INDEX(tblWardConfig[BedComplement],MATCH("NICU",tblWardConfig[Export Year-End],0)),0)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33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IFERROR(INDEX(tblWardConfig[BedComplement],MATCH("MAE",tblWardConfig[Export Year-End],0)),0)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35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IFERROR(INDEX(tblWardConfig[BedComplement],MATCH("FAE",tblWardConfig[Export Year-End],0)),0)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94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116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5" t="s">
        <v>0</v>
      </c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</row>
    <row r="137" spans="1:16" ht="15.75" x14ac:dyDescent="0.25">
      <c r="A137" s="24" t="s">
        <v>125</v>
      </c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</row>
    <row r="138" spans="1:16" ht="38.25" x14ac:dyDescent="0.25">
      <c r="A138" s="8" t="s">
        <v>104</v>
      </c>
      <c r="B138" s="8" t="s">
        <v>105</v>
      </c>
      <c r="C138" s="8" t="s">
        <v>106</v>
      </c>
      <c r="D138" s="8" t="s">
        <v>54</v>
      </c>
      <c r="E138" s="8" t="s">
        <v>55</v>
      </c>
      <c r="F138" s="8" t="s">
        <v>56</v>
      </c>
      <c r="G138" s="8" t="s">
        <v>89</v>
      </c>
      <c r="H138" s="8" t="s">
        <v>107</v>
      </c>
      <c r="I138" s="8" t="s">
        <v>108</v>
      </c>
      <c r="J138" s="8" t="s">
        <v>109</v>
      </c>
      <c r="K138" s="8" t="s">
        <v>110</v>
      </c>
      <c r="L138" s="8" t="s">
        <v>111</v>
      </c>
      <c r="M138" s="8" t="s">
        <v>112</v>
      </c>
      <c r="N138" s="8" t="s">
        <v>113</v>
      </c>
      <c r="O138" s="8" t="s">
        <v>114</v>
      </c>
      <c r="P138" s="8" t="s">
        <v>115</v>
      </c>
    </row>
    <row r="139" spans="1:16" x14ac:dyDescent="0.25">
      <c r="A139" s="11" t="s">
        <v>19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IFERROR(INDEX(tblWardConfig[BedComplement],MATCH("MW",tblWardConfig[Export Year-End],0)),0)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21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IFERROR(INDEX(tblWardConfig[BedComplement],MATCH("FW",tblWardConfig[Export Year-End],0)),0)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23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IFERROR(INDEX(tblWardConfig[BedComplement],MATCH("CW",tblWardConfig[Export Year-End],0)),0)</f>
        <v>27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25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IFERROR(INDEX(tblWardConfig[BedComplement],MATCH("BF",tblWardConfig[Export Year-End],0)),0)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27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IFERROR(INDEX(tblWardConfig[BedComplement],MATCH("BG",tblWardConfig[Export Year-End],0)),0)</f>
        <v>14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29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IFERROR(INDEX(tblWardConfig[BedComplement],MATCH("BH",tblWardConfig[Export Year-End],0)),0)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31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IFERROR(INDEX(tblWardConfig[BedComplement],MATCH("NICU",tblWardConfig[Export Year-End],0)),0)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33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IFERROR(INDEX(tblWardConfig[BedComplement],MATCH("MAE",tblWardConfig[Export Year-End],0)),0)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35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IFERROR(INDEX(tblWardConfig[BedComplement],MATCH("FAE",tblWardConfig[Export Year-End],0)),0)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94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116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5" t="s">
        <v>0</v>
      </c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</row>
    <row r="152" spans="1:16" ht="15.75" x14ac:dyDescent="0.25">
      <c r="A152" s="24" t="s">
        <v>126</v>
      </c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</row>
    <row r="153" spans="1:16" ht="38.25" x14ac:dyDescent="0.25">
      <c r="A153" s="8" t="s">
        <v>104</v>
      </c>
      <c r="B153" s="8" t="s">
        <v>105</v>
      </c>
      <c r="C153" s="8" t="s">
        <v>106</v>
      </c>
      <c r="D153" s="8" t="s">
        <v>54</v>
      </c>
      <c r="E153" s="8" t="s">
        <v>55</v>
      </c>
      <c r="F153" s="8" t="s">
        <v>56</v>
      </c>
      <c r="G153" s="8" t="s">
        <v>89</v>
      </c>
      <c r="H153" s="8" t="s">
        <v>107</v>
      </c>
      <c r="I153" s="8" t="s">
        <v>108</v>
      </c>
      <c r="J153" s="8" t="s">
        <v>109</v>
      </c>
      <c r="K153" s="8" t="s">
        <v>110</v>
      </c>
      <c r="L153" s="8" t="s">
        <v>111</v>
      </c>
      <c r="M153" s="8" t="s">
        <v>112</v>
      </c>
      <c r="N153" s="8" t="s">
        <v>113</v>
      </c>
      <c r="O153" s="8" t="s">
        <v>114</v>
      </c>
      <c r="P153" s="8" t="s">
        <v>115</v>
      </c>
    </row>
    <row r="154" spans="1:16" x14ac:dyDescent="0.25">
      <c r="A154" s="11" t="s">
        <v>19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IFERROR(INDEX(tblWardConfig[BedComplement],MATCH("MW",tblWardConfig[Export Year-End],0)),0)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21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IFERROR(INDEX(tblWardConfig[BedComplement],MATCH("FW",tblWardConfig[Export Year-End],0)),0)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23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IFERROR(INDEX(tblWardConfig[BedComplement],MATCH("CW",tblWardConfig[Export Year-End],0)),0)</f>
        <v>27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25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IFERROR(INDEX(tblWardConfig[BedComplement],MATCH("BF",tblWardConfig[Export Year-End],0)),0)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27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IFERROR(INDEX(tblWardConfig[BedComplement],MATCH("BG",tblWardConfig[Export Year-End],0)),0)</f>
        <v>14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29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IFERROR(INDEX(tblWardConfig[BedComplement],MATCH("BH",tblWardConfig[Export Year-End],0)),0)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31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IFERROR(INDEX(tblWardConfig[BedComplement],MATCH("NICU",tblWardConfig[Export Year-End],0)),0)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33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IFERROR(INDEX(tblWardConfig[BedComplement],MATCH("MAE",tblWardConfig[Export Year-End],0)),0)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35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IFERROR(INDEX(tblWardConfig[BedComplement],MATCH("FAE",tblWardConfig[Export Year-End],0)),0)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94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116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5" t="s">
        <v>0</v>
      </c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</row>
    <row r="167" spans="1:16" ht="15.75" x14ac:dyDescent="0.25">
      <c r="A167" s="24" t="s">
        <v>127</v>
      </c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</row>
    <row r="168" spans="1:16" ht="38.25" x14ac:dyDescent="0.25">
      <c r="A168" s="8" t="s">
        <v>104</v>
      </c>
      <c r="B168" s="8" t="s">
        <v>105</v>
      </c>
      <c r="C168" s="8" t="s">
        <v>106</v>
      </c>
      <c r="D168" s="8" t="s">
        <v>54</v>
      </c>
      <c r="E168" s="8" t="s">
        <v>55</v>
      </c>
      <c r="F168" s="8" t="s">
        <v>56</v>
      </c>
      <c r="G168" s="8" t="s">
        <v>89</v>
      </c>
      <c r="H168" s="8" t="s">
        <v>107</v>
      </c>
      <c r="I168" s="8" t="s">
        <v>108</v>
      </c>
      <c r="J168" s="8" t="s">
        <v>109</v>
      </c>
      <c r="K168" s="8" t="s">
        <v>110</v>
      </c>
      <c r="L168" s="8" t="s">
        <v>111</v>
      </c>
      <c r="M168" s="8" t="s">
        <v>112</v>
      </c>
      <c r="N168" s="8" t="s">
        <v>113</v>
      </c>
      <c r="O168" s="8" t="s">
        <v>114</v>
      </c>
      <c r="P168" s="8" t="s">
        <v>115</v>
      </c>
    </row>
    <row r="169" spans="1:16" x14ac:dyDescent="0.25">
      <c r="A169" s="11" t="s">
        <v>19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IFERROR(INDEX(tblWardConfig[BedComplement],MATCH("MW",tblWardConfig[Export Year-End],0)),0)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21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IFERROR(INDEX(tblWardConfig[BedComplement],MATCH("FW",tblWardConfig[Export Year-End],0)),0)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23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IFERROR(INDEX(tblWardConfig[BedComplement],MATCH("CW",tblWardConfig[Export Year-End],0)),0)</f>
        <v>27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25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IFERROR(INDEX(tblWardConfig[BedComplement],MATCH("BF",tblWardConfig[Export Year-End],0)),0)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27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IFERROR(INDEX(tblWardConfig[BedComplement],MATCH("BG",tblWardConfig[Export Year-End],0)),0)</f>
        <v>14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29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IFERROR(INDEX(tblWardConfig[BedComplement],MATCH("BH",tblWardConfig[Export Year-End],0)),0)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31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IFERROR(INDEX(tblWardConfig[BedComplement],MATCH("NICU",tblWardConfig[Export Year-End],0)),0)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33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IFERROR(INDEX(tblWardConfig[BedComplement],MATCH("MAE",tblWardConfig[Export Year-End],0)),0)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35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IFERROR(INDEX(tblWardConfig[BedComplement],MATCH("FAE",tblWardConfig[Export Year-End],0)),0)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94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116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21:P121"/>
    <mergeCell ref="A77:P77"/>
    <mergeCell ref="A47:P47"/>
    <mergeCell ref="A32:P32"/>
    <mergeCell ref="A76:P76"/>
    <mergeCell ref="A17:P17"/>
    <mergeCell ref="A106:P106"/>
    <mergeCell ref="A31:P31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6" t="s">
        <v>40</v>
      </c>
      <c r="B1" s="21"/>
      <c r="C1" s="21"/>
      <c r="D1" s="21"/>
      <c r="E1" s="21"/>
      <c r="F1" s="21"/>
      <c r="G1" s="21"/>
      <c r="H1" s="26" t="s">
        <v>41</v>
      </c>
      <c r="I1" s="21"/>
      <c r="J1" s="21"/>
      <c r="K1" s="21"/>
      <c r="L1" s="21"/>
      <c r="M1" s="21"/>
      <c r="N1" s="21"/>
      <c r="O1" s="26" t="s">
        <v>42</v>
      </c>
      <c r="P1" s="21"/>
      <c r="Q1" s="21"/>
      <c r="R1" s="21"/>
      <c r="S1" s="21"/>
      <c r="T1" s="21"/>
      <c r="U1" s="21"/>
      <c r="V1" s="26" t="s">
        <v>43</v>
      </c>
      <c r="W1" s="21"/>
      <c r="X1" s="21"/>
      <c r="Y1" s="21"/>
      <c r="Z1" s="21"/>
      <c r="AA1" s="21"/>
      <c r="AB1" s="21"/>
      <c r="AC1" s="26" t="s">
        <v>44</v>
      </c>
      <c r="AD1" s="21"/>
      <c r="AE1" s="21"/>
      <c r="AF1" s="21"/>
      <c r="AG1" s="21"/>
      <c r="AH1" s="21"/>
      <c r="AI1" s="21"/>
      <c r="AJ1" s="26" t="s">
        <v>45</v>
      </c>
      <c r="AK1" s="21"/>
      <c r="AL1" s="21"/>
      <c r="AM1" s="21"/>
      <c r="AN1" s="21"/>
      <c r="AO1" s="21"/>
      <c r="AP1" s="21"/>
      <c r="AQ1" s="26" t="s">
        <v>46</v>
      </c>
      <c r="AR1" s="21"/>
      <c r="AS1" s="21"/>
      <c r="AT1" s="21"/>
      <c r="AU1" s="21"/>
      <c r="AV1" s="21"/>
      <c r="AW1" s="21"/>
      <c r="AX1" s="26" t="s">
        <v>47</v>
      </c>
      <c r="AY1" s="21"/>
      <c r="AZ1" s="21"/>
      <c r="BA1" s="21"/>
      <c r="BB1" s="21"/>
      <c r="BC1" s="21"/>
      <c r="BD1" s="21"/>
      <c r="BE1" s="26" t="s">
        <v>48</v>
      </c>
      <c r="BF1" s="21"/>
      <c r="BG1" s="21"/>
      <c r="BH1" s="21"/>
      <c r="BI1" s="21"/>
      <c r="BJ1" s="21"/>
      <c r="BK1" s="21"/>
      <c r="BL1" s="26" t="s">
        <v>49</v>
      </c>
      <c r="BM1" s="21"/>
      <c r="BN1" s="21"/>
      <c r="BO1" s="21"/>
      <c r="BP1" s="21"/>
      <c r="BQ1" s="21"/>
      <c r="BR1" s="21"/>
      <c r="BS1" s="26" t="s">
        <v>50</v>
      </c>
      <c r="BT1" s="21"/>
      <c r="BU1" s="21"/>
      <c r="BV1" s="21"/>
      <c r="BW1" s="21"/>
      <c r="BX1" s="21"/>
      <c r="BY1" s="21"/>
      <c r="BZ1" s="26" t="s">
        <v>51</v>
      </c>
      <c r="CA1" s="21"/>
      <c r="CB1" s="21"/>
      <c r="CC1" s="21"/>
      <c r="CD1" s="21"/>
      <c r="CE1" s="21"/>
      <c r="CF1" s="21"/>
    </row>
    <row r="2" spans="1:84" x14ac:dyDescent="0.25">
      <c r="B2" s="29" t="s">
        <v>128</v>
      </c>
      <c r="C2" s="21"/>
      <c r="D2" s="27" t="s">
        <v>129</v>
      </c>
      <c r="E2" s="21"/>
      <c r="F2" s="28" t="s">
        <v>130</v>
      </c>
      <c r="G2" s="21"/>
      <c r="I2" s="29" t="s">
        <v>128</v>
      </c>
      <c r="J2" s="21"/>
      <c r="K2" s="27" t="s">
        <v>129</v>
      </c>
      <c r="L2" s="21"/>
      <c r="M2" s="28" t="s">
        <v>130</v>
      </c>
      <c r="N2" s="21"/>
      <c r="P2" s="29" t="s">
        <v>128</v>
      </c>
      <c r="Q2" s="21"/>
      <c r="R2" s="27" t="s">
        <v>129</v>
      </c>
      <c r="S2" s="21"/>
      <c r="T2" s="28" t="s">
        <v>130</v>
      </c>
      <c r="U2" s="21"/>
      <c r="W2" s="29" t="s">
        <v>128</v>
      </c>
      <c r="X2" s="21"/>
      <c r="Y2" s="27" t="s">
        <v>129</v>
      </c>
      <c r="Z2" s="21"/>
      <c r="AA2" s="28" t="s">
        <v>130</v>
      </c>
      <c r="AB2" s="21"/>
      <c r="AD2" s="29" t="s">
        <v>128</v>
      </c>
      <c r="AE2" s="21"/>
      <c r="AF2" s="27" t="s">
        <v>129</v>
      </c>
      <c r="AG2" s="21"/>
      <c r="AH2" s="28" t="s">
        <v>130</v>
      </c>
      <c r="AI2" s="21"/>
      <c r="AK2" s="29" t="s">
        <v>128</v>
      </c>
      <c r="AL2" s="21"/>
      <c r="AM2" s="27" t="s">
        <v>129</v>
      </c>
      <c r="AN2" s="21"/>
      <c r="AO2" s="28" t="s">
        <v>130</v>
      </c>
      <c r="AP2" s="21"/>
      <c r="AR2" s="29" t="s">
        <v>128</v>
      </c>
      <c r="AS2" s="21"/>
      <c r="AT2" s="27" t="s">
        <v>129</v>
      </c>
      <c r="AU2" s="21"/>
      <c r="AV2" s="28" t="s">
        <v>130</v>
      </c>
      <c r="AW2" s="21"/>
      <c r="AY2" s="29" t="s">
        <v>128</v>
      </c>
      <c r="AZ2" s="21"/>
      <c r="BA2" s="27" t="s">
        <v>129</v>
      </c>
      <c r="BB2" s="21"/>
      <c r="BC2" s="28" t="s">
        <v>130</v>
      </c>
      <c r="BD2" s="21"/>
      <c r="BF2" s="29" t="s">
        <v>128</v>
      </c>
      <c r="BG2" s="21"/>
      <c r="BH2" s="27" t="s">
        <v>129</v>
      </c>
      <c r="BI2" s="21"/>
      <c r="BJ2" s="28" t="s">
        <v>130</v>
      </c>
      <c r="BK2" s="21"/>
      <c r="BM2" s="29" t="s">
        <v>128</v>
      </c>
      <c r="BN2" s="21"/>
      <c r="BO2" s="27" t="s">
        <v>129</v>
      </c>
      <c r="BP2" s="21"/>
      <c r="BQ2" s="28" t="s">
        <v>130</v>
      </c>
      <c r="BR2" s="21"/>
      <c r="BT2" s="29" t="s">
        <v>128</v>
      </c>
      <c r="BU2" s="21"/>
      <c r="BV2" s="27" t="s">
        <v>129</v>
      </c>
      <c r="BW2" s="21"/>
      <c r="BX2" s="28" t="s">
        <v>130</v>
      </c>
      <c r="BY2" s="21"/>
      <c r="CA2" s="29" t="s">
        <v>128</v>
      </c>
      <c r="CB2" s="21"/>
      <c r="CC2" s="27" t="s">
        <v>129</v>
      </c>
      <c r="CD2" s="21"/>
      <c r="CE2" s="28" t="s">
        <v>130</v>
      </c>
      <c r="CF2" s="21"/>
    </row>
    <row r="3" spans="1:84" x14ac:dyDescent="0.25">
      <c r="A3" s="11" t="s">
        <v>131</v>
      </c>
      <c r="B3" s="11" t="s">
        <v>132</v>
      </c>
      <c r="C3" s="11" t="s">
        <v>133</v>
      </c>
      <c r="D3" s="11" t="s">
        <v>134</v>
      </c>
      <c r="E3" s="11" t="s">
        <v>135</v>
      </c>
      <c r="F3" s="11" t="s">
        <v>134</v>
      </c>
      <c r="G3" s="11" t="s">
        <v>135</v>
      </c>
      <c r="H3" s="11" t="s">
        <v>131</v>
      </c>
      <c r="I3" s="11" t="s">
        <v>132</v>
      </c>
      <c r="J3" s="11" t="s">
        <v>133</v>
      </c>
      <c r="K3" s="11" t="s">
        <v>134</v>
      </c>
      <c r="L3" s="11" t="s">
        <v>135</v>
      </c>
      <c r="M3" s="11" t="s">
        <v>134</v>
      </c>
      <c r="N3" s="11" t="s">
        <v>135</v>
      </c>
      <c r="O3" s="11" t="s">
        <v>131</v>
      </c>
      <c r="P3" s="11" t="s">
        <v>132</v>
      </c>
      <c r="Q3" s="11" t="s">
        <v>133</v>
      </c>
      <c r="R3" s="11" t="s">
        <v>134</v>
      </c>
      <c r="S3" s="11" t="s">
        <v>135</v>
      </c>
      <c r="T3" s="11" t="s">
        <v>134</v>
      </c>
      <c r="U3" s="11" t="s">
        <v>135</v>
      </c>
      <c r="V3" s="11" t="s">
        <v>131</v>
      </c>
      <c r="W3" s="11" t="s">
        <v>132</v>
      </c>
      <c r="X3" s="11" t="s">
        <v>133</v>
      </c>
      <c r="Y3" s="11" t="s">
        <v>134</v>
      </c>
      <c r="Z3" s="11" t="s">
        <v>135</v>
      </c>
      <c r="AA3" s="11" t="s">
        <v>134</v>
      </c>
      <c r="AB3" s="11" t="s">
        <v>135</v>
      </c>
      <c r="AC3" s="11" t="s">
        <v>131</v>
      </c>
      <c r="AD3" s="11" t="s">
        <v>132</v>
      </c>
      <c r="AE3" s="11" t="s">
        <v>133</v>
      </c>
      <c r="AF3" s="11" t="s">
        <v>134</v>
      </c>
      <c r="AG3" s="11" t="s">
        <v>135</v>
      </c>
      <c r="AH3" s="11" t="s">
        <v>134</v>
      </c>
      <c r="AI3" s="11" t="s">
        <v>135</v>
      </c>
      <c r="AJ3" s="11" t="s">
        <v>131</v>
      </c>
      <c r="AK3" s="11" t="s">
        <v>132</v>
      </c>
      <c r="AL3" s="11" t="s">
        <v>133</v>
      </c>
      <c r="AM3" s="11" t="s">
        <v>134</v>
      </c>
      <c r="AN3" s="11" t="s">
        <v>135</v>
      </c>
      <c r="AO3" s="11" t="s">
        <v>134</v>
      </c>
      <c r="AP3" s="11" t="s">
        <v>135</v>
      </c>
      <c r="AQ3" s="11" t="s">
        <v>131</v>
      </c>
      <c r="AR3" s="11" t="s">
        <v>132</v>
      </c>
      <c r="AS3" s="11" t="s">
        <v>133</v>
      </c>
      <c r="AT3" s="11" t="s">
        <v>134</v>
      </c>
      <c r="AU3" s="11" t="s">
        <v>135</v>
      </c>
      <c r="AV3" s="11" t="s">
        <v>134</v>
      </c>
      <c r="AW3" s="11" t="s">
        <v>135</v>
      </c>
      <c r="AX3" s="11" t="s">
        <v>131</v>
      </c>
      <c r="AY3" s="11" t="s">
        <v>132</v>
      </c>
      <c r="AZ3" s="11" t="s">
        <v>133</v>
      </c>
      <c r="BA3" s="11" t="s">
        <v>134</v>
      </c>
      <c r="BB3" s="11" t="s">
        <v>135</v>
      </c>
      <c r="BC3" s="11" t="s">
        <v>134</v>
      </c>
      <c r="BD3" s="11" t="s">
        <v>135</v>
      </c>
      <c r="BE3" s="11" t="s">
        <v>131</v>
      </c>
      <c r="BF3" s="11" t="s">
        <v>132</v>
      </c>
      <c r="BG3" s="11" t="s">
        <v>133</v>
      </c>
      <c r="BH3" s="11" t="s">
        <v>134</v>
      </c>
      <c r="BI3" s="11" t="s">
        <v>135</v>
      </c>
      <c r="BJ3" s="11" t="s">
        <v>134</v>
      </c>
      <c r="BK3" s="11" t="s">
        <v>135</v>
      </c>
      <c r="BL3" s="11" t="s">
        <v>131</v>
      </c>
      <c r="BM3" s="11" t="s">
        <v>132</v>
      </c>
      <c r="BN3" s="11" t="s">
        <v>133</v>
      </c>
      <c r="BO3" s="11" t="s">
        <v>134</v>
      </c>
      <c r="BP3" s="11" t="s">
        <v>135</v>
      </c>
      <c r="BQ3" s="11" t="s">
        <v>134</v>
      </c>
      <c r="BR3" s="11" t="s">
        <v>135</v>
      </c>
      <c r="BS3" s="11" t="s">
        <v>131</v>
      </c>
      <c r="BT3" s="11" t="s">
        <v>132</v>
      </c>
      <c r="BU3" s="11" t="s">
        <v>133</v>
      </c>
      <c r="BV3" s="11" t="s">
        <v>134</v>
      </c>
      <c r="BW3" s="11" t="s">
        <v>135</v>
      </c>
      <c r="BX3" s="11" t="s">
        <v>134</v>
      </c>
      <c r="BY3" s="11" t="s">
        <v>135</v>
      </c>
      <c r="BZ3" s="11" t="s">
        <v>131</v>
      </c>
      <c r="CA3" s="11" t="s">
        <v>132</v>
      </c>
      <c r="CB3" s="11" t="s">
        <v>133</v>
      </c>
      <c r="CC3" s="11" t="s">
        <v>134</v>
      </c>
      <c r="CD3" s="11" t="s">
        <v>135</v>
      </c>
      <c r="CE3" s="11" t="s">
        <v>134</v>
      </c>
      <c r="CF3" s="11" t="s">
        <v>135</v>
      </c>
    </row>
    <row r="4" spans="1:84" x14ac:dyDescent="0.25">
      <c r="A4" s="5" t="s">
        <v>136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136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136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136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136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136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136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136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136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136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136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136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137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137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137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137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137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137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137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137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137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137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137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137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138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138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138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138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138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138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138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138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138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138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138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138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139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139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139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139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139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139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139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139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139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139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139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139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140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140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140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140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140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140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140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140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140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140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140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140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141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141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141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141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141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141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141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141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141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141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141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141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142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142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142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142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142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142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142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142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142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142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142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142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143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143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143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143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143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143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143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143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143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143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143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143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144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144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144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144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144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144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144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144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144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144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144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144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145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145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145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145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145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145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145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145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145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145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145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145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146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146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146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146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146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146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146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146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146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146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146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146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147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147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147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147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147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147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147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147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147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147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147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147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148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148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148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148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148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148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148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148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148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148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148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148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4" t="s">
        <v>149</v>
      </c>
      <c r="B1" s="21"/>
      <c r="C1" s="21"/>
      <c r="D1" s="21"/>
      <c r="E1" s="21"/>
      <c r="F1" s="21"/>
      <c r="G1" s="21"/>
      <c r="H1" s="21"/>
    </row>
    <row r="2" spans="1:8" x14ac:dyDescent="0.25">
      <c r="A2" s="4" t="s">
        <v>150</v>
      </c>
      <c r="B2" s="4" t="s">
        <v>151</v>
      </c>
      <c r="C2" s="4" t="s">
        <v>152</v>
      </c>
      <c r="D2" s="4" t="s">
        <v>153</v>
      </c>
      <c r="E2" s="4" t="s">
        <v>68</v>
      </c>
      <c r="F2" s="4" t="s">
        <v>70</v>
      </c>
      <c r="G2" s="4" t="s">
        <v>154</v>
      </c>
      <c r="H2" s="4" t="s">
        <v>71</v>
      </c>
    </row>
    <row r="43" spans="1:8" ht="15.75" x14ac:dyDescent="0.25">
      <c r="A43" s="24" t="s">
        <v>155</v>
      </c>
      <c r="B43" s="21"/>
      <c r="C43" s="21"/>
      <c r="D43" s="21"/>
      <c r="E43" s="21"/>
      <c r="F43" s="21"/>
      <c r="G43" s="21"/>
      <c r="H43" s="21"/>
    </row>
    <row r="44" spans="1:8" x14ac:dyDescent="0.25">
      <c r="A44" s="4" t="s">
        <v>150</v>
      </c>
      <c r="B44" s="4" t="s">
        <v>151</v>
      </c>
      <c r="C44" s="4" t="s">
        <v>152</v>
      </c>
      <c r="D44" s="4" t="s">
        <v>153</v>
      </c>
      <c r="E44" s="4" t="s">
        <v>68</v>
      </c>
      <c r="F44" s="4" t="s">
        <v>70</v>
      </c>
      <c r="G44" s="4" t="s">
        <v>154</v>
      </c>
      <c r="H44" s="4" t="s">
        <v>71</v>
      </c>
    </row>
    <row r="85" spans="1:8" ht="15.75" x14ac:dyDescent="0.25">
      <c r="A85" s="24" t="s">
        <v>156</v>
      </c>
      <c r="B85" s="21"/>
      <c r="C85" s="21"/>
      <c r="D85" s="21"/>
      <c r="E85" s="21"/>
      <c r="F85" s="21"/>
      <c r="G85" s="21"/>
      <c r="H85" s="21"/>
    </row>
    <row r="86" spans="1:8" x14ac:dyDescent="0.25">
      <c r="A86" s="4" t="s">
        <v>150</v>
      </c>
      <c r="B86" s="4" t="s">
        <v>151</v>
      </c>
      <c r="C86" s="4" t="s">
        <v>152</v>
      </c>
      <c r="D86" s="4" t="s">
        <v>153</v>
      </c>
      <c r="E86" s="4" t="s">
        <v>68</v>
      </c>
      <c r="F86" s="4" t="s">
        <v>70</v>
      </c>
      <c r="G86" s="4" t="s">
        <v>154</v>
      </c>
      <c r="H86" s="4" t="s">
        <v>71</v>
      </c>
    </row>
    <row r="127" spans="1:8" ht="15.75" x14ac:dyDescent="0.25">
      <c r="A127" s="24" t="s">
        <v>157</v>
      </c>
      <c r="B127" s="21"/>
      <c r="C127" s="21"/>
      <c r="D127" s="21"/>
      <c r="E127" s="21"/>
      <c r="F127" s="21"/>
      <c r="G127" s="21"/>
      <c r="H127" s="21"/>
    </row>
    <row r="128" spans="1:8" x14ac:dyDescent="0.25">
      <c r="A128" s="4" t="s">
        <v>150</v>
      </c>
      <c r="B128" s="4" t="s">
        <v>151</v>
      </c>
      <c r="C128" s="4" t="s">
        <v>152</v>
      </c>
      <c r="D128" s="4" t="s">
        <v>153</v>
      </c>
      <c r="E128" s="4" t="s">
        <v>68</v>
      </c>
      <c r="F128" s="4" t="s">
        <v>70</v>
      </c>
      <c r="G128" s="4" t="s">
        <v>154</v>
      </c>
      <c r="H128" s="4" t="s">
        <v>71</v>
      </c>
    </row>
    <row r="169" spans="1:8" ht="15.75" x14ac:dyDescent="0.25">
      <c r="A169" s="24" t="s">
        <v>158</v>
      </c>
      <c r="B169" s="21"/>
      <c r="C169" s="21"/>
      <c r="D169" s="21"/>
      <c r="E169" s="21"/>
      <c r="F169" s="21"/>
      <c r="G169" s="21"/>
      <c r="H169" s="21"/>
    </row>
    <row r="170" spans="1:8" x14ac:dyDescent="0.25">
      <c r="A170" s="4" t="s">
        <v>150</v>
      </c>
      <c r="B170" s="4" t="s">
        <v>151</v>
      </c>
      <c r="C170" s="4" t="s">
        <v>152</v>
      </c>
      <c r="D170" s="4" t="s">
        <v>153</v>
      </c>
      <c r="E170" s="4" t="s">
        <v>68</v>
      </c>
      <c r="F170" s="4" t="s">
        <v>70</v>
      </c>
      <c r="G170" s="4" t="s">
        <v>154</v>
      </c>
      <c r="H170" s="4" t="s">
        <v>71</v>
      </c>
    </row>
    <row r="211" spans="1:8" ht="15.75" x14ac:dyDescent="0.25">
      <c r="A211" s="24" t="s">
        <v>159</v>
      </c>
      <c r="B211" s="21"/>
      <c r="C211" s="21"/>
      <c r="D211" s="21"/>
      <c r="E211" s="21"/>
      <c r="F211" s="21"/>
      <c r="G211" s="21"/>
      <c r="H211" s="21"/>
    </row>
    <row r="212" spans="1:8" x14ac:dyDescent="0.25">
      <c r="A212" s="4" t="s">
        <v>150</v>
      </c>
      <c r="B212" s="4" t="s">
        <v>151</v>
      </c>
      <c r="C212" s="4" t="s">
        <v>152</v>
      </c>
      <c r="D212" s="4" t="s">
        <v>153</v>
      </c>
      <c r="E212" s="4" t="s">
        <v>68</v>
      </c>
      <c r="F212" s="4" t="s">
        <v>70</v>
      </c>
      <c r="G212" s="4" t="s">
        <v>154</v>
      </c>
      <c r="H212" s="4" t="s">
        <v>71</v>
      </c>
    </row>
    <row r="253" spans="1:8" ht="15.75" x14ac:dyDescent="0.25">
      <c r="A253" s="24" t="s">
        <v>160</v>
      </c>
      <c r="B253" s="21"/>
      <c r="C253" s="21"/>
      <c r="D253" s="21"/>
      <c r="E253" s="21"/>
      <c r="F253" s="21"/>
      <c r="G253" s="21"/>
      <c r="H253" s="21"/>
    </row>
    <row r="254" spans="1:8" x14ac:dyDescent="0.25">
      <c r="A254" s="4" t="s">
        <v>150</v>
      </c>
      <c r="B254" s="4" t="s">
        <v>151</v>
      </c>
      <c r="C254" s="4" t="s">
        <v>152</v>
      </c>
      <c r="D254" s="4" t="s">
        <v>153</v>
      </c>
      <c r="E254" s="4" t="s">
        <v>68</v>
      </c>
      <c r="F254" s="4" t="s">
        <v>70</v>
      </c>
      <c r="G254" s="4" t="s">
        <v>154</v>
      </c>
      <c r="H254" s="4" t="s">
        <v>71</v>
      </c>
    </row>
    <row r="295" spans="1:8" ht="15.75" x14ac:dyDescent="0.25">
      <c r="A295" s="24" t="s">
        <v>161</v>
      </c>
      <c r="B295" s="21"/>
      <c r="C295" s="21"/>
      <c r="D295" s="21"/>
      <c r="E295" s="21"/>
      <c r="F295" s="21"/>
      <c r="G295" s="21"/>
      <c r="H295" s="21"/>
    </row>
    <row r="296" spans="1:8" x14ac:dyDescent="0.25">
      <c r="A296" s="4" t="s">
        <v>150</v>
      </c>
      <c r="B296" s="4" t="s">
        <v>151</v>
      </c>
      <c r="C296" s="4" t="s">
        <v>152</v>
      </c>
      <c r="D296" s="4" t="s">
        <v>153</v>
      </c>
      <c r="E296" s="4" t="s">
        <v>68</v>
      </c>
      <c r="F296" s="4" t="s">
        <v>70</v>
      </c>
      <c r="G296" s="4" t="s">
        <v>154</v>
      </c>
      <c r="H296" s="4" t="s">
        <v>71</v>
      </c>
    </row>
    <row r="337" spans="1:8" ht="15.75" x14ac:dyDescent="0.25">
      <c r="A337" s="24" t="s">
        <v>162</v>
      </c>
      <c r="B337" s="21"/>
      <c r="C337" s="21"/>
      <c r="D337" s="21"/>
      <c r="E337" s="21"/>
      <c r="F337" s="21"/>
      <c r="G337" s="21"/>
      <c r="H337" s="21"/>
    </row>
    <row r="338" spans="1:8" x14ac:dyDescent="0.25">
      <c r="A338" s="4" t="s">
        <v>150</v>
      </c>
      <c r="B338" s="4" t="s">
        <v>151</v>
      </c>
      <c r="C338" s="4" t="s">
        <v>152</v>
      </c>
      <c r="D338" s="4" t="s">
        <v>153</v>
      </c>
      <c r="E338" s="4" t="s">
        <v>68</v>
      </c>
      <c r="F338" s="4" t="s">
        <v>70</v>
      </c>
      <c r="G338" s="4" t="s">
        <v>154</v>
      </c>
      <c r="H338" s="4" t="s">
        <v>71</v>
      </c>
    </row>
    <row r="379" spans="1:8" ht="15.75" x14ac:dyDescent="0.25">
      <c r="A379" s="24" t="s">
        <v>163</v>
      </c>
      <c r="B379" s="21"/>
      <c r="C379" s="21"/>
      <c r="D379" s="21"/>
      <c r="E379" s="21"/>
      <c r="F379" s="21"/>
      <c r="G379" s="21"/>
      <c r="H379" s="21"/>
    </row>
    <row r="380" spans="1:8" x14ac:dyDescent="0.25">
      <c r="A380" s="4" t="s">
        <v>150</v>
      </c>
      <c r="B380" s="4" t="s">
        <v>151</v>
      </c>
      <c r="C380" s="4" t="s">
        <v>152</v>
      </c>
      <c r="D380" s="4" t="s">
        <v>153</v>
      </c>
      <c r="E380" s="4" t="s">
        <v>68</v>
      </c>
      <c r="F380" s="4" t="s">
        <v>70</v>
      </c>
      <c r="G380" s="4" t="s">
        <v>154</v>
      </c>
      <c r="H380" s="4" t="s">
        <v>71</v>
      </c>
    </row>
    <row r="421" spans="1:8" ht="15.75" x14ac:dyDescent="0.25">
      <c r="A421" s="24" t="s">
        <v>164</v>
      </c>
      <c r="B421" s="21"/>
      <c r="C421" s="21"/>
      <c r="D421" s="21"/>
      <c r="E421" s="21"/>
      <c r="F421" s="21"/>
      <c r="G421" s="21"/>
      <c r="H421" s="21"/>
    </row>
    <row r="422" spans="1:8" x14ac:dyDescent="0.25">
      <c r="A422" s="4" t="s">
        <v>150</v>
      </c>
      <c r="B422" s="4" t="s">
        <v>151</v>
      </c>
      <c r="C422" s="4" t="s">
        <v>152</v>
      </c>
      <c r="D422" s="4" t="s">
        <v>153</v>
      </c>
      <c r="E422" s="4" t="s">
        <v>68</v>
      </c>
      <c r="F422" s="4" t="s">
        <v>70</v>
      </c>
      <c r="G422" s="4" t="s">
        <v>154</v>
      </c>
      <c r="H422" s="4" t="s">
        <v>71</v>
      </c>
    </row>
    <row r="463" spans="1:8" ht="15.75" x14ac:dyDescent="0.25">
      <c r="A463" s="24" t="s">
        <v>165</v>
      </c>
      <c r="B463" s="21"/>
      <c r="C463" s="21"/>
      <c r="D463" s="21"/>
      <c r="E463" s="21"/>
      <c r="F463" s="21"/>
      <c r="G463" s="21"/>
      <c r="H463" s="21"/>
    </row>
    <row r="464" spans="1:8" x14ac:dyDescent="0.25">
      <c r="A464" s="4" t="s">
        <v>150</v>
      </c>
      <c r="B464" s="4" t="s">
        <v>151</v>
      </c>
      <c r="C464" s="4" t="s">
        <v>152</v>
      </c>
      <c r="D464" s="4" t="s">
        <v>153</v>
      </c>
      <c r="E464" s="4" t="s">
        <v>68</v>
      </c>
      <c r="F464" s="4" t="s">
        <v>70</v>
      </c>
      <c r="G464" s="4" t="s">
        <v>154</v>
      </c>
      <c r="H464" s="4" t="s">
        <v>71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5" t="s">
        <v>166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</row>
    <row r="2" spans="1:14" x14ac:dyDescent="0.25">
      <c r="A2" s="4" t="s">
        <v>167</v>
      </c>
      <c r="B2" s="4" t="s">
        <v>40</v>
      </c>
      <c r="C2" s="4" t="s">
        <v>41</v>
      </c>
      <c r="D2" s="4" t="s">
        <v>42</v>
      </c>
      <c r="E2" s="4" t="s">
        <v>43</v>
      </c>
      <c r="F2" s="4" t="s">
        <v>44</v>
      </c>
      <c r="G2" s="4" t="s">
        <v>45</v>
      </c>
      <c r="H2" s="4" t="s">
        <v>46</v>
      </c>
      <c r="I2" s="4" t="s">
        <v>47</v>
      </c>
      <c r="J2" s="4" t="s">
        <v>48</v>
      </c>
      <c r="K2" s="4" t="s">
        <v>49</v>
      </c>
      <c r="L2" s="4" t="s">
        <v>50</v>
      </c>
      <c r="M2" s="4" t="s">
        <v>51</v>
      </c>
      <c r="N2" s="4" t="s">
        <v>94</v>
      </c>
    </row>
    <row r="3" spans="1:14" x14ac:dyDescent="0.25">
      <c r="A3" s="2" t="s">
        <v>168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5" t="s">
        <v>169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3" spans="1:16" ht="51" x14ac:dyDescent="0.25">
      <c r="A3" s="8" t="s">
        <v>104</v>
      </c>
      <c r="B3" s="8" t="s">
        <v>170</v>
      </c>
      <c r="C3" s="8" t="s">
        <v>106</v>
      </c>
      <c r="D3" s="8" t="s">
        <v>54</v>
      </c>
      <c r="E3" s="8" t="s">
        <v>55</v>
      </c>
      <c r="F3" s="8" t="s">
        <v>56</v>
      </c>
      <c r="G3" s="8" t="s">
        <v>89</v>
      </c>
      <c r="H3" s="8" t="s">
        <v>107</v>
      </c>
      <c r="I3" s="8" t="s">
        <v>108</v>
      </c>
      <c r="J3" s="8" t="s">
        <v>109</v>
      </c>
      <c r="K3" s="8" t="s">
        <v>110</v>
      </c>
      <c r="L3" s="8" t="s">
        <v>111</v>
      </c>
      <c r="M3" s="8" t="s">
        <v>112</v>
      </c>
      <c r="N3" s="8" t="s">
        <v>113</v>
      </c>
      <c r="O3" s="8" t="s">
        <v>114</v>
      </c>
      <c r="P3" s="8" t="s">
        <v>115</v>
      </c>
    </row>
    <row r="4" spans="1:16" x14ac:dyDescent="0.25">
      <c r="A4" s="16" t="s">
        <v>19</v>
      </c>
      <c r="B4" s="17">
        <f>IFERROR(INDEX(tblWardConfig[PrevYearRemaining],MATCH("MW",tblWardConfig[Export Year-End],0)),0)</f>
        <v>0</v>
      </c>
      <c r="C4" s="17">
        <f>IFERROR(INDEX(tblWardConfig[BedComplement],MATCH("MW",tblWardConfig[Export Year-End],0)),0)</f>
        <v>32</v>
      </c>
      <c r="D4" s="18">
        <f>SUMIFS(tblDaily[Admissions],tblDaily[WardCode],"MW")</f>
        <v>0</v>
      </c>
      <c r="E4" s="18">
        <f>SUMIFS(tblDaily[Discharges],tblDaily[WardCode],"MW")</f>
        <v>0</v>
      </c>
      <c r="F4" s="18">
        <f>SUMIFS(tblDaily[Deaths],tblDaily[WardCode],"MW")</f>
        <v>0</v>
      </c>
      <c r="G4" s="18">
        <f>SUMIFS(tblDaily[DeathsUnder24Hrs],tblDaily[WardCode],"MW")</f>
        <v>0</v>
      </c>
      <c r="H4" s="18">
        <f>SUMIFS(tblDaily[Remaining],tblDaily[WardCode],"MW")</f>
        <v>0</v>
      </c>
      <c r="I4" s="18">
        <f>SUMIFS(tblDaily[TransfersIn],tblDaily[WardCode],"MW")</f>
        <v>0</v>
      </c>
      <c r="J4" s="18">
        <f>SUMIFS(tblDaily[TransfersOut],tblDaily[WardCode],"MW")</f>
        <v>0</v>
      </c>
      <c r="K4" s="19">
        <f t="shared" ref="K4:K12" si="0">IFERROR(H4/365,0)</f>
        <v>0</v>
      </c>
      <c r="L4" s="19">
        <f t="shared" ref="L4:L12" si="1">IFERROR(H4/(E4+F4),0)</f>
        <v>0</v>
      </c>
      <c r="M4" s="19">
        <f t="shared" ref="M4:M12" si="2">IFERROR((C4*365-H4)/(E4+F4),0)</f>
        <v>0</v>
      </c>
      <c r="N4" s="19">
        <f t="shared" ref="N4:N12" si="3">IFERROR((E4+F4)/C4,0)</f>
        <v>0</v>
      </c>
      <c r="O4" s="19">
        <f t="shared" ref="O4:O12" si="4">IFERROR((H4/(C4*365))*100,0)</f>
        <v>0</v>
      </c>
      <c r="P4" s="19">
        <f t="shared" ref="P4:P12" si="5">IFERROR((F4/(D4+B4))*100,0)</f>
        <v>0</v>
      </c>
    </row>
    <row r="5" spans="1:16" x14ac:dyDescent="0.25">
      <c r="A5" s="16" t="s">
        <v>21</v>
      </c>
      <c r="B5" s="17">
        <f>IFERROR(INDEX(tblWardConfig[PrevYearRemaining],MATCH("FW",tblWardConfig[Export Year-End],0)),0)</f>
        <v>0</v>
      </c>
      <c r="C5" s="17">
        <f>IFERROR(INDEX(tblWardConfig[BedComplement],MATCH("FW",tblWardConfig[Export Year-End],0)),0)</f>
        <v>28</v>
      </c>
      <c r="D5" s="18">
        <f>SUMIFS(tblDaily[Admissions],tblDaily[WardCode],"FW")</f>
        <v>0</v>
      </c>
      <c r="E5" s="18">
        <f>SUMIFS(tblDaily[Discharges],tblDaily[WardCode],"FW")</f>
        <v>0</v>
      </c>
      <c r="F5" s="18">
        <f>SUMIFS(tblDaily[Deaths],tblDaily[WardCode],"FW")</f>
        <v>0</v>
      </c>
      <c r="G5" s="18">
        <f>SUMIFS(tblDaily[DeathsUnder24Hrs],tblDaily[WardCode],"FW")</f>
        <v>0</v>
      </c>
      <c r="H5" s="18">
        <f>SUMIFS(tblDaily[Remaining],tblDaily[WardCode],"FW")</f>
        <v>0</v>
      </c>
      <c r="I5" s="18">
        <f>SUMIFS(tblDaily[TransfersIn],tblDaily[WardCode],"FW")</f>
        <v>0</v>
      </c>
      <c r="J5" s="18">
        <f>SUMIFS(tblDaily[TransfersOut],tblDaily[WardCode],"FW")</f>
        <v>0</v>
      </c>
      <c r="K5" s="19">
        <f t="shared" si="0"/>
        <v>0</v>
      </c>
      <c r="L5" s="19">
        <f t="shared" si="1"/>
        <v>0</v>
      </c>
      <c r="M5" s="19">
        <f t="shared" si="2"/>
        <v>0</v>
      </c>
      <c r="N5" s="19">
        <f t="shared" si="3"/>
        <v>0</v>
      </c>
      <c r="O5" s="19">
        <f t="shared" si="4"/>
        <v>0</v>
      </c>
      <c r="P5" s="19">
        <f t="shared" si="5"/>
        <v>0</v>
      </c>
    </row>
    <row r="6" spans="1:16" x14ac:dyDescent="0.25">
      <c r="A6" s="16" t="s">
        <v>23</v>
      </c>
      <c r="B6" s="17">
        <f>IFERROR(INDEX(tblWardConfig[PrevYearRemaining],MATCH("CW",tblWardConfig[Export Year-End],0)),0)</f>
        <v>0</v>
      </c>
      <c r="C6" s="17">
        <f>IFERROR(INDEX(tblWardConfig[BedComplement],MATCH("CW",tblWardConfig[Export Year-End],0)),0)</f>
        <v>27</v>
      </c>
      <c r="D6" s="18">
        <f>SUMIFS(tblDaily[Admissions],tblDaily[WardCode],"CW")</f>
        <v>0</v>
      </c>
      <c r="E6" s="18">
        <f>SUMIFS(tblDaily[Discharges],tblDaily[WardCode],"CW")</f>
        <v>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0</v>
      </c>
      <c r="I6" s="18">
        <f>SUMIFS(tblDaily[TransfersIn],tblDaily[WardCode],"CW")</f>
        <v>0</v>
      </c>
      <c r="J6" s="18">
        <f>SUMIFS(tblDaily[TransfersOut],tblDaily[WardCode],"CW")</f>
        <v>0</v>
      </c>
      <c r="K6" s="19">
        <f t="shared" si="0"/>
        <v>0</v>
      </c>
      <c r="L6" s="19">
        <f t="shared" si="1"/>
        <v>0</v>
      </c>
      <c r="M6" s="19">
        <f t="shared" si="2"/>
        <v>0</v>
      </c>
      <c r="N6" s="19">
        <f t="shared" si="3"/>
        <v>0</v>
      </c>
      <c r="O6" s="19">
        <f t="shared" si="4"/>
        <v>0</v>
      </c>
      <c r="P6" s="19">
        <f t="shared" si="5"/>
        <v>0</v>
      </c>
    </row>
    <row r="7" spans="1:16" x14ac:dyDescent="0.25">
      <c r="A7" s="16" t="s">
        <v>25</v>
      </c>
      <c r="B7" s="17">
        <f>IFERROR(INDEX(tblWardConfig[PrevYearRemaining],MATCH("BF",tblWardConfig[Export Year-End],0)),0)</f>
        <v>0</v>
      </c>
      <c r="C7" s="17">
        <f>IFERROR(INDEX(tblWardConfig[BedComplement],MATCH("BF",tblWardConfig[Export Year-End],0)),0)</f>
        <v>20</v>
      </c>
      <c r="D7" s="18">
        <f>SUMIFS(tblDaily[Admissions],tblDaily[WardCode],"BF")</f>
        <v>0</v>
      </c>
      <c r="E7" s="18">
        <f>SUMIFS(tblDaily[Discharges],tblDaily[WardCode],"BF")</f>
        <v>0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0</v>
      </c>
      <c r="I7" s="18">
        <f>SUMIFS(tblDaily[TransfersIn],tblDaily[WardCode],"BF")</f>
        <v>0</v>
      </c>
      <c r="J7" s="18">
        <f>SUMIFS(tblDaily[TransfersOut],tblDaily[WardCode],"BF")</f>
        <v>0</v>
      </c>
      <c r="K7" s="19">
        <f t="shared" si="0"/>
        <v>0</v>
      </c>
      <c r="L7" s="19">
        <f t="shared" si="1"/>
        <v>0</v>
      </c>
      <c r="M7" s="19">
        <f t="shared" si="2"/>
        <v>0</v>
      </c>
      <c r="N7" s="19">
        <f t="shared" si="3"/>
        <v>0</v>
      </c>
      <c r="O7" s="19">
        <f t="shared" si="4"/>
        <v>0</v>
      </c>
      <c r="P7" s="19">
        <f t="shared" si="5"/>
        <v>0</v>
      </c>
    </row>
    <row r="8" spans="1:16" x14ac:dyDescent="0.25">
      <c r="A8" s="16" t="s">
        <v>27</v>
      </c>
      <c r="B8" s="17">
        <f>IFERROR(INDEX(tblWardConfig[PrevYearRemaining],MATCH("BG",tblWardConfig[Export Year-End],0)),0)</f>
        <v>0</v>
      </c>
      <c r="C8" s="17">
        <f>IFERROR(INDEX(tblWardConfig[BedComplement],MATCH("BG",tblWardConfig[Export Year-End],0)),0)</f>
        <v>14</v>
      </c>
      <c r="D8" s="18">
        <f>SUMIFS(tblDaily[Admissions],tblDaily[WardCode],"BG")</f>
        <v>0</v>
      </c>
      <c r="E8" s="18">
        <f>SUMIFS(tblDaily[Discharges],tblDaily[WardCode],"BG")</f>
        <v>0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0</v>
      </c>
      <c r="I8" s="18">
        <f>SUMIFS(tblDaily[TransfersIn],tblDaily[WardCode],"BG")</f>
        <v>0</v>
      </c>
      <c r="J8" s="18">
        <f>SUMIFS(tblDaily[TransfersOut],tblDaily[WardCode],"BG")</f>
        <v>0</v>
      </c>
      <c r="K8" s="19">
        <f t="shared" si="0"/>
        <v>0</v>
      </c>
      <c r="L8" s="19">
        <f t="shared" si="1"/>
        <v>0</v>
      </c>
      <c r="M8" s="19">
        <f t="shared" si="2"/>
        <v>0</v>
      </c>
      <c r="N8" s="19">
        <f t="shared" si="3"/>
        <v>0</v>
      </c>
      <c r="O8" s="19">
        <f t="shared" si="4"/>
        <v>0</v>
      </c>
      <c r="P8" s="19">
        <f t="shared" si="5"/>
        <v>0</v>
      </c>
    </row>
    <row r="9" spans="1:16" x14ac:dyDescent="0.25">
      <c r="A9" s="16" t="s">
        <v>29</v>
      </c>
      <c r="B9" s="17">
        <f>IFERROR(INDEX(tblWardConfig[PrevYearRemaining],MATCH("BH",tblWardConfig[Export Year-End],0)),0)</f>
        <v>0</v>
      </c>
      <c r="C9" s="17">
        <f>IFERROR(INDEX(tblWardConfig[BedComplement],MATCH("BH",tblWardConfig[Export Year-End],0)),0)</f>
        <v>22</v>
      </c>
      <c r="D9" s="18">
        <f>SUMIFS(tblDaily[Admissions],tblDaily[WardCode],"BH")</f>
        <v>0</v>
      </c>
      <c r="E9" s="18">
        <f>SUMIFS(tblDaily[Discharges],tblDaily[WardCode],"BH")</f>
        <v>0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0</v>
      </c>
      <c r="I9" s="18">
        <f>SUMIFS(tblDaily[TransfersIn],tblDaily[WardCode],"BH")</f>
        <v>0</v>
      </c>
      <c r="J9" s="18">
        <f>SUMIFS(tblDaily[TransfersOut],tblDaily[WardCode],"BH")</f>
        <v>0</v>
      </c>
      <c r="K9" s="19">
        <f t="shared" si="0"/>
        <v>0</v>
      </c>
      <c r="L9" s="19">
        <f t="shared" si="1"/>
        <v>0</v>
      </c>
      <c r="M9" s="19">
        <f t="shared" si="2"/>
        <v>0</v>
      </c>
      <c r="N9" s="19">
        <f t="shared" si="3"/>
        <v>0</v>
      </c>
      <c r="O9" s="19">
        <f t="shared" si="4"/>
        <v>0</v>
      </c>
      <c r="P9" s="19">
        <f t="shared" si="5"/>
        <v>0</v>
      </c>
    </row>
    <row r="10" spans="1:16" x14ac:dyDescent="0.25">
      <c r="A10" s="16" t="s">
        <v>31</v>
      </c>
      <c r="B10" s="17">
        <f>IFERROR(INDEX(tblWardConfig[PrevYearRemaining],MATCH("NICU",tblWardConfig[Export Year-End],0)),0)</f>
        <v>0</v>
      </c>
      <c r="C10" s="17">
        <f>IFERROR(INDEX(tblWardConfig[BedComplement],MATCH("NICU",tblWardConfig[Export Year-End],0)),0)</f>
        <v>15</v>
      </c>
      <c r="D10" s="18">
        <f>SUMIFS(tblDaily[Admissions],tblDaily[WardCode],"NICU")</f>
        <v>0</v>
      </c>
      <c r="E10" s="18">
        <f>SUMIFS(tblDaily[Discharges],tblDaily[WardCode],"NICU")</f>
        <v>0</v>
      </c>
      <c r="F10" s="18">
        <f>SUMIFS(tblDaily[Deaths],tblDaily[WardCode],"NICU")</f>
        <v>0</v>
      </c>
      <c r="G10" s="18">
        <f>SUMIFS(tblDaily[DeathsUnder24Hrs],tblDaily[WardCode],"NICU")</f>
        <v>0</v>
      </c>
      <c r="H10" s="18">
        <f>SUMIFS(tblDaily[Remaining],tblDaily[WardCode],"NICU")</f>
        <v>0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0</v>
      </c>
      <c r="L10" s="19">
        <f t="shared" si="1"/>
        <v>0</v>
      </c>
      <c r="M10" s="19">
        <f t="shared" si="2"/>
        <v>0</v>
      </c>
      <c r="N10" s="19">
        <f t="shared" si="3"/>
        <v>0</v>
      </c>
      <c r="O10" s="19">
        <f t="shared" si="4"/>
        <v>0</v>
      </c>
      <c r="P10" s="19">
        <f t="shared" si="5"/>
        <v>0</v>
      </c>
    </row>
    <row r="11" spans="1:16" x14ac:dyDescent="0.25">
      <c r="A11" s="16" t="s">
        <v>33</v>
      </c>
      <c r="B11" s="17">
        <f>IFERROR(INDEX(tblWardConfig[PrevYearRemaining],MATCH("MAE",tblWardConfig[Export Year-End],0)),0)</f>
        <v>0</v>
      </c>
      <c r="C11" s="17">
        <f>IFERROR(INDEX(tblWardConfig[BedComplement],MATCH("MAE",tblWardConfig[Export Year-End],0)),0)</f>
        <v>10</v>
      </c>
      <c r="D11" s="18">
        <f>SUMIFS(tblDaily[Admissions],tblDaily[WardCode],"MAE")</f>
        <v>0</v>
      </c>
      <c r="E11" s="18">
        <f>SUMIFS(tblDaily[Discharges],tblDaily[WardCode],"MAE")</f>
        <v>0</v>
      </c>
      <c r="F11" s="18">
        <f>SUMIFS(tblDaily[Deaths],tblDaily[WardCode],"MAE")</f>
        <v>0</v>
      </c>
      <c r="G11" s="18">
        <f>SUMIFS(tblDaily[DeathsUnder24Hrs],tblDaily[WardCode],"MAE")</f>
        <v>0</v>
      </c>
      <c r="H11" s="18">
        <f>SUMIFS(tblDaily[Remaining],tblDaily[WardCode],"MAE")</f>
        <v>0</v>
      </c>
      <c r="I11" s="18">
        <f>SUMIFS(tblDaily[TransfersIn],tblDaily[WardCode],"MAE")</f>
        <v>0</v>
      </c>
      <c r="J11" s="18">
        <f>SUMIFS(tblDaily[TransfersOut],tblDaily[WardCode],"MAE")</f>
        <v>0</v>
      </c>
      <c r="K11" s="19">
        <f t="shared" si="0"/>
        <v>0</v>
      </c>
      <c r="L11" s="19">
        <f t="shared" si="1"/>
        <v>0</v>
      </c>
      <c r="M11" s="19">
        <f t="shared" si="2"/>
        <v>0</v>
      </c>
      <c r="N11" s="19">
        <f t="shared" si="3"/>
        <v>0</v>
      </c>
      <c r="O11" s="19">
        <f t="shared" si="4"/>
        <v>0</v>
      </c>
      <c r="P11" s="19">
        <f t="shared" si="5"/>
        <v>0</v>
      </c>
    </row>
    <row r="12" spans="1:16" x14ac:dyDescent="0.25">
      <c r="A12" s="16" t="s">
        <v>35</v>
      </c>
      <c r="B12" s="17">
        <f>IFERROR(INDEX(tblWardConfig[PrevYearRemaining],MATCH("FAE",tblWardConfig[Export Year-End],0)),0)</f>
        <v>0</v>
      </c>
      <c r="C12" s="17">
        <f>IFERROR(INDEX(tblWardConfig[BedComplement],MATCH("FAE",tblWardConfig[Export Year-End],0)),0)</f>
        <v>10</v>
      </c>
      <c r="D12" s="18">
        <f>SUMIFS(tblDaily[Admissions],tblDaily[WardCode],"FAE")</f>
        <v>0</v>
      </c>
      <c r="E12" s="18">
        <f>SUMIFS(tblDaily[Discharges],tblDaily[WardCode],"FAE")</f>
        <v>0</v>
      </c>
      <c r="F12" s="18">
        <f>SUMIFS(tblDaily[Deaths],tblDaily[WardCode],"FAE")</f>
        <v>0</v>
      </c>
      <c r="G12" s="18">
        <f>SUMIFS(tblDaily[DeathsUnder24Hrs],tblDaily[WardCode],"FAE")</f>
        <v>0</v>
      </c>
      <c r="H12" s="18">
        <f>SUMIFS(tblDaily[Remaining],tblDaily[WardCode],"FAE")</f>
        <v>0</v>
      </c>
      <c r="I12" s="18">
        <f>SUMIFS(tblDaily[TransfersIn],tblDaily[WardCode],"FAE")</f>
        <v>0</v>
      </c>
      <c r="J12" s="18">
        <f>SUMIFS(tblDaily[TransfersOut],tblDaily[WardCode],"FAE")</f>
        <v>0</v>
      </c>
      <c r="K12" s="19">
        <f t="shared" si="0"/>
        <v>0</v>
      </c>
      <c r="L12" s="19">
        <f t="shared" si="1"/>
        <v>0</v>
      </c>
      <c r="M12" s="19">
        <f t="shared" si="2"/>
        <v>0</v>
      </c>
      <c r="N12" s="19">
        <f t="shared" si="3"/>
        <v>0</v>
      </c>
      <c r="O12" s="19">
        <f t="shared" si="4"/>
        <v>0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5" t="s">
        <v>171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4" t="s">
        <v>150</v>
      </c>
      <c r="B2" s="4" t="s">
        <v>172</v>
      </c>
      <c r="C2" s="4" t="s">
        <v>53</v>
      </c>
      <c r="D2" s="4" t="s">
        <v>154</v>
      </c>
      <c r="E2" s="4" t="s">
        <v>173</v>
      </c>
      <c r="F2" s="4" t="s">
        <v>174</v>
      </c>
      <c r="G2" s="4" t="s">
        <v>68</v>
      </c>
      <c r="H2" s="4" t="s">
        <v>70</v>
      </c>
      <c r="I2" s="4" t="s">
        <v>175</v>
      </c>
      <c r="J2" s="4" t="s">
        <v>176</v>
      </c>
    </row>
    <row r="3" spans="1:10" x14ac:dyDescent="0.25">
      <c r="A3" s="2" t="s">
        <v>168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2026-02-04T07:54:19Z</dcterms:created>
  <dcterms:modified xsi:type="dcterms:W3CDTF">2026-02-04T07:54:30Z</dcterms:modified>
</cp:coreProperties>
</file>